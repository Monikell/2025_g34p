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<sst xmlns="http://schemas.openxmlformats.org/spreadsheetml/2006/main" count="9565" uniqueCount="958">
  <si>
    <t>File opened</t>
  </si>
  <si>
    <t>2022-05-06 11:49:56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</si>
  <si>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</si>
  <si>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</si>
  <si>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</si>
  <si>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</si>
  <si>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</si>
  <si>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</si>
  <si>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</si>
  <si>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</si>
  <si>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</si>
  <si>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</si>
  <si>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</si>
  <si>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</si>
  <si>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</si>
  <si>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Fri May  6 10:48</t>
  </si>
  <si>
    <t>H2O rangematch</t>
  </si>
  <si>
    <t>Fri May  6 10:54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</si>
  <si>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</si>
  <si>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</si>
  <si>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</si>
  <si>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</si>
  <si>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</si>
  <si>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</si>
  <si>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</si>
  <si>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</si>
  <si>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</si>
  <si>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11:49:56</t>
  </si>
  <si>
    <t>Stability Definition:	ΔCO2 (Meas2): Slp&lt;0.1 Per=20	ΔH2O (Meas2): Slp&lt;0.5 Per=20	state (FlrLS): Slp&lt;1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</si>
  <si>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</si>
  <si>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</si>
  <si>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</si>
  <si>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</si>
  <si>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</si>
  <si>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</si>
  <si>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</si>
  <si>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</si>
  <si>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</si>
  <si>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</si>
  <si>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</si>
  <si>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</si>
  <si>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</si>
  <si>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</si>
  <si>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</si>
  <si>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</si>
  <si>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</si>
  <si>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</si>
  <si>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</si>
  <si>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</si>
  <si>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</si>
  <si>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</si>
  <si>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</si>
  <si>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</si>
  <si>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</si>
  <si>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</si>
  <si>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</si>
  <si>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</si>
  <si>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</si>
  <si>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</si>
  <si>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</si>
  <si>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</si>
  <si>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</si>
  <si>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</si>
  <si>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</si>
  <si>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</si>
  <si>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</si>
  <si>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</si>
  <si>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</si>
  <si>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</si>
  <si>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</si>
  <si>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</si>
  <si>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</si>
  <si>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</si>
  <si>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</si>
  <si>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</si>
  <si>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</si>
  <si>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</si>
  <si>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</si>
  <si>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</si>
  <si>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</si>
  <si>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1.66575 75.4165 378.835 630.981 884.239 1090.98 1270.16 1439.25</t>
  </si>
  <si>
    <t>Fs_true</t>
  </si>
  <si>
    <t>0.256044 101.256 401.223 602.103 801.595 1001.05 1201.02 1400.71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</si>
  <si>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</si>
  <si>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</si>
  <si>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</si>
  <si>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</si>
  <si>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</si>
  <si>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</si>
  <si>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</si>
  <si>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</si>
  <si>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</si>
  <si>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</si>
  <si>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</si>
  <si>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</si>
  <si>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</si>
  <si>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</si>
  <si>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</si>
  <si>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</si>
  <si>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</si>
  <si>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</si>
  <si>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</si>
  <si>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</si>
  <si>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</si>
  <si>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</si>
  <si>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</si>
  <si>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</si>
  <si>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</si>
  <si>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</si>
  <si>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</si>
  <si>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</si>
  <si>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</si>
  <si>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</si>
  <si>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</si>
  <si>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</si>
  <si>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</si>
  <si>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</si>
  <si>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</si>
  <si>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</si>
  <si>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</si>
  <si>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</si>
  <si>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</si>
  <si>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</si>
  <si>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</si>
  <si>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</si>
  <si>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</si>
  <si>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</si>
  <si>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</si>
  <si>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</si>
  <si>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</si>
  <si>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</si>
  <si>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</si>
  <si>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</si>
  <si>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</si>
  <si>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</si>
  <si>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</si>
  <si>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</si>
  <si>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</si>
  <si>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</si>
  <si>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</si>
  <si>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</si>
  <si>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</si>
  <si>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</si>
  <si>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</si>
  <si>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</si>
  <si>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</si>
  <si>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</si>
  <si>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</si>
  <si>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</si>
  <si>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</si>
  <si>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</si>
  <si>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</si>
  <si>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</si>
  <si>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</si>
  <si>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</si>
  <si>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</si>
  <si>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</si>
  <si>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</si>
  <si>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</si>
  <si>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</si>
  <si>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</si>
  <si>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</si>
  <si>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</si>
  <si>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</si>
  <si>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</si>
  <si>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</si>
  <si>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</si>
  <si>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</si>
  <si>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</si>
  <si>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</si>
  <si>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</si>
  <si>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</si>
  <si>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</si>
  <si>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</si>
  <si>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</si>
  <si>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</si>
  <si>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</si>
  <si>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</si>
  <si>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</si>
  <si>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</si>
  <si>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</si>
  <si>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</si>
  <si>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</si>
  <si>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</si>
  <si>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</si>
  <si>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</si>
  <si>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</si>
  <si>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</si>
  <si>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</si>
  <si>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</si>
  <si>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</si>
  <si>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</si>
  <si>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</si>
  <si>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</si>
  <si>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</si>
  <si>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</si>
  <si>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</si>
  <si>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</si>
  <si>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</si>
  <si>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</si>
  <si>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</si>
  <si>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</si>
  <si>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</si>
  <si>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</si>
  <si>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</si>
  <si>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</si>
  <si>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</si>
  <si>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</si>
  <si>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</si>
  <si>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</si>
  <si>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</si>
  <si>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</si>
  <si>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</si>
  <si>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</si>
  <si>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</si>
  <si>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</si>
  <si>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</si>
  <si>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</si>
  <si>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</si>
  <si>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</si>
  <si>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</si>
  <si>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</si>
  <si>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</si>
  <si>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</si>
  <si>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</si>
  <si>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</si>
  <si>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</si>
  <si>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</si>
  <si>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</si>
  <si>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</si>
  <si>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</si>
  <si>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</si>
  <si>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</si>
  <si>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</si>
  <si>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</si>
  <si>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</si>
  <si>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</si>
  <si>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</si>
  <si>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</si>
  <si>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</si>
  <si>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</si>
  <si>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</si>
  <si>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</si>
  <si>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</si>
  <si>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</si>
  <si>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</si>
  <si>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</si>
  <si>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</si>
  <si>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</si>
  <si>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</si>
  <si>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</si>
  <si>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</si>
  <si>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</si>
  <si>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</si>
  <si>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</si>
  <si>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</si>
  <si>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</si>
  <si>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</si>
  <si>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</si>
  <si>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</si>
  <si>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</si>
  <si>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</si>
  <si>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</si>
  <si>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</si>
  <si>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</si>
  <si>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</si>
  <si>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</si>
  <si>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</si>
  <si>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</si>
  <si>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</si>
  <si>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</si>
  <si>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</si>
  <si>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</si>
  <si>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</si>
  <si>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</si>
  <si>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</si>
  <si>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</si>
  <si>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</si>
  <si>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</si>
  <si>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</si>
  <si>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</si>
  <si>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</si>
  <si>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</si>
  <si>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</si>
  <si>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</si>
  <si>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</si>
  <si>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</si>
  <si>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</si>
  <si>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</si>
  <si>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</si>
  <si>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</si>
  <si>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</si>
  <si>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</si>
  <si>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</si>
  <si>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</si>
  <si>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</si>
  <si>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</si>
  <si>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</si>
  <si>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</si>
  <si>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</si>
  <si>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</si>
  <si>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</si>
  <si>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</si>
  <si>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</si>
  <si>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</si>
  <si>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</si>
  <si>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</si>
  <si>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</si>
  <si>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</si>
  <si>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</si>
  <si>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</si>
  <si>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</si>
  <si>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</si>
  <si>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</si>
  <si>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</si>
  <si>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</si>
  <si>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</si>
  <si>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</si>
  <si>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</si>
  <si>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</si>
  <si>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</si>
  <si>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</si>
  <si>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</si>
  <si>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</si>
  <si>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</si>
  <si>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</si>
  <si>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</si>
  <si>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</si>
  <si>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</si>
  <si>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</si>
  <si>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</si>
  <si>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</si>
  <si>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</si>
  <si>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</si>
  <si>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</si>
  <si>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</si>
  <si>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</si>
  <si>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</si>
  <si>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</si>
  <si>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</si>
  <si>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</si>
  <si>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</si>
  <si>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</si>
  <si>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</si>
  <si>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</si>
  <si>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</si>
  <si>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</si>
  <si>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</si>
  <si>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</si>
  <si>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</si>
  <si>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</si>
  <si>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</si>
  <si>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</si>
  <si>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</si>
  <si>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</si>
  <si>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</si>
  <si>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</si>
  <si>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</si>
  <si>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</si>
  <si>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</si>
  <si>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</si>
  <si>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</si>
  <si>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</si>
  <si>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</si>
  <si>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</si>
  <si>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</si>
  <si>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</si>
  <si>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</si>
  <si>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</si>
  <si>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</si>
  <si>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</si>
  <si>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</si>
  <si>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</si>
  <si>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</si>
  <si>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</si>
  <si>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</si>
  <si>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</si>
  <si>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</si>
  <si>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</si>
  <si>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</si>
  <si>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</si>
  <si>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</si>
  <si>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</si>
  <si>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</si>
  <si>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</si>
  <si>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</si>
  <si>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</si>
  <si>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</si>
  <si>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</si>
  <si>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</si>
  <si>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</si>
  <si>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</si>
  <si>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</si>
  <si>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</si>
  <si>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</si>
  <si>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</si>
  <si>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</si>
  <si>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</si>
  <si>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</si>
  <si>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</si>
  <si>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</si>
  <si>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</si>
  <si>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</si>
  <si>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</si>
  <si>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</si>
  <si>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</si>
  <si>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</si>
  <si>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</si>
  <si>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</si>
  <si>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</si>
  <si>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</si>
  <si>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20220506 12:10:00</t>
  </si>
  <si>
    <t>12:10:00</t>
  </si>
  <si>
    <t>dynamic_200ramp_acclim</t>
  </si>
  <si>
    <t>stan</t>
  </si>
  <si>
    <t>RECT-1216-20220504-15_55_11</t>
  </si>
  <si>
    <t>MPF-1238-20220506-12_09_55</t>
  </si>
  <si>
    <t>-</t>
  </si>
  <si>
    <t>0: Broadleaf</t>
  </si>
  <si>
    <t>12:10:41</t>
  </si>
  <si>
    <t>2/3</t>
  </si>
  <si>
    <t>00000000</t>
  </si>
  <si>
    <t>iiiiiiii</t>
  </si>
  <si>
    <t>off</t>
  </si>
  <si>
    <t>12:10:54</t>
  </si>
  <si>
    <t>Stability Definition:	ΔCO2 (Meas2): Slp&lt;0.1 Per=20	ΔH2O (Meas2): Per=20	state (FlrLS): Slp&lt;1 Per=15</t>
  </si>
  <si>
    <t>12:10:55</t>
  </si>
  <si>
    <t>Stability Definition:	ΔCO2 (Meas2): Per=20	ΔH2O (Meas2): Per=20	state (FlrLS): Slp&lt;1 Per=15</t>
  </si>
  <si>
    <t>12:10:58</t>
  </si>
  <si>
    <t>Stability Definition:	ΔCO2 (Meas2): Per=20	ΔH2O (Meas2): Per=20	state (FlrLS): Per=15</t>
  </si>
  <si>
    <t>20220506 12:12:47</t>
  </si>
  <si>
    <t>12:12:47</t>
  </si>
  <si>
    <t>0/0</t>
  </si>
  <si>
    <t>20220506 12:12:49</t>
  </si>
  <si>
    <t>12:12:49</t>
  </si>
  <si>
    <t>20220506 12:12:51</t>
  </si>
  <si>
    <t>12:12:51</t>
  </si>
  <si>
    <t>20220506 12:12:53</t>
  </si>
  <si>
    <t>12:12:53</t>
  </si>
  <si>
    <t>20220506 12:12:55</t>
  </si>
  <si>
    <t>12:12:55</t>
  </si>
  <si>
    <t>20220506 12:12:57</t>
  </si>
  <si>
    <t>12:12:57</t>
  </si>
  <si>
    <t>20220506 12:12:59</t>
  </si>
  <si>
    <t>12:12:59</t>
  </si>
  <si>
    <t>20220506 12:13:01</t>
  </si>
  <si>
    <t>12:13:01</t>
  </si>
  <si>
    <t>20220506 12:13:03</t>
  </si>
  <si>
    <t>12:13:03</t>
  </si>
  <si>
    <t>20220506 12:13:05</t>
  </si>
  <si>
    <t>12:13:05</t>
  </si>
  <si>
    <t>20220506 12:13:07</t>
  </si>
  <si>
    <t>12:13:07</t>
  </si>
  <si>
    <t>20220506 12:13:09</t>
  </si>
  <si>
    <t>12:13:09</t>
  </si>
  <si>
    <t>20220506 12:13:11</t>
  </si>
  <si>
    <t>12:13:11</t>
  </si>
  <si>
    <t>20220506 12:13:13</t>
  </si>
  <si>
    <t>12:13:13</t>
  </si>
  <si>
    <t>20220506 12:13:15</t>
  </si>
  <si>
    <t>12:13:15</t>
  </si>
  <si>
    <t>20220506 12:13:17</t>
  </si>
  <si>
    <t>12:13:17</t>
  </si>
  <si>
    <t>20220506 12:13:19</t>
  </si>
  <si>
    <t>12:13:19</t>
  </si>
  <si>
    <t>20220506 12:13:21</t>
  </si>
  <si>
    <t>12:13:21</t>
  </si>
  <si>
    <t>20220506 12:13:23</t>
  </si>
  <si>
    <t>12:13:23</t>
  </si>
  <si>
    <t>20220506 12:13:25</t>
  </si>
  <si>
    <t>12:13:25</t>
  </si>
  <si>
    <t>20220506 12:13:27</t>
  </si>
  <si>
    <t>12:13:27</t>
  </si>
  <si>
    <t>20220506 12:13:29</t>
  </si>
  <si>
    <t>12:13:29</t>
  </si>
  <si>
    <t>20220506 12:13:31</t>
  </si>
  <si>
    <t>12:13:31</t>
  </si>
  <si>
    <t>20220506 12:13:33</t>
  </si>
  <si>
    <t>12:13:33</t>
  </si>
  <si>
    <t>20220506 12:13:35</t>
  </si>
  <si>
    <t>12:13:35</t>
  </si>
  <si>
    <t>20220506 12:13:37</t>
  </si>
  <si>
    <t>12:13:37</t>
  </si>
  <si>
    <t>20220506 12:13:39</t>
  </si>
  <si>
    <t>12:13:39</t>
  </si>
  <si>
    <t>20220506 12:13:41</t>
  </si>
  <si>
    <t>12:13:41</t>
  </si>
  <si>
    <t>20220506 12:13:43</t>
  </si>
  <si>
    <t>12:13:43</t>
  </si>
  <si>
    <t>20220506 12:13:45</t>
  </si>
  <si>
    <t>12:13:45</t>
  </si>
  <si>
    <t>20220506 12:13:47</t>
  </si>
  <si>
    <t>12:13:47</t>
  </si>
  <si>
    <t>20220506 12:13:49</t>
  </si>
  <si>
    <t>12:13:49</t>
  </si>
  <si>
    <t>20220506 12:13:51</t>
  </si>
  <si>
    <t>12:13:51</t>
  </si>
  <si>
    <t>20220506 12:13:53</t>
  </si>
  <si>
    <t>12:13:53</t>
  </si>
  <si>
    <t>20220506 12:13:55</t>
  </si>
  <si>
    <t>12:13:55</t>
  </si>
  <si>
    <t>20220506 12:13:57</t>
  </si>
  <si>
    <t>12:13:57</t>
  </si>
  <si>
    <t>20220506 12:13:59</t>
  </si>
  <si>
    <t>12:13:59</t>
  </si>
  <si>
    <t>20220506 12:14:01</t>
  </si>
  <si>
    <t>12:14:01</t>
  </si>
  <si>
    <t>20220506 12:14:03</t>
  </si>
  <si>
    <t>12:14:03</t>
  </si>
  <si>
    <t>20220506 12:14:05</t>
  </si>
  <si>
    <t>12:14:05</t>
  </si>
  <si>
    <t>20220506 12:14:07</t>
  </si>
  <si>
    <t>12:14:07</t>
  </si>
  <si>
    <t>20220506 12:14:09</t>
  </si>
  <si>
    <t>12:14:09</t>
  </si>
  <si>
    <t>20220506 12:14:11</t>
  </si>
  <si>
    <t>12:14:11</t>
  </si>
  <si>
    <t>20220506 12:14:13</t>
  </si>
  <si>
    <t>12:14:13</t>
  </si>
  <si>
    <t>20220506 12:14:15</t>
  </si>
  <si>
    <t>12:14:15</t>
  </si>
  <si>
    <t>20220506 12:14:17</t>
  </si>
  <si>
    <t>12:14:17</t>
  </si>
  <si>
    <t>20220506 12:14:19</t>
  </si>
  <si>
    <t>12:14:19</t>
  </si>
  <si>
    <t>20220506 12:14:21</t>
  </si>
  <si>
    <t>12:14:21</t>
  </si>
  <si>
    <t>20220506 12:14:23</t>
  </si>
  <si>
    <t>12:14:23</t>
  </si>
  <si>
    <t>20220506 12:14:25</t>
  </si>
  <si>
    <t>12:14:25</t>
  </si>
  <si>
    <t>20220506 12:14:27</t>
  </si>
  <si>
    <t>12:14:27</t>
  </si>
  <si>
    <t>20220506 12:14:29</t>
  </si>
  <si>
    <t>12:14:29</t>
  </si>
  <si>
    <t>20220506 12:14:31</t>
  </si>
  <si>
    <t>12:14:31</t>
  </si>
  <si>
    <t>20220506 12:14:33</t>
  </si>
  <si>
    <t>12:14:33</t>
  </si>
  <si>
    <t>20220506 12:14:35</t>
  </si>
  <si>
    <t>12:14:35</t>
  </si>
  <si>
    <t>20220506 12:14:37</t>
  </si>
  <si>
    <t>12:14:37</t>
  </si>
  <si>
    <t>20220506 12:14:39</t>
  </si>
  <si>
    <t>12:14:39</t>
  </si>
  <si>
    <t>20220506 12:14:41</t>
  </si>
  <si>
    <t>12:14:41</t>
  </si>
  <si>
    <t>20220506 12:14:43</t>
  </si>
  <si>
    <t>12:14:43</t>
  </si>
  <si>
    <t>20220506 12:16:47</t>
  </si>
  <si>
    <t>12:16:47</t>
  </si>
  <si>
    <t>20220506 12:16:49</t>
  </si>
  <si>
    <t>12:16:49</t>
  </si>
  <si>
    <t>20220506 12:16:51</t>
  </si>
  <si>
    <t>12:16:51</t>
  </si>
  <si>
    <t>20220506 12:16:53</t>
  </si>
  <si>
    <t>12:16:53</t>
  </si>
  <si>
    <t>20220506 12:16:55</t>
  </si>
  <si>
    <t>12:16:55</t>
  </si>
  <si>
    <t>20220506 12:16:57</t>
  </si>
  <si>
    <t>12:16:57</t>
  </si>
  <si>
    <t>20220506 12:16:59</t>
  </si>
  <si>
    <t>12:16:59</t>
  </si>
  <si>
    <t>20220506 12:17:01</t>
  </si>
  <si>
    <t>12:17:01</t>
  </si>
  <si>
    <t>20220506 12:17:03</t>
  </si>
  <si>
    <t>12:17:03</t>
  </si>
  <si>
    <t>20220506 12:17:05</t>
  </si>
  <si>
    <t>12:17:05</t>
  </si>
  <si>
    <t>20220506 12:17:07</t>
  </si>
  <si>
    <t>12:17:07</t>
  </si>
  <si>
    <t>20220506 12:17:09</t>
  </si>
  <si>
    <t>12:17:09</t>
  </si>
  <si>
    <t>20220506 12:17:11</t>
  </si>
  <si>
    <t>12:17:11</t>
  </si>
  <si>
    <t>20220506 12:17:13</t>
  </si>
  <si>
    <t>12:17:13</t>
  </si>
  <si>
    <t>20220506 12:17:15</t>
  </si>
  <si>
    <t>12:17:15</t>
  </si>
  <si>
    <t>20220506 12:17:17</t>
  </si>
  <si>
    <t>12:17:17</t>
  </si>
  <si>
    <t>20220506 12:17:19</t>
  </si>
  <si>
    <t>12:17:19</t>
  </si>
  <si>
    <t>20220506 12:17:21</t>
  </si>
  <si>
    <t>12:17:21</t>
  </si>
  <si>
    <t>20220506 12:17:23</t>
  </si>
  <si>
    <t>12:17:23</t>
  </si>
  <si>
    <t>20220506 12:17:25</t>
  </si>
  <si>
    <t>12:17:25</t>
  </si>
  <si>
    <t>20220506 12:17:27</t>
  </si>
  <si>
    <t>12:17:27</t>
  </si>
  <si>
    <t>20220506 12:17:29</t>
  </si>
  <si>
    <t>12:17:29</t>
  </si>
  <si>
    <t>20220506 12:17:31</t>
  </si>
  <si>
    <t>12:17:31</t>
  </si>
  <si>
    <t>20220506 12:17:33</t>
  </si>
  <si>
    <t>12:17:33</t>
  </si>
  <si>
    <t>20220506 12:17:35</t>
  </si>
  <si>
    <t>12:17:35</t>
  </si>
  <si>
    <t>20220506 12:17:37</t>
  </si>
  <si>
    <t>12:17:37</t>
  </si>
  <si>
    <t>20220506 12:17:39</t>
  </si>
  <si>
    <t>12:17:39</t>
  </si>
  <si>
    <t>20220506 12:17:41</t>
  </si>
  <si>
    <t>12:17:41</t>
  </si>
  <si>
    <t>20220506 12:17:43</t>
  </si>
  <si>
    <t>12:17:43</t>
  </si>
  <si>
    <t>20220506 12:17:45</t>
  </si>
  <si>
    <t>12:17:45</t>
  </si>
  <si>
    <t>20220506 12:17:47</t>
  </si>
  <si>
    <t>12:17:47</t>
  </si>
  <si>
    <t>20220506 12:17:49</t>
  </si>
  <si>
    <t>12:17:49</t>
  </si>
  <si>
    <t>20220506 12:17:51</t>
  </si>
  <si>
    <t>12:17:51</t>
  </si>
  <si>
    <t>20220506 12:17:53</t>
  </si>
  <si>
    <t>12:17:53</t>
  </si>
  <si>
    <t>20220506 12:17:55</t>
  </si>
  <si>
    <t>12:17:55</t>
  </si>
  <si>
    <t>20220506 12:17:57</t>
  </si>
  <si>
    <t>12:17:57</t>
  </si>
  <si>
    <t>20220506 12:17:59</t>
  </si>
  <si>
    <t>12:17:59</t>
  </si>
  <si>
    <t>20220506 12:18:01</t>
  </si>
  <si>
    <t>12:18:01</t>
  </si>
  <si>
    <t>20220506 12:18:03</t>
  </si>
  <si>
    <t>12:18:03</t>
  </si>
  <si>
    <t>20220506 12:18:05</t>
  </si>
  <si>
    <t>12:18:05</t>
  </si>
  <si>
    <t>20220506 12:18:07</t>
  </si>
  <si>
    <t>12:18:07</t>
  </si>
  <si>
    <t>20220506 12:18:09</t>
  </si>
  <si>
    <t>12:18:09</t>
  </si>
  <si>
    <t>20220506 12:18:11</t>
  </si>
  <si>
    <t>12:18:11</t>
  </si>
  <si>
    <t>20220506 12:18:13</t>
  </si>
  <si>
    <t>12:18:13</t>
  </si>
  <si>
    <t>20220506 12:18:15</t>
  </si>
  <si>
    <t>12:18:15</t>
  </si>
  <si>
    <t>20220506 12:18:17</t>
  </si>
  <si>
    <t>12:18:17</t>
  </si>
  <si>
    <t>20220506 12:18:19</t>
  </si>
  <si>
    <t>12:18:19</t>
  </si>
  <si>
    <t>20220506 12:18:21</t>
  </si>
  <si>
    <t>12:18:21</t>
  </si>
  <si>
    <t>20220506 12:18:23</t>
  </si>
  <si>
    <t>12:18:23</t>
  </si>
  <si>
    <t>20220506 12:18:24</t>
  </si>
  <si>
    <t>12:18:24</t>
  </si>
  <si>
    <t>20220506 12:18:26</t>
  </si>
  <si>
    <t>12:18:26</t>
  </si>
  <si>
    <t>20220506 12:18:28</t>
  </si>
  <si>
    <t>12:18:28</t>
  </si>
  <si>
    <t>20220506 12:18:30</t>
  </si>
  <si>
    <t>12:18:30</t>
  </si>
  <si>
    <t>20220506 12:18:32</t>
  </si>
  <si>
    <t>12:18:32</t>
  </si>
  <si>
    <t>20220506 12:18:34</t>
  </si>
  <si>
    <t>12:18:34</t>
  </si>
  <si>
    <t>20220506 12:18:36</t>
  </si>
  <si>
    <t>12:18:36</t>
  </si>
  <si>
    <t>20220506 12:18:38</t>
  </si>
  <si>
    <t>12:18:38</t>
  </si>
  <si>
    <t>20220506 12:18:40</t>
  </si>
  <si>
    <t>12:18:40</t>
  </si>
  <si>
    <t>20220506 12:18:42</t>
  </si>
  <si>
    <t>12:18:42</t>
  </si>
  <si>
    <t>20220506 12:18:44</t>
  </si>
  <si>
    <t>12:18:44</t>
  </si>
  <si>
    <t>20220506 12:18:46</t>
  </si>
  <si>
    <t>12:18:46</t>
  </si>
  <si>
    <t>20220506 12:18:48</t>
  </si>
  <si>
    <t>12:18:48</t>
  </si>
  <si>
    <t>20220506 12:18:50</t>
  </si>
  <si>
    <t>12:18:50</t>
  </si>
  <si>
    <t>20220506 12:18:52</t>
  </si>
  <si>
    <t>12:18:52</t>
  </si>
  <si>
    <t>20220506 12:18:54</t>
  </si>
  <si>
    <t>12:18:54</t>
  </si>
  <si>
    <t>20220506 12:18:56</t>
  </si>
  <si>
    <t>12:18:56</t>
  </si>
  <si>
    <t>20220506 12:18:58</t>
  </si>
  <si>
    <t>12:18:58</t>
  </si>
  <si>
    <t>20220506 12:19:00</t>
  </si>
  <si>
    <t>12:19:00</t>
  </si>
  <si>
    <t>20220506 12:19:02</t>
  </si>
  <si>
    <t>12:19:02</t>
  </si>
  <si>
    <t>20220506 12:19:04</t>
  </si>
  <si>
    <t>12:19:04</t>
  </si>
  <si>
    <t>20220506 12:19:06</t>
  </si>
  <si>
    <t>12:19:06</t>
  </si>
  <si>
    <t>20220506 12:19:08</t>
  </si>
  <si>
    <t>12:19:08</t>
  </si>
  <si>
    <t>20220506 12:19:10</t>
  </si>
  <si>
    <t>12:19:10</t>
  </si>
  <si>
    <t>20220506 12:19:12</t>
  </si>
  <si>
    <t>12:19:12</t>
  </si>
  <si>
    <t>20220506 12:19:14</t>
  </si>
  <si>
    <t>12:19:14</t>
  </si>
  <si>
    <t>20220506 12:19:16</t>
  </si>
  <si>
    <t>12:19:16</t>
  </si>
  <si>
    <t>20220506 12:19:18</t>
  </si>
  <si>
    <t>12:19:18</t>
  </si>
  <si>
    <t>20220506 12:19:20</t>
  </si>
  <si>
    <t>12:19:20</t>
  </si>
  <si>
    <t>20220506 12:19:22</t>
  </si>
  <si>
    <t>12:19:22</t>
  </si>
  <si>
    <t>20220506 12:19:24</t>
  </si>
  <si>
    <t>12:19:24</t>
  </si>
  <si>
    <t>20220506 12:19:26</t>
  </si>
  <si>
    <t>12:19:26</t>
  </si>
  <si>
    <t>20220506 12:19:28</t>
  </si>
  <si>
    <t>12:19:28</t>
  </si>
  <si>
    <t>20220506 12:19:30</t>
  </si>
  <si>
    <t>12:19:30</t>
  </si>
  <si>
    <t>20220506 12:19:32</t>
  </si>
  <si>
    <t>12:19:32</t>
  </si>
  <si>
    <t>20220506 12:19:34</t>
  </si>
  <si>
    <t>12:19:34</t>
  </si>
  <si>
    <t>20220506 12:19:36</t>
  </si>
  <si>
    <t>12:19:36</t>
  </si>
  <si>
    <t>20220506 12:19:38</t>
  </si>
  <si>
    <t>12:19:38</t>
  </si>
  <si>
    <t>20220506 12:19:40</t>
  </si>
  <si>
    <t>12:19:40</t>
  </si>
  <si>
    <t>20220506 12:19:42</t>
  </si>
  <si>
    <t>12:19:42</t>
  </si>
  <si>
    <t>20220506 12:19:44</t>
  </si>
  <si>
    <t>12:19:44</t>
  </si>
  <si>
    <t>20220506 12:19:46</t>
  </si>
  <si>
    <t>12:19:46</t>
  </si>
  <si>
    <t>20220506 12:19:48</t>
  </si>
  <si>
    <t>12:19:48</t>
  </si>
  <si>
    <t>20220506 12:19:50</t>
  </si>
  <si>
    <t>12:19:50</t>
  </si>
  <si>
    <t>20220506 12:19:52</t>
  </si>
  <si>
    <t>12:19:52</t>
  </si>
  <si>
    <t>20220506 12:19:54</t>
  </si>
  <si>
    <t>12:19:54</t>
  </si>
  <si>
    <t>20220506 12:19:56</t>
  </si>
  <si>
    <t>12:19:56</t>
  </si>
  <si>
    <t>20220506 12:19:58</t>
  </si>
  <si>
    <t>12:19:58</t>
  </si>
  <si>
    <t>20220506 12:20:00</t>
  </si>
  <si>
    <t>12:20:00</t>
  </si>
  <si>
    <t>20220506 12:20:02</t>
  </si>
  <si>
    <t>12:20:02</t>
  </si>
  <si>
    <t>20220506 12:20:04</t>
  </si>
  <si>
    <t>12:20:04</t>
  </si>
  <si>
    <t>20220506 12:20:06</t>
  </si>
  <si>
    <t>12:20:06</t>
  </si>
  <si>
    <t>20220506 12:20:08</t>
  </si>
  <si>
    <t>12:20:08</t>
  </si>
  <si>
    <t>20220506 12:20:10</t>
  </si>
  <si>
    <t>12:20:10</t>
  </si>
  <si>
    <t>20220506 12:20:12</t>
  </si>
  <si>
    <t>12:20:12</t>
  </si>
  <si>
    <t>20220506 12:20:14</t>
  </si>
  <si>
    <t>12:20:14</t>
  </si>
  <si>
    <t>20220506 12:20:16</t>
  </si>
  <si>
    <t>12:20:16</t>
  </si>
  <si>
    <t>20220506 12:20:18</t>
  </si>
  <si>
    <t>12:20:18</t>
  </si>
  <si>
    <t>20220506 12:20:20</t>
  </si>
  <si>
    <t>12:20:20</t>
  </si>
  <si>
    <t>20220506 12:20:22</t>
  </si>
  <si>
    <t>12:20:22</t>
  </si>
  <si>
    <t>20220506 12:20:24</t>
  </si>
  <si>
    <t>12:20:24</t>
  </si>
  <si>
    <t>20220506 12:20:26</t>
  </si>
  <si>
    <t>12:20:26</t>
  </si>
  <si>
    <t>20220506 12:20:28</t>
  </si>
  <si>
    <t>12:20:28</t>
  </si>
  <si>
    <t>20220506 12:20:30</t>
  </si>
  <si>
    <t>12:20:30</t>
  </si>
  <si>
    <t>20220506 12:20:32</t>
  </si>
  <si>
    <t>12:20:32</t>
  </si>
  <si>
    <t>20220506 12:20:34</t>
  </si>
  <si>
    <t>12:20:34</t>
  </si>
  <si>
    <t>20220506 12:20:36</t>
  </si>
  <si>
    <t>12:20:36</t>
  </si>
  <si>
    <t>20220506 12:20:38</t>
  </si>
  <si>
    <t>12:20:38</t>
  </si>
  <si>
    <t>20220506 12:20:40</t>
  </si>
  <si>
    <t>12:20:40</t>
  </si>
  <si>
    <t>20220506 12:20:42</t>
  </si>
  <si>
    <t>12:20:42</t>
  </si>
  <si>
    <t>20220506 12:20:44</t>
  </si>
  <si>
    <t>12:20:44</t>
  </si>
  <si>
    <t>20220506 12:20:46</t>
  </si>
  <si>
    <t>12:20:46</t>
  </si>
  <si>
    <t>20220506 12:20:48</t>
  </si>
  <si>
    <t>12:20:48</t>
  </si>
  <si>
    <t>20220506 12:20:50</t>
  </si>
  <si>
    <t>12:20:50</t>
  </si>
  <si>
    <t>20220506 12:20:52</t>
  </si>
  <si>
    <t>12:20:52</t>
  </si>
  <si>
    <t>20220506 12:20:54</t>
  </si>
  <si>
    <t>12:20:54</t>
  </si>
  <si>
    <t>20220506 12:20:56</t>
  </si>
  <si>
    <t>12:20:56</t>
  </si>
  <si>
    <t>20220506 12:20:58</t>
  </si>
  <si>
    <t>12:20:58</t>
  </si>
  <si>
    <t>20220506 12:21:00</t>
  </si>
  <si>
    <t>12:21:00</t>
  </si>
  <si>
    <t>20220506 12:21:02</t>
  </si>
  <si>
    <t>12:21:02</t>
  </si>
  <si>
    <t>20220506 12:21:04</t>
  </si>
  <si>
    <t>12:21:04</t>
  </si>
  <si>
    <t>20220506 12:21:06</t>
  </si>
  <si>
    <t>12:21:06</t>
  </si>
  <si>
    <t>20220506 12:21:08</t>
  </si>
  <si>
    <t>12:21:08</t>
  </si>
  <si>
    <t>20220506 12:21:10</t>
  </si>
  <si>
    <t>12:21:10</t>
  </si>
  <si>
    <t>20220506 12:21:12</t>
  </si>
  <si>
    <t>12:21:12</t>
  </si>
  <si>
    <t>20220506 12:21:14</t>
  </si>
  <si>
    <t>12:21:14</t>
  </si>
  <si>
    <t>20220506 12:21:16</t>
  </si>
  <si>
    <t>12:21:16</t>
  </si>
  <si>
    <t>20220506 12:21:18</t>
  </si>
  <si>
    <t>12:21:18</t>
  </si>
  <si>
    <t>20220506 12:21:20</t>
  </si>
  <si>
    <t>12:21:20</t>
  </si>
  <si>
    <t>20220506 12:21:22</t>
  </si>
  <si>
    <t>12:21:22</t>
  </si>
  <si>
    <t>20220506 12:21:24</t>
  </si>
  <si>
    <t>12:21:24</t>
  </si>
  <si>
    <t>20220506 12:21:26</t>
  </si>
  <si>
    <t>12:21:26</t>
  </si>
  <si>
    <t>20220506 12:21:28</t>
  </si>
  <si>
    <t>12:21:28</t>
  </si>
  <si>
    <t>20220506 12:21:30</t>
  </si>
  <si>
    <t>12:21:30</t>
  </si>
  <si>
    <t>20220506 12:21:32</t>
  </si>
  <si>
    <t>12:21:32</t>
  </si>
  <si>
    <t>20220506 12:21:34</t>
  </si>
  <si>
    <t>12:21:34</t>
  </si>
  <si>
    <t>20220506 12:21:36</t>
  </si>
  <si>
    <t>12:21:36</t>
  </si>
  <si>
    <t>20220506 12:21:38</t>
  </si>
  <si>
    <t>12:21:38</t>
  </si>
  <si>
    <t>20220506 12:21:40</t>
  </si>
  <si>
    <t>12:21:40</t>
  </si>
  <si>
    <t>20220506 12:21:42</t>
  </si>
  <si>
    <t>12:21:42</t>
  </si>
  <si>
    <t>20220506 12:21:44</t>
  </si>
  <si>
    <t>12:21:44</t>
  </si>
  <si>
    <t>20220506 12:21:46</t>
  </si>
  <si>
    <t>12:21:46</t>
  </si>
  <si>
    <t>20220506 12:21:48</t>
  </si>
  <si>
    <t>12:21:48</t>
  </si>
  <si>
    <t>20220506 12:21:50</t>
  </si>
  <si>
    <t>12:21:50</t>
  </si>
  <si>
    <t>20220506 12:21:52</t>
  </si>
  <si>
    <t>12:21:52</t>
  </si>
  <si>
    <t>20220506 12:21:54</t>
  </si>
  <si>
    <t>12:21:54</t>
  </si>
  <si>
    <t>20220506 12:21:56</t>
  </si>
  <si>
    <t>12:21:56</t>
  </si>
  <si>
    <t>20220506 12:21:58</t>
  </si>
  <si>
    <t>12:21:58</t>
  </si>
  <si>
    <t>20220506 12:22:00</t>
  </si>
  <si>
    <t>12:22:00</t>
  </si>
  <si>
    <t>20220506 12:22:02</t>
  </si>
  <si>
    <t>12:22:02</t>
  </si>
  <si>
    <t>20220506 12:22:04</t>
  </si>
  <si>
    <t>12:22:04</t>
  </si>
  <si>
    <t>20220506 12:22:06</t>
  </si>
  <si>
    <t>12:22:06</t>
  </si>
  <si>
    <t>20220506 12:22:08</t>
  </si>
  <si>
    <t>12:22:08</t>
  </si>
  <si>
    <t>20220506 12:22:10</t>
  </si>
  <si>
    <t>12:22:10</t>
  </si>
  <si>
    <t>20220506 12:22:12</t>
  </si>
  <si>
    <t>12:22:12</t>
  </si>
  <si>
    <t>20220506 12:22:14</t>
  </si>
  <si>
    <t>12:22:14</t>
  </si>
  <si>
    <t>20220506 12:22:16</t>
  </si>
  <si>
    <t>12:22:16</t>
  </si>
  <si>
    <t>20220506 12:22:18</t>
  </si>
  <si>
    <t>12:22:18</t>
  </si>
  <si>
    <t>20220506 12:22:20</t>
  </si>
  <si>
    <t>12:22:20</t>
  </si>
  <si>
    <t>20220506 12:22:21</t>
  </si>
  <si>
    <t>12:22:21</t>
  </si>
  <si>
    <t>20220506 12:22:23</t>
  </si>
  <si>
    <t>12:22:23</t>
  </si>
  <si>
    <t>20220506 12:22:25</t>
  </si>
  <si>
    <t>12:22:25</t>
  </si>
  <si>
    <t>20220506 12:22:27</t>
  </si>
  <si>
    <t>12:22:27</t>
  </si>
  <si>
    <t>20220506 12:22:29</t>
  </si>
  <si>
    <t>12:22:29</t>
  </si>
  <si>
    <t>20220506 12:22:31</t>
  </si>
  <si>
    <t>12:22:31</t>
  </si>
  <si>
    <t>20220506 12:22:33</t>
  </si>
  <si>
    <t>12:22:33</t>
  </si>
  <si>
    <t>20220506 12:22:35</t>
  </si>
  <si>
    <t>12:22:35</t>
  </si>
  <si>
    <t>20220506 12:22:37</t>
  </si>
  <si>
    <t>12:22:37</t>
  </si>
  <si>
    <t>20220506 12:22:39</t>
  </si>
  <si>
    <t>12:22:39</t>
  </si>
  <si>
    <t>20220506 12:22:41</t>
  </si>
  <si>
    <t>12:22:41</t>
  </si>
  <si>
    <t>20220506 12:22:43</t>
  </si>
  <si>
    <t>12:22:43</t>
  </si>
  <si>
    <t>20220506 12:22:45</t>
  </si>
  <si>
    <t>12:22:45</t>
  </si>
  <si>
    <t>20220506 12:22:47</t>
  </si>
  <si>
    <t>12:22:47</t>
  </si>
  <si>
    <t>20220506 12:48:48</t>
  </si>
  <si>
    <t>12:48:48</t>
  </si>
  <si>
    <t>steady_20minacclim</t>
  </si>
  <si>
    <t>MPF-1239-20220506-12_48_42</t>
  </si>
  <si>
    <t>20220506 12:51:23</t>
  </si>
  <si>
    <t>12:51:23</t>
  </si>
  <si>
    <t>MPF-1240-20220506-12_51_17</t>
  </si>
  <si>
    <t>12:52:03</t>
  </si>
  <si>
    <t>20220506 12:53:09</t>
  </si>
  <si>
    <t>12:53:09</t>
  </si>
  <si>
    <t>MPF-1241-20220506-12_53_04</t>
  </si>
  <si>
    <t>12:53:47</t>
  </si>
  <si>
    <t>20220506 12:54:53</t>
  </si>
  <si>
    <t>12:54:53</t>
  </si>
  <si>
    <t>MPF-1242-20220506-12_54_47</t>
  </si>
  <si>
    <t>20220506 12:56:00</t>
  </si>
  <si>
    <t>12:56:00</t>
  </si>
  <si>
    <t>12:56:19</t>
  </si>
  <si>
    <t>20220506 12:57:25</t>
  </si>
  <si>
    <t>12:57:25</t>
  </si>
  <si>
    <t>MPF-1243-20220506-12_57_19</t>
  </si>
  <si>
    <t>12:57:47</t>
  </si>
  <si>
    <t>20220506 12:58:53</t>
  </si>
  <si>
    <t>12:58:53</t>
  </si>
  <si>
    <t>12:59:16</t>
  </si>
  <si>
    <t>20220506 13:00:22</t>
  </si>
  <si>
    <t>13:00:22</t>
  </si>
  <si>
    <t>MPF-1244-20220506-13_00_16</t>
  </si>
  <si>
    <t>20220506 13:01:29</t>
  </si>
  <si>
    <t>13:01:29</t>
  </si>
  <si>
    <t>20220506 13:02:34</t>
  </si>
  <si>
    <t>13:02:34</t>
  </si>
  <si>
    <t>MPF-1245-20220506-13_02_29</t>
  </si>
  <si>
    <t>20220506 13:03:41</t>
  </si>
  <si>
    <t>13:03:41</t>
  </si>
  <si>
    <t>20220506 13:04:47</t>
  </si>
  <si>
    <t>13:04:47</t>
  </si>
  <si>
    <t>MPF-1246-20220506-13_04_41</t>
  </si>
  <si>
    <t>20220506 13:05:54</t>
  </si>
  <si>
    <t>13:05:54</t>
  </si>
  <si>
    <t>20220506 13:06:59</t>
  </si>
  <si>
    <t>13:06:59</t>
  </si>
  <si>
    <t>MPF-1247-20220506-13_06_54</t>
  </si>
  <si>
    <t>20220506 13:08:06</t>
  </si>
  <si>
    <t>13:08:06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</si>
</sst>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273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1651857000.6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1651856992.849999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404.0636288659337</v>
      </c>
      <c r="AK17">
        <v>376.7608363636363</v>
      </c>
      <c r="AL17">
        <v>5.570499478785609E-05</v>
      </c>
      <c r="AM17">
        <v>66.38295818679043</v>
      </c>
      <c r="AN17">
        <f>(AP17 - AO17 + DI17*1E3/(8.314*(DK17+273.15)) * AR17/DH17 * AQ17) * DH17/(100*CV17) * 1000/(1000 - AP17)</f>
        <v>0</v>
      </c>
      <c r="AO17">
        <v>9.925926016399597</v>
      </c>
      <c r="AP17">
        <v>18.38485117647059</v>
      </c>
      <c r="AQ17">
        <v>0.006104567431345052</v>
      </c>
      <c r="AR17">
        <v>80.59035637260453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10440.5</v>
      </c>
      <c r="BF17">
        <v>1093.87</v>
      </c>
      <c r="BG17">
        <v>1481.04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1238</v>
      </c>
      <c r="CA17">
        <v>300</v>
      </c>
      <c r="CB17">
        <v>300</v>
      </c>
      <c r="CC17">
        <v>300</v>
      </c>
      <c r="CD17">
        <v>10440.5</v>
      </c>
      <c r="CE17">
        <v>1411.69</v>
      </c>
      <c r="CF17">
        <v>-0.00735121</v>
      </c>
      <c r="CG17">
        <v>-0.77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1651856992.849999</v>
      </c>
      <c r="DB17">
        <v>370.3344</v>
      </c>
      <c r="DC17">
        <v>400.0452666666667</v>
      </c>
      <c r="DD17">
        <v>18.27466</v>
      </c>
      <c r="DE17">
        <v>9.927190333333332</v>
      </c>
      <c r="DF17">
        <v>371.6054</v>
      </c>
      <c r="DG17">
        <v>18.36466</v>
      </c>
      <c r="DH17">
        <v>500.0327666666666</v>
      </c>
      <c r="DI17">
        <v>90.09251999999999</v>
      </c>
      <c r="DJ17">
        <v>0.1000126633333333</v>
      </c>
      <c r="DK17">
        <v>25.56527333333333</v>
      </c>
      <c r="DL17">
        <v>24.96271666666667</v>
      </c>
      <c r="DM17">
        <v>999.9000000000002</v>
      </c>
      <c r="DN17">
        <v>0</v>
      </c>
      <c r="DO17">
        <v>0</v>
      </c>
      <c r="DP17">
        <v>9999.601333333334</v>
      </c>
      <c r="DQ17">
        <v>0</v>
      </c>
      <c r="DR17">
        <v>3.203829999999999</v>
      </c>
      <c r="DS17">
        <v>-30.20261</v>
      </c>
      <c r="DT17">
        <v>376.7645333333334</v>
      </c>
      <c r="DU17">
        <v>404.0564666666667</v>
      </c>
      <c r="DV17">
        <v>8.444792000000001</v>
      </c>
      <c r="DW17">
        <v>400.0452666666667</v>
      </c>
      <c r="DX17">
        <v>9.927190333333332</v>
      </c>
      <c r="DY17">
        <v>1.655178</v>
      </c>
      <c r="DZ17">
        <v>0.8943655333333334</v>
      </c>
      <c r="EA17">
        <v>14.48232666666667</v>
      </c>
      <c r="EB17">
        <v>5.300368</v>
      </c>
      <c r="EC17">
        <v>1499.998333333333</v>
      </c>
      <c r="ED17">
        <v>0.9730069999999997</v>
      </c>
      <c r="EE17">
        <v>0.0269931</v>
      </c>
      <c r="EF17">
        <v>0</v>
      </c>
      <c r="EG17">
        <v>1093.888333333333</v>
      </c>
      <c r="EH17">
        <v>5.000969999999999</v>
      </c>
      <c r="EI17">
        <v>16231.65333333334</v>
      </c>
      <c r="EJ17">
        <v>12491.60333333333</v>
      </c>
      <c r="EK17">
        <v>37.625</v>
      </c>
      <c r="EL17">
        <v>39.09979999999999</v>
      </c>
      <c r="EM17">
        <v>38</v>
      </c>
      <c r="EN17">
        <v>38.81199999999999</v>
      </c>
      <c r="EO17">
        <v>38.43699999999999</v>
      </c>
      <c r="EP17">
        <v>1454.638333333334</v>
      </c>
      <c r="EQ17">
        <v>40.35033333333332</v>
      </c>
      <c r="ER17">
        <v>0</v>
      </c>
      <c r="ES17">
        <v>1651857001.5</v>
      </c>
      <c r="ET17">
        <v>0</v>
      </c>
      <c r="EU17">
        <v>1093.87</v>
      </c>
      <c r="EV17">
        <v>-4.723076917816154</v>
      </c>
      <c r="EW17">
        <v>-67.39230759335265</v>
      </c>
      <c r="EX17">
        <v>16231.148</v>
      </c>
      <c r="EY17">
        <v>15</v>
      </c>
      <c r="EZ17">
        <v>1651857041.1</v>
      </c>
      <c r="FA17" t="s">
        <v>419</v>
      </c>
      <c r="FB17">
        <v>1651857019.6</v>
      </c>
      <c r="FC17">
        <v>1651857041.1</v>
      </c>
      <c r="FD17">
        <v>1</v>
      </c>
      <c r="FE17">
        <v>0.545</v>
      </c>
      <c r="FF17">
        <v>-0.002</v>
      </c>
      <c r="FG17">
        <v>-1.271</v>
      </c>
      <c r="FH17">
        <v>-0.09</v>
      </c>
      <c r="FI17">
        <v>400</v>
      </c>
      <c r="FJ17">
        <v>10</v>
      </c>
      <c r="FK17">
        <v>0.1</v>
      </c>
      <c r="FL17">
        <v>0.02</v>
      </c>
      <c r="FM17">
        <v>-30.1835275</v>
      </c>
      <c r="FN17">
        <v>-0.2166607879923837</v>
      </c>
      <c r="FO17">
        <v>0.04981983534446882</v>
      </c>
      <c r="FP17">
        <v>0</v>
      </c>
      <c r="FQ17">
        <v>8.426386500000001</v>
      </c>
      <c r="FR17">
        <v>0.3017268292682986</v>
      </c>
      <c r="FS17">
        <v>0.0305927670822696</v>
      </c>
      <c r="FT17">
        <v>1</v>
      </c>
      <c r="FU17">
        <v>0</v>
      </c>
      <c r="FV17">
        <v>0</v>
      </c>
      <c r="FW17">
        <v>0</v>
      </c>
      <c r="FX17">
        <v>1</v>
      </c>
      <c r="FY17">
        <v>2</v>
      </c>
      <c r="FZ17">
        <v>3</v>
      </c>
      <c r="GA17" t="s">
        <v>420</v>
      </c>
      <c r="GB17">
        <v>2.97946</v>
      </c>
      <c r="GC17">
        <v>2.70614</v>
      </c>
      <c r="GD17">
        <v>0.0849848</v>
      </c>
      <c r="GE17">
        <v>0.08908389999999999</v>
      </c>
      <c r="GF17">
        <v>0.0878413</v>
      </c>
      <c r="GG17">
        <v>0.0547702</v>
      </c>
      <c r="GH17">
        <v>28864.4</v>
      </c>
      <c r="GI17">
        <v>28799.6</v>
      </c>
      <c r="GJ17">
        <v>29336.5</v>
      </c>
      <c r="GK17">
        <v>29250.9</v>
      </c>
      <c r="GL17">
        <v>35436.7</v>
      </c>
      <c r="GM17">
        <v>36821.3</v>
      </c>
      <c r="GN17">
        <v>41295.4</v>
      </c>
      <c r="GO17">
        <v>41745.2</v>
      </c>
      <c r="GP17">
        <v>1.9514</v>
      </c>
      <c r="GQ17">
        <v>1.8333</v>
      </c>
      <c r="GR17">
        <v>-0.0411496</v>
      </c>
      <c r="GS17">
        <v>0</v>
      </c>
      <c r="GT17">
        <v>25.6409</v>
      </c>
      <c r="GU17">
        <v>999.9</v>
      </c>
      <c r="GV17">
        <v>40</v>
      </c>
      <c r="GW17">
        <v>33.6</v>
      </c>
      <c r="GX17">
        <v>23.1987</v>
      </c>
      <c r="GY17">
        <v>62.6976</v>
      </c>
      <c r="GZ17">
        <v>35.4287</v>
      </c>
      <c r="HA17">
        <v>1</v>
      </c>
      <c r="HB17">
        <v>0.156928</v>
      </c>
      <c r="HC17">
        <v>2.49652</v>
      </c>
      <c r="HD17">
        <v>20.3173</v>
      </c>
      <c r="HE17">
        <v>5.22553</v>
      </c>
      <c r="HF17">
        <v>12.0099</v>
      </c>
      <c r="HG17">
        <v>4.99075</v>
      </c>
      <c r="HH17">
        <v>3.28998</v>
      </c>
      <c r="HI17">
        <v>842.1</v>
      </c>
      <c r="HJ17">
        <v>8378</v>
      </c>
      <c r="HK17">
        <v>5139.4</v>
      </c>
      <c r="HL17">
        <v>22.7</v>
      </c>
      <c r="HM17">
        <v>1.86751</v>
      </c>
      <c r="HN17">
        <v>1.86646</v>
      </c>
      <c r="HO17">
        <v>1.866</v>
      </c>
      <c r="HP17">
        <v>1.86588</v>
      </c>
      <c r="HQ17">
        <v>1.86773</v>
      </c>
      <c r="HR17">
        <v>1.87024</v>
      </c>
      <c r="HS17">
        <v>1.8689</v>
      </c>
      <c r="HT17">
        <v>1.87027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-1.271</v>
      </c>
      <c r="II17">
        <v>-0.09</v>
      </c>
      <c r="IJ17">
        <v>-1.04477170859738</v>
      </c>
      <c r="IK17">
        <v>-0.002077099775823331</v>
      </c>
      <c r="IL17">
        <v>4.593143279902166E-07</v>
      </c>
      <c r="IM17">
        <v>-1.865383991892071E-10</v>
      </c>
      <c r="IN17">
        <v>-0.07443603233063538</v>
      </c>
      <c r="IO17">
        <v>-0.01129461987421345</v>
      </c>
      <c r="IP17">
        <v>0.00116580895745559</v>
      </c>
      <c r="IQ17">
        <v>-1.679085872906199E-05</v>
      </c>
      <c r="IR17">
        <v>2</v>
      </c>
      <c r="IS17">
        <v>2290</v>
      </c>
      <c r="IT17">
        <v>0</v>
      </c>
      <c r="IU17">
        <v>32</v>
      </c>
      <c r="IV17">
        <v>1335.9</v>
      </c>
      <c r="IW17">
        <v>1335.6</v>
      </c>
      <c r="IX17">
        <v>0.997314</v>
      </c>
      <c r="IY17">
        <v>2.2229</v>
      </c>
      <c r="IZ17">
        <v>1.39648</v>
      </c>
      <c r="JA17">
        <v>2.35962</v>
      </c>
      <c r="JB17">
        <v>1.49536</v>
      </c>
      <c r="JC17">
        <v>2.35474</v>
      </c>
      <c r="JD17">
        <v>38.1837</v>
      </c>
      <c r="JE17">
        <v>24.0437</v>
      </c>
      <c r="JF17">
        <v>18</v>
      </c>
      <c r="JG17">
        <v>513.373</v>
      </c>
      <c r="JH17">
        <v>422.679</v>
      </c>
      <c r="JI17">
        <v>22.409</v>
      </c>
      <c r="JJ17">
        <v>29.4552</v>
      </c>
      <c r="JK17">
        <v>29.9999</v>
      </c>
      <c r="JL17">
        <v>29.2245</v>
      </c>
      <c r="JM17">
        <v>29.1083</v>
      </c>
      <c r="JN17">
        <v>19.9676</v>
      </c>
      <c r="JO17">
        <v>52.6326</v>
      </c>
      <c r="JP17">
        <v>0</v>
      </c>
      <c r="JQ17">
        <v>22.4216</v>
      </c>
      <c r="JR17">
        <v>400</v>
      </c>
      <c r="JS17">
        <v>9.74023</v>
      </c>
      <c r="JT17">
        <v>100.282</v>
      </c>
      <c r="JU17">
        <v>100.196</v>
      </c>
    </row>
    <row r="18" spans="1:281">
      <c r="A18">
        <v>2</v>
      </c>
      <c r="B18">
        <v>1651857167.6</v>
      </c>
      <c r="C18">
        <v>167</v>
      </c>
      <c r="D18" t="s">
        <v>430</v>
      </c>
      <c r="E18" t="s">
        <v>431</v>
      </c>
      <c r="F18">
        <v>2</v>
      </c>
      <c r="G18" t="s">
        <v>413</v>
      </c>
      <c r="H18" t="s">
        <v>414</v>
      </c>
      <c r="I18">
        <v>1651857166.35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403.809158597427</v>
      </c>
      <c r="AK18">
        <v>376.7865818181817</v>
      </c>
      <c r="AL18">
        <v>0.02825927247285114</v>
      </c>
      <c r="AM18">
        <v>66.38384787954378</v>
      </c>
      <c r="AN18">
        <f>(AP18 - AO18 + DI18*1E3/(8.314*(DK18+273.15)) * AR18/DH18 * AQ18) * DH18/(100*CV18) * 1000/(1000 - AP18)</f>
        <v>0</v>
      </c>
      <c r="AO18">
        <v>9.136019565670502</v>
      </c>
      <c r="AP18">
        <v>18.390065</v>
      </c>
      <c r="AQ18">
        <v>0.0001322830167462572</v>
      </c>
      <c r="AR18">
        <v>80.44866334591464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417</v>
      </c>
      <c r="AY18" t="s">
        <v>417</v>
      </c>
      <c r="AZ18">
        <v>0</v>
      </c>
      <c r="BA18">
        <v>0</v>
      </c>
      <c r="BB18">
        <f>1-AZ18/BA18</f>
        <v>0</v>
      </c>
      <c r="BC18">
        <v>0</v>
      </c>
      <c r="BD18" t="s">
        <v>417</v>
      </c>
      <c r="BE18" t="s">
        <v>417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1238</v>
      </c>
      <c r="CA18">
        <v>300</v>
      </c>
      <c r="CB18">
        <v>300</v>
      </c>
      <c r="CC18">
        <v>300</v>
      </c>
      <c r="CD18">
        <v>10440.5</v>
      </c>
      <c r="CE18">
        <v>1411.69</v>
      </c>
      <c r="CF18">
        <v>-0.00735121</v>
      </c>
      <c r="CG18">
        <v>-0.77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1651857166.35</v>
      </c>
      <c r="DB18">
        <v>369.8332500000001</v>
      </c>
      <c r="DC18">
        <v>400.033</v>
      </c>
      <c r="DD18">
        <v>18.389</v>
      </c>
      <c r="DE18">
        <v>9.13274</v>
      </c>
      <c r="DF18">
        <v>371.05</v>
      </c>
      <c r="DG18">
        <v>18.38305</v>
      </c>
      <c r="DH18">
        <v>499.9565</v>
      </c>
      <c r="DI18">
        <v>90.08575</v>
      </c>
      <c r="DJ18">
        <v>0.09982045000000001</v>
      </c>
      <c r="DK18">
        <v>25.7027</v>
      </c>
      <c r="DL18">
        <v>24.992825</v>
      </c>
      <c r="DM18">
        <v>999.9</v>
      </c>
      <c r="DN18">
        <v>0</v>
      </c>
      <c r="DO18">
        <v>0</v>
      </c>
      <c r="DP18">
        <v>9995</v>
      </c>
      <c r="DQ18">
        <v>0</v>
      </c>
      <c r="DR18">
        <v>3.20383</v>
      </c>
      <c r="DS18">
        <v>-30.20005</v>
      </c>
      <c r="DT18">
        <v>376.76175</v>
      </c>
      <c r="DU18">
        <v>403.7205</v>
      </c>
      <c r="DV18">
        <v>9.256265000000001</v>
      </c>
      <c r="DW18">
        <v>400.033</v>
      </c>
      <c r="DX18">
        <v>9.13274</v>
      </c>
      <c r="DY18">
        <v>1.656585</v>
      </c>
      <c r="DZ18">
        <v>0.82272975</v>
      </c>
      <c r="EA18">
        <v>14.4955</v>
      </c>
      <c r="EB18">
        <v>4.1056425</v>
      </c>
      <c r="EC18">
        <v>1500.05</v>
      </c>
      <c r="ED18">
        <v>0.973007</v>
      </c>
      <c r="EE18">
        <v>0.0269931</v>
      </c>
      <c r="EF18">
        <v>0</v>
      </c>
      <c r="EG18">
        <v>1080.455</v>
      </c>
      <c r="EH18">
        <v>5.00097</v>
      </c>
      <c r="EI18">
        <v>16035.7</v>
      </c>
      <c r="EJ18">
        <v>12492.075</v>
      </c>
      <c r="EK18">
        <v>37.5935</v>
      </c>
      <c r="EL18">
        <v>39.062</v>
      </c>
      <c r="EM18">
        <v>38</v>
      </c>
      <c r="EN18">
        <v>38.812</v>
      </c>
      <c r="EO18">
        <v>38.437</v>
      </c>
      <c r="EP18">
        <v>1454.69</v>
      </c>
      <c r="EQ18">
        <v>40.36</v>
      </c>
      <c r="ER18">
        <v>0</v>
      </c>
      <c r="ES18">
        <v>166.8000001907349</v>
      </c>
      <c r="ET18">
        <v>0</v>
      </c>
      <c r="EU18">
        <v>1080.8948</v>
      </c>
      <c r="EV18">
        <v>-4.511538469324289</v>
      </c>
      <c r="EW18">
        <v>-56.73846141693667</v>
      </c>
      <c r="EX18">
        <v>16040.892</v>
      </c>
      <c r="EY18">
        <v>15</v>
      </c>
      <c r="EZ18">
        <v>1651857041.1</v>
      </c>
      <c r="FA18" t="s">
        <v>419</v>
      </c>
      <c r="FB18">
        <v>1651857019.6</v>
      </c>
      <c r="FC18">
        <v>1651857041.1</v>
      </c>
      <c r="FD18">
        <v>1</v>
      </c>
      <c r="FE18">
        <v>0.545</v>
      </c>
      <c r="FF18">
        <v>-0.002</v>
      </c>
      <c r="FG18">
        <v>-1.271</v>
      </c>
      <c r="FH18">
        <v>-0.09</v>
      </c>
      <c r="FI18">
        <v>400</v>
      </c>
      <c r="FJ18">
        <v>10</v>
      </c>
      <c r="FK18">
        <v>0.1</v>
      </c>
      <c r="FL18">
        <v>0.02</v>
      </c>
      <c r="FM18">
        <v>-30.23111707317074</v>
      </c>
      <c r="FN18">
        <v>-0.3987428571428669</v>
      </c>
      <c r="FO18">
        <v>0.06862032658550923</v>
      </c>
      <c r="FP18">
        <v>-1</v>
      </c>
      <c r="FQ18">
        <v>9.244886341463415</v>
      </c>
      <c r="FR18">
        <v>0.02913094076655613</v>
      </c>
      <c r="FS18">
        <v>0.004892543732669865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432</v>
      </c>
      <c r="GB18">
        <v>2.97963</v>
      </c>
      <c r="GC18">
        <v>2.70596</v>
      </c>
      <c r="GD18">
        <v>0.0848894</v>
      </c>
      <c r="GE18">
        <v>0.08904620000000001</v>
      </c>
      <c r="GF18">
        <v>0.08788029999999999</v>
      </c>
      <c r="GG18">
        <v>0.0516306</v>
      </c>
      <c r="GH18">
        <v>28868.4</v>
      </c>
      <c r="GI18">
        <v>28800.6</v>
      </c>
      <c r="GJ18">
        <v>29336.6</v>
      </c>
      <c r="GK18">
        <v>29250.1</v>
      </c>
      <c r="GL18">
        <v>35435.1</v>
      </c>
      <c r="GM18">
        <v>36943.1</v>
      </c>
      <c r="GN18">
        <v>41295.6</v>
      </c>
      <c r="GO18">
        <v>41743.9</v>
      </c>
      <c r="GP18">
        <v>1.9529</v>
      </c>
      <c r="GQ18">
        <v>1.83372</v>
      </c>
      <c r="GR18">
        <v>-0.0371262</v>
      </c>
      <c r="GS18">
        <v>0</v>
      </c>
      <c r="GT18">
        <v>25.6026</v>
      </c>
      <c r="GU18">
        <v>999.9</v>
      </c>
      <c r="GV18">
        <v>39.3</v>
      </c>
      <c r="GW18">
        <v>33.7</v>
      </c>
      <c r="GX18">
        <v>22.9227</v>
      </c>
      <c r="GY18">
        <v>62.3776</v>
      </c>
      <c r="GZ18">
        <v>35.1883</v>
      </c>
      <c r="HA18">
        <v>1</v>
      </c>
      <c r="HB18">
        <v>0.149967</v>
      </c>
      <c r="HC18">
        <v>2.37741</v>
      </c>
      <c r="HD18">
        <v>20.3178</v>
      </c>
      <c r="HE18">
        <v>5.22014</v>
      </c>
      <c r="HF18">
        <v>12.0099</v>
      </c>
      <c r="HG18">
        <v>4.98955</v>
      </c>
      <c r="HH18">
        <v>3.28925</v>
      </c>
      <c r="HI18">
        <v>845.4</v>
      </c>
      <c r="HJ18">
        <v>8410.4</v>
      </c>
      <c r="HK18">
        <v>5139.4</v>
      </c>
      <c r="HL18">
        <v>22.8</v>
      </c>
      <c r="HM18">
        <v>1.8675</v>
      </c>
      <c r="HN18">
        <v>1.86646</v>
      </c>
      <c r="HO18">
        <v>1.866</v>
      </c>
      <c r="HP18">
        <v>1.8659</v>
      </c>
      <c r="HQ18">
        <v>1.86771</v>
      </c>
      <c r="HR18">
        <v>1.87023</v>
      </c>
      <c r="HS18">
        <v>1.8689</v>
      </c>
      <c r="HT18">
        <v>1.87027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-1.216</v>
      </c>
      <c r="II18">
        <v>0.0061</v>
      </c>
      <c r="IJ18">
        <v>-0.4995723906072</v>
      </c>
      <c r="IK18">
        <v>-0.002077099775823331</v>
      </c>
      <c r="IL18">
        <v>4.593143279902166E-07</v>
      </c>
      <c r="IM18">
        <v>-1.865383991892071E-10</v>
      </c>
      <c r="IN18">
        <v>-0.07605349583632376</v>
      </c>
      <c r="IO18">
        <v>-0.01129461987421345</v>
      </c>
      <c r="IP18">
        <v>0.00116580895745559</v>
      </c>
      <c r="IQ18">
        <v>-1.679085872906199E-05</v>
      </c>
      <c r="IR18">
        <v>2</v>
      </c>
      <c r="IS18">
        <v>2290</v>
      </c>
      <c r="IT18">
        <v>0</v>
      </c>
      <c r="IU18">
        <v>32</v>
      </c>
      <c r="IV18">
        <v>2.5</v>
      </c>
      <c r="IW18">
        <v>2.1</v>
      </c>
      <c r="IX18">
        <v>0.996094</v>
      </c>
      <c r="IY18">
        <v>2.23022</v>
      </c>
      <c r="IZ18">
        <v>1.39648</v>
      </c>
      <c r="JA18">
        <v>2.35962</v>
      </c>
      <c r="JB18">
        <v>1.49536</v>
      </c>
      <c r="JC18">
        <v>2.28271</v>
      </c>
      <c r="JD18">
        <v>38.2568</v>
      </c>
      <c r="JE18">
        <v>24.035</v>
      </c>
      <c r="JF18">
        <v>18</v>
      </c>
      <c r="JG18">
        <v>514.298</v>
      </c>
      <c r="JH18">
        <v>423.107</v>
      </c>
      <c r="JI18">
        <v>22.4924</v>
      </c>
      <c r="JJ18">
        <v>29.302</v>
      </c>
      <c r="JK18">
        <v>29.9997</v>
      </c>
      <c r="JL18">
        <v>29.217</v>
      </c>
      <c r="JM18">
        <v>29.1329</v>
      </c>
      <c r="JN18">
        <v>19.9501</v>
      </c>
      <c r="JO18">
        <v>54.8806</v>
      </c>
      <c r="JP18">
        <v>0</v>
      </c>
      <c r="JQ18">
        <v>22.4967</v>
      </c>
      <c r="JR18">
        <v>393.381</v>
      </c>
      <c r="JS18">
        <v>9.05763</v>
      </c>
      <c r="JT18">
        <v>100.283</v>
      </c>
      <c r="JU18">
        <v>100.193</v>
      </c>
    </row>
    <row r="19" spans="1:281">
      <c r="A19">
        <v>3</v>
      </c>
      <c r="B19">
        <v>1651857169.6</v>
      </c>
      <c r="C19">
        <v>169</v>
      </c>
      <c r="D19" t="s">
        <v>433</v>
      </c>
      <c r="E19" t="s">
        <v>434</v>
      </c>
      <c r="F19">
        <v>2</v>
      </c>
      <c r="G19" t="s">
        <v>413</v>
      </c>
      <c r="H19" t="s">
        <v>414</v>
      </c>
      <c r="I19">
        <v>1651857168.6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403.6634896425458</v>
      </c>
      <c r="AK19">
        <v>376.7706121212122</v>
      </c>
      <c r="AL19">
        <v>0.004769897990961193</v>
      </c>
      <c r="AM19">
        <v>66.38384787954378</v>
      </c>
      <c r="AN19">
        <f>(AP19 - AO19 + DI19*1E3/(8.314*(DK19+273.15)) * AR19/DH19 * AQ19) * DH19/(100*CV19) * 1000/(1000 - AP19)</f>
        <v>0</v>
      </c>
      <c r="AO19">
        <v>9.133435463082607</v>
      </c>
      <c r="AP19">
        <v>18.39625294117647</v>
      </c>
      <c r="AQ19">
        <v>4.266185951368026E-05</v>
      </c>
      <c r="AR19">
        <v>80.44866334591464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417</v>
      </c>
      <c r="AY19" t="s">
        <v>417</v>
      </c>
      <c r="AZ19">
        <v>0</v>
      </c>
      <c r="BA19">
        <v>0</v>
      </c>
      <c r="BB19">
        <f>1-AZ19/BA19</f>
        <v>0</v>
      </c>
      <c r="BC19">
        <v>0</v>
      </c>
      <c r="BD19" t="s">
        <v>417</v>
      </c>
      <c r="BE19" t="s">
        <v>417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1238</v>
      </c>
      <c r="CA19">
        <v>300</v>
      </c>
      <c r="CB19">
        <v>300</v>
      </c>
      <c r="CC19">
        <v>300</v>
      </c>
      <c r="CD19">
        <v>10440.5</v>
      </c>
      <c r="CE19">
        <v>1411.69</v>
      </c>
      <c r="CF19">
        <v>-0.00735121</v>
      </c>
      <c r="CG19">
        <v>-0.77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1651857168.6</v>
      </c>
      <c r="DB19">
        <v>369.8453333333334</v>
      </c>
      <c r="DC19">
        <v>399.8803333333333</v>
      </c>
      <c r="DD19">
        <v>18.39463333333333</v>
      </c>
      <c r="DE19">
        <v>9.135673333333333</v>
      </c>
      <c r="DF19">
        <v>371.0623333333333</v>
      </c>
      <c r="DG19">
        <v>18.38856666666667</v>
      </c>
      <c r="DH19">
        <v>499.9349999999999</v>
      </c>
      <c r="DI19">
        <v>90.0859</v>
      </c>
      <c r="DJ19">
        <v>0.09971376666666666</v>
      </c>
      <c r="DK19">
        <v>25.70346666666667</v>
      </c>
      <c r="DL19">
        <v>24.99373333333333</v>
      </c>
      <c r="DM19">
        <v>999.9</v>
      </c>
      <c r="DN19">
        <v>0</v>
      </c>
      <c r="DO19">
        <v>0</v>
      </c>
      <c r="DP19">
        <v>9986.873333333335</v>
      </c>
      <c r="DQ19">
        <v>0</v>
      </c>
      <c r="DR19">
        <v>3.20383</v>
      </c>
      <c r="DS19">
        <v>-30.0352</v>
      </c>
      <c r="DT19">
        <v>376.776</v>
      </c>
      <c r="DU19">
        <v>403.5673333333334</v>
      </c>
      <c r="DV19">
        <v>9.258973333333332</v>
      </c>
      <c r="DW19">
        <v>399.8803333333333</v>
      </c>
      <c r="DX19">
        <v>9.135673333333333</v>
      </c>
      <c r="DY19">
        <v>1.6571</v>
      </c>
      <c r="DZ19">
        <v>0.8229953333333334</v>
      </c>
      <c r="EA19">
        <v>14.5003</v>
      </c>
      <c r="EB19">
        <v>4.110233333333333</v>
      </c>
      <c r="EC19">
        <v>1500.046666666667</v>
      </c>
      <c r="ED19">
        <v>0.973007</v>
      </c>
      <c r="EE19">
        <v>0.0269931</v>
      </c>
      <c r="EF19">
        <v>0</v>
      </c>
      <c r="EG19">
        <v>1080.41</v>
      </c>
      <c r="EH19">
        <v>5.00097</v>
      </c>
      <c r="EI19">
        <v>16033.26666666667</v>
      </c>
      <c r="EJ19">
        <v>12492</v>
      </c>
      <c r="EK19">
        <v>37.562</v>
      </c>
      <c r="EL19">
        <v>39.062</v>
      </c>
      <c r="EM19">
        <v>38</v>
      </c>
      <c r="EN19">
        <v>38.812</v>
      </c>
      <c r="EO19">
        <v>38.437</v>
      </c>
      <c r="EP19">
        <v>1454.686666666666</v>
      </c>
      <c r="EQ19">
        <v>40.36</v>
      </c>
      <c r="ER19">
        <v>0</v>
      </c>
      <c r="ES19">
        <v>168.6000001430511</v>
      </c>
      <c r="ET19">
        <v>0</v>
      </c>
      <c r="EU19">
        <v>1080.801538461538</v>
      </c>
      <c r="EV19">
        <v>-4.722735063669692</v>
      </c>
      <c r="EW19">
        <v>-60.7452991954873</v>
      </c>
      <c r="EX19">
        <v>16039.54615384615</v>
      </c>
      <c r="EY19">
        <v>15</v>
      </c>
      <c r="EZ19">
        <v>1651857041.1</v>
      </c>
      <c r="FA19" t="s">
        <v>419</v>
      </c>
      <c r="FB19">
        <v>1651857019.6</v>
      </c>
      <c r="FC19">
        <v>1651857041.1</v>
      </c>
      <c r="FD19">
        <v>1</v>
      </c>
      <c r="FE19">
        <v>0.545</v>
      </c>
      <c r="FF19">
        <v>-0.002</v>
      </c>
      <c r="FG19">
        <v>-1.271</v>
      </c>
      <c r="FH19">
        <v>-0.09</v>
      </c>
      <c r="FI19">
        <v>400</v>
      </c>
      <c r="FJ19">
        <v>10</v>
      </c>
      <c r="FK19">
        <v>0.1</v>
      </c>
      <c r="FL19">
        <v>0.02</v>
      </c>
      <c r="FM19">
        <v>-30.217425</v>
      </c>
      <c r="FN19">
        <v>0.0753298311444674</v>
      </c>
      <c r="FO19">
        <v>0.08979154679032986</v>
      </c>
      <c r="FP19">
        <v>-1</v>
      </c>
      <c r="FQ19">
        <v>9.2465405</v>
      </c>
      <c r="FR19">
        <v>0.06396450281425296</v>
      </c>
      <c r="FS19">
        <v>0.006829845880398849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432</v>
      </c>
      <c r="GB19">
        <v>2.97952</v>
      </c>
      <c r="GC19">
        <v>2.70586</v>
      </c>
      <c r="GD19">
        <v>0.0848855</v>
      </c>
      <c r="GE19">
        <v>0.0890436</v>
      </c>
      <c r="GF19">
        <v>0.08789039999999999</v>
      </c>
      <c r="GG19">
        <v>0.0516451</v>
      </c>
      <c r="GH19">
        <v>28868.5</v>
      </c>
      <c r="GI19">
        <v>28800.6</v>
      </c>
      <c r="GJ19">
        <v>29336.5</v>
      </c>
      <c r="GK19">
        <v>29249.9</v>
      </c>
      <c r="GL19">
        <v>35434.7</v>
      </c>
      <c r="GM19">
        <v>36942.8</v>
      </c>
      <c r="GN19">
        <v>41295.6</v>
      </c>
      <c r="GO19">
        <v>41744.2</v>
      </c>
      <c r="GP19">
        <v>1.9529</v>
      </c>
      <c r="GQ19">
        <v>1.83363</v>
      </c>
      <c r="GR19">
        <v>-0.0371858</v>
      </c>
      <c r="GS19">
        <v>0</v>
      </c>
      <c r="GT19">
        <v>25.6015</v>
      </c>
      <c r="GU19">
        <v>999.9</v>
      </c>
      <c r="GV19">
        <v>39.3</v>
      </c>
      <c r="GW19">
        <v>33.7</v>
      </c>
      <c r="GX19">
        <v>22.9199</v>
      </c>
      <c r="GY19">
        <v>62.6276</v>
      </c>
      <c r="GZ19">
        <v>35.5569</v>
      </c>
      <c r="HA19">
        <v>1</v>
      </c>
      <c r="HB19">
        <v>0.149919</v>
      </c>
      <c r="HC19">
        <v>2.373</v>
      </c>
      <c r="HD19">
        <v>20.317</v>
      </c>
      <c r="HE19">
        <v>5.21639</v>
      </c>
      <c r="HF19">
        <v>12.0099</v>
      </c>
      <c r="HG19">
        <v>4.9883</v>
      </c>
      <c r="HH19">
        <v>3.28858</v>
      </c>
      <c r="HI19">
        <v>845.4</v>
      </c>
      <c r="HJ19">
        <v>8410.4</v>
      </c>
      <c r="HK19">
        <v>5139.4</v>
      </c>
      <c r="HL19">
        <v>22.8</v>
      </c>
      <c r="HM19">
        <v>1.8675</v>
      </c>
      <c r="HN19">
        <v>1.86646</v>
      </c>
      <c r="HO19">
        <v>1.866</v>
      </c>
      <c r="HP19">
        <v>1.86589</v>
      </c>
      <c r="HQ19">
        <v>1.8677</v>
      </c>
      <c r="HR19">
        <v>1.87025</v>
      </c>
      <c r="HS19">
        <v>1.8689</v>
      </c>
      <c r="HT19">
        <v>1.87027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-1.217</v>
      </c>
      <c r="II19">
        <v>0.0061</v>
      </c>
      <c r="IJ19">
        <v>-0.4995723906072</v>
      </c>
      <c r="IK19">
        <v>-0.002077099775823331</v>
      </c>
      <c r="IL19">
        <v>4.593143279902166E-07</v>
      </c>
      <c r="IM19">
        <v>-1.865383991892071E-10</v>
      </c>
      <c r="IN19">
        <v>-0.07605349583632376</v>
      </c>
      <c r="IO19">
        <v>-0.01129461987421345</v>
      </c>
      <c r="IP19">
        <v>0.00116580895745559</v>
      </c>
      <c r="IQ19">
        <v>-1.679085872906199E-05</v>
      </c>
      <c r="IR19">
        <v>2</v>
      </c>
      <c r="IS19">
        <v>2290</v>
      </c>
      <c r="IT19">
        <v>0</v>
      </c>
      <c r="IU19">
        <v>32</v>
      </c>
      <c r="IV19">
        <v>2.5</v>
      </c>
      <c r="IW19">
        <v>2.1</v>
      </c>
      <c r="IX19">
        <v>0.987549</v>
      </c>
      <c r="IY19">
        <v>2.2229</v>
      </c>
      <c r="IZ19">
        <v>1.39648</v>
      </c>
      <c r="JA19">
        <v>2.35962</v>
      </c>
      <c r="JB19">
        <v>1.49536</v>
      </c>
      <c r="JC19">
        <v>2.34619</v>
      </c>
      <c r="JD19">
        <v>38.2568</v>
      </c>
      <c r="JE19">
        <v>24.0437</v>
      </c>
      <c r="JF19">
        <v>18</v>
      </c>
      <c r="JG19">
        <v>514.298</v>
      </c>
      <c r="JH19">
        <v>423.048</v>
      </c>
      <c r="JI19">
        <v>22.4949</v>
      </c>
      <c r="JJ19">
        <v>29.3002</v>
      </c>
      <c r="JK19">
        <v>29.9998</v>
      </c>
      <c r="JL19">
        <v>29.217</v>
      </c>
      <c r="JM19">
        <v>29.1329</v>
      </c>
      <c r="JN19">
        <v>19.7858</v>
      </c>
      <c r="JO19">
        <v>54.8806</v>
      </c>
      <c r="JP19">
        <v>0</v>
      </c>
      <c r="JQ19">
        <v>22.5022</v>
      </c>
      <c r="JR19">
        <v>386.678</v>
      </c>
      <c r="JS19">
        <v>9.04767</v>
      </c>
      <c r="JT19">
        <v>100.283</v>
      </c>
      <c r="JU19">
        <v>100.194</v>
      </c>
    </row>
    <row r="20" spans="1:281">
      <c r="A20">
        <v>4</v>
      </c>
      <c r="B20">
        <v>1651857171.6</v>
      </c>
      <c r="C20">
        <v>171</v>
      </c>
      <c r="D20" t="s">
        <v>435</v>
      </c>
      <c r="E20" t="s">
        <v>436</v>
      </c>
      <c r="F20">
        <v>2</v>
      </c>
      <c r="G20" t="s">
        <v>413</v>
      </c>
      <c r="H20" t="s">
        <v>414</v>
      </c>
      <c r="I20">
        <v>1651857170.225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403.6195272405614</v>
      </c>
      <c r="AK20">
        <v>376.7151999999999</v>
      </c>
      <c r="AL20">
        <v>-0.007522116989961786</v>
      </c>
      <c r="AM20">
        <v>66.38384787954378</v>
      </c>
      <c r="AN20">
        <f>(AP20 - AO20 + DI20*1E3/(8.314*(DK20+273.15)) * AR20/DH20 * AQ20) * DH20/(100*CV20) * 1000/(1000 - AP20)</f>
        <v>0</v>
      </c>
      <c r="AO20">
        <v>9.133257749703692</v>
      </c>
      <c r="AP20">
        <v>18.3999955882353</v>
      </c>
      <c r="AQ20">
        <v>0.0001616992883944313</v>
      </c>
      <c r="AR20">
        <v>80.44866334591464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417</v>
      </c>
      <c r="AY20" t="s">
        <v>417</v>
      </c>
      <c r="AZ20">
        <v>0</v>
      </c>
      <c r="BA20">
        <v>0</v>
      </c>
      <c r="BB20">
        <f>1-AZ20/BA20</f>
        <v>0</v>
      </c>
      <c r="BC20">
        <v>0</v>
      </c>
      <c r="BD20" t="s">
        <v>417</v>
      </c>
      <c r="BE20" t="s">
        <v>417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1238</v>
      </c>
      <c r="CA20">
        <v>300</v>
      </c>
      <c r="CB20">
        <v>300</v>
      </c>
      <c r="CC20">
        <v>300</v>
      </c>
      <c r="CD20">
        <v>10440.5</v>
      </c>
      <c r="CE20">
        <v>1411.69</v>
      </c>
      <c r="CF20">
        <v>-0.00735121</v>
      </c>
      <c r="CG20">
        <v>-0.77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1651857170.225</v>
      </c>
      <c r="DB20">
        <v>369.8085</v>
      </c>
      <c r="DC20">
        <v>399.686</v>
      </c>
      <c r="DD20">
        <v>18.398</v>
      </c>
      <c r="DE20">
        <v>9.136890000000001</v>
      </c>
      <c r="DF20">
        <v>371.025</v>
      </c>
      <c r="DG20">
        <v>18.391875</v>
      </c>
      <c r="DH20">
        <v>500.02625</v>
      </c>
      <c r="DI20">
        <v>90.086725</v>
      </c>
      <c r="DJ20">
        <v>0.09989235</v>
      </c>
      <c r="DK20">
        <v>25.704325</v>
      </c>
      <c r="DL20">
        <v>24.989325</v>
      </c>
      <c r="DM20">
        <v>999.9</v>
      </c>
      <c r="DN20">
        <v>0</v>
      </c>
      <c r="DO20">
        <v>0</v>
      </c>
      <c r="DP20">
        <v>9977.657499999999</v>
      </c>
      <c r="DQ20">
        <v>0</v>
      </c>
      <c r="DR20">
        <v>3.20383</v>
      </c>
      <c r="DS20">
        <v>-29.87785</v>
      </c>
      <c r="DT20">
        <v>376.73975</v>
      </c>
      <c r="DU20">
        <v>403.372</v>
      </c>
      <c r="DV20">
        <v>9.2610925</v>
      </c>
      <c r="DW20">
        <v>399.686</v>
      </c>
      <c r="DX20">
        <v>9.136890000000001</v>
      </c>
      <c r="DY20">
        <v>1.657415</v>
      </c>
      <c r="DZ20">
        <v>0.8231127500000001</v>
      </c>
      <c r="EA20">
        <v>14.50325</v>
      </c>
      <c r="EB20">
        <v>4.112270000000001</v>
      </c>
      <c r="EC20">
        <v>1499.975</v>
      </c>
      <c r="ED20">
        <v>0.97300575</v>
      </c>
      <c r="EE20">
        <v>0.02699445</v>
      </c>
      <c r="EF20">
        <v>0</v>
      </c>
      <c r="EG20">
        <v>1080.1775</v>
      </c>
      <c r="EH20">
        <v>5.00097</v>
      </c>
      <c r="EI20">
        <v>16030.425</v>
      </c>
      <c r="EJ20">
        <v>12491.425</v>
      </c>
      <c r="EK20">
        <v>37.562</v>
      </c>
      <c r="EL20">
        <v>39.062</v>
      </c>
      <c r="EM20">
        <v>38</v>
      </c>
      <c r="EN20">
        <v>38.812</v>
      </c>
      <c r="EO20">
        <v>38.437</v>
      </c>
      <c r="EP20">
        <v>1454.615</v>
      </c>
      <c r="EQ20">
        <v>40.36</v>
      </c>
      <c r="ER20">
        <v>0</v>
      </c>
      <c r="ES20">
        <v>171</v>
      </c>
      <c r="ET20">
        <v>0</v>
      </c>
      <c r="EU20">
        <v>1080.653461538461</v>
      </c>
      <c r="EV20">
        <v>-4.008547036114821</v>
      </c>
      <c r="EW20">
        <v>-63.22735041848493</v>
      </c>
      <c r="EX20">
        <v>16037.01538461539</v>
      </c>
      <c r="EY20">
        <v>15</v>
      </c>
      <c r="EZ20">
        <v>1651857041.1</v>
      </c>
      <c r="FA20" t="s">
        <v>419</v>
      </c>
      <c r="FB20">
        <v>1651857019.6</v>
      </c>
      <c r="FC20">
        <v>1651857041.1</v>
      </c>
      <c r="FD20">
        <v>1</v>
      </c>
      <c r="FE20">
        <v>0.545</v>
      </c>
      <c r="FF20">
        <v>-0.002</v>
      </c>
      <c r="FG20">
        <v>-1.271</v>
      </c>
      <c r="FH20">
        <v>-0.09</v>
      </c>
      <c r="FI20">
        <v>400</v>
      </c>
      <c r="FJ20">
        <v>10</v>
      </c>
      <c r="FK20">
        <v>0.1</v>
      </c>
      <c r="FL20">
        <v>0.02</v>
      </c>
      <c r="FM20">
        <v>-30.20389756097561</v>
      </c>
      <c r="FN20">
        <v>0.4000369337978214</v>
      </c>
      <c r="FO20">
        <v>0.1088467830906045</v>
      </c>
      <c r="FP20">
        <v>-1</v>
      </c>
      <c r="FQ20">
        <v>9.247907560975609</v>
      </c>
      <c r="FR20">
        <v>0.07262592334495308</v>
      </c>
      <c r="FS20">
        <v>0.007680985956937593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432</v>
      </c>
      <c r="GB20">
        <v>2.9797</v>
      </c>
      <c r="GC20">
        <v>2.70588</v>
      </c>
      <c r="GD20">
        <v>0.0848778</v>
      </c>
      <c r="GE20">
        <v>0.0888833</v>
      </c>
      <c r="GF20">
        <v>0.08789710000000001</v>
      </c>
      <c r="GG20">
        <v>0.0516541</v>
      </c>
      <c r="GH20">
        <v>28868.8</v>
      </c>
      <c r="GI20">
        <v>28805.9</v>
      </c>
      <c r="GJ20">
        <v>29336.6</v>
      </c>
      <c r="GK20">
        <v>29250.2</v>
      </c>
      <c r="GL20">
        <v>35434.7</v>
      </c>
      <c r="GM20">
        <v>36943</v>
      </c>
      <c r="GN20">
        <v>41295.9</v>
      </c>
      <c r="GO20">
        <v>41744.8</v>
      </c>
      <c r="GP20">
        <v>1.95308</v>
      </c>
      <c r="GQ20">
        <v>1.83355</v>
      </c>
      <c r="GR20">
        <v>-0.0375956</v>
      </c>
      <c r="GS20">
        <v>0</v>
      </c>
      <c r="GT20">
        <v>25.6015</v>
      </c>
      <c r="GU20">
        <v>999.9</v>
      </c>
      <c r="GV20">
        <v>39.3</v>
      </c>
      <c r="GW20">
        <v>33.7</v>
      </c>
      <c r="GX20">
        <v>22.9245</v>
      </c>
      <c r="GY20">
        <v>62.4876</v>
      </c>
      <c r="GZ20">
        <v>35.4167</v>
      </c>
      <c r="HA20">
        <v>1</v>
      </c>
      <c r="HB20">
        <v>0.149947</v>
      </c>
      <c r="HC20">
        <v>2.3654</v>
      </c>
      <c r="HD20">
        <v>20.317</v>
      </c>
      <c r="HE20">
        <v>5.21684</v>
      </c>
      <c r="HF20">
        <v>12.0099</v>
      </c>
      <c r="HG20">
        <v>4.9885</v>
      </c>
      <c r="HH20">
        <v>3.28865</v>
      </c>
      <c r="HI20">
        <v>845.4</v>
      </c>
      <c r="HJ20">
        <v>8410.4</v>
      </c>
      <c r="HK20">
        <v>5139.4</v>
      </c>
      <c r="HL20">
        <v>22.8</v>
      </c>
      <c r="HM20">
        <v>1.86751</v>
      </c>
      <c r="HN20">
        <v>1.86646</v>
      </c>
      <c r="HO20">
        <v>1.866</v>
      </c>
      <c r="HP20">
        <v>1.86588</v>
      </c>
      <c r="HQ20">
        <v>1.86768</v>
      </c>
      <c r="HR20">
        <v>1.87026</v>
      </c>
      <c r="HS20">
        <v>1.8689</v>
      </c>
      <c r="HT20">
        <v>1.87026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-1.216</v>
      </c>
      <c r="II20">
        <v>0.0061</v>
      </c>
      <c r="IJ20">
        <v>-0.4995723906072</v>
      </c>
      <c r="IK20">
        <v>-0.002077099775823331</v>
      </c>
      <c r="IL20">
        <v>4.593143279902166E-07</v>
      </c>
      <c r="IM20">
        <v>-1.865383991892071E-10</v>
      </c>
      <c r="IN20">
        <v>-0.07605349583632376</v>
      </c>
      <c r="IO20">
        <v>-0.01129461987421345</v>
      </c>
      <c r="IP20">
        <v>0.00116580895745559</v>
      </c>
      <c r="IQ20">
        <v>-1.679085872906199E-05</v>
      </c>
      <c r="IR20">
        <v>2</v>
      </c>
      <c r="IS20">
        <v>2290</v>
      </c>
      <c r="IT20">
        <v>0</v>
      </c>
      <c r="IU20">
        <v>32</v>
      </c>
      <c r="IV20">
        <v>2.5</v>
      </c>
      <c r="IW20">
        <v>2.2</v>
      </c>
      <c r="IX20">
        <v>0.977783</v>
      </c>
      <c r="IY20">
        <v>2.22778</v>
      </c>
      <c r="IZ20">
        <v>1.39648</v>
      </c>
      <c r="JA20">
        <v>2.35962</v>
      </c>
      <c r="JB20">
        <v>1.49536</v>
      </c>
      <c r="JC20">
        <v>2.30591</v>
      </c>
      <c r="JD20">
        <v>38.2568</v>
      </c>
      <c r="JE20">
        <v>24.0437</v>
      </c>
      <c r="JF20">
        <v>18</v>
      </c>
      <c r="JG20">
        <v>514.408</v>
      </c>
      <c r="JH20">
        <v>423.003</v>
      </c>
      <c r="JI20">
        <v>22.4976</v>
      </c>
      <c r="JJ20">
        <v>29.2983</v>
      </c>
      <c r="JK20">
        <v>29.9999</v>
      </c>
      <c r="JL20">
        <v>29.2163</v>
      </c>
      <c r="JM20">
        <v>29.1329</v>
      </c>
      <c r="JN20">
        <v>19.5705</v>
      </c>
      <c r="JO20">
        <v>55.1678</v>
      </c>
      <c r="JP20">
        <v>0</v>
      </c>
      <c r="JQ20">
        <v>22.5022</v>
      </c>
      <c r="JR20">
        <v>379.982</v>
      </c>
      <c r="JS20">
        <v>9.04115</v>
      </c>
      <c r="JT20">
        <v>100.283</v>
      </c>
      <c r="JU20">
        <v>100.195</v>
      </c>
    </row>
    <row r="21" spans="1:281">
      <c r="A21">
        <v>5</v>
      </c>
      <c r="B21">
        <v>1651857173.6</v>
      </c>
      <c r="C21">
        <v>173</v>
      </c>
      <c r="D21" t="s">
        <v>437</v>
      </c>
      <c r="E21" t="s">
        <v>438</v>
      </c>
      <c r="F21">
        <v>2</v>
      </c>
      <c r="G21" t="s">
        <v>413</v>
      </c>
      <c r="H21" t="s">
        <v>414</v>
      </c>
      <c r="I21">
        <v>1651857172.6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403.2522003087577</v>
      </c>
      <c r="AK21">
        <v>376.5659818181818</v>
      </c>
      <c r="AL21">
        <v>-0.05856418901370487</v>
      </c>
      <c r="AM21">
        <v>66.38384787954378</v>
      </c>
      <c r="AN21">
        <f>(AP21 - AO21 + DI21*1E3/(8.314*(DK21+273.15)) * AR21/DH21 * AQ21) * DH21/(100*CV21) * 1000/(1000 - AP21)</f>
        <v>0</v>
      </c>
      <c r="AO21">
        <v>9.136208966728672</v>
      </c>
      <c r="AP21">
        <v>18.39844970588235</v>
      </c>
      <c r="AQ21">
        <v>0.0003132876235731641</v>
      </c>
      <c r="AR21">
        <v>80.44866334591464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417</v>
      </c>
      <c r="AY21" t="s">
        <v>417</v>
      </c>
      <c r="AZ21">
        <v>0</v>
      </c>
      <c r="BA21">
        <v>0</v>
      </c>
      <c r="BB21">
        <f>1-AZ21/BA21</f>
        <v>0</v>
      </c>
      <c r="BC21">
        <v>0</v>
      </c>
      <c r="BD21" t="s">
        <v>417</v>
      </c>
      <c r="BE21" t="s">
        <v>417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1238</v>
      </c>
      <c r="CA21">
        <v>300</v>
      </c>
      <c r="CB21">
        <v>300</v>
      </c>
      <c r="CC21">
        <v>300</v>
      </c>
      <c r="CD21">
        <v>10440.5</v>
      </c>
      <c r="CE21">
        <v>1411.69</v>
      </c>
      <c r="CF21">
        <v>-0.00735121</v>
      </c>
      <c r="CG21">
        <v>-0.77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1651857172.6</v>
      </c>
      <c r="DB21">
        <v>369.6916666666667</v>
      </c>
      <c r="DC21">
        <v>397.6556666666667</v>
      </c>
      <c r="DD21">
        <v>18.39856666666667</v>
      </c>
      <c r="DE21">
        <v>9.135353333333333</v>
      </c>
      <c r="DF21">
        <v>370.9080000000001</v>
      </c>
      <c r="DG21">
        <v>18.39243333333333</v>
      </c>
      <c r="DH21">
        <v>500.0083333333334</v>
      </c>
      <c r="DI21">
        <v>90.0859</v>
      </c>
      <c r="DJ21">
        <v>0.09980776666666667</v>
      </c>
      <c r="DK21">
        <v>25.7072</v>
      </c>
      <c r="DL21">
        <v>24.98496666666666</v>
      </c>
      <c r="DM21">
        <v>999.9</v>
      </c>
      <c r="DN21">
        <v>0</v>
      </c>
      <c r="DO21">
        <v>0</v>
      </c>
      <c r="DP21">
        <v>9986.233333333334</v>
      </c>
      <c r="DQ21">
        <v>0</v>
      </c>
      <c r="DR21">
        <v>3.20383</v>
      </c>
      <c r="DS21">
        <v>-27.96373333333333</v>
      </c>
      <c r="DT21">
        <v>376.6209999999999</v>
      </c>
      <c r="DU21">
        <v>401.3216666666667</v>
      </c>
      <c r="DV21">
        <v>9.263219999999999</v>
      </c>
      <c r="DW21">
        <v>397.6556666666667</v>
      </c>
      <c r="DX21">
        <v>9.135353333333333</v>
      </c>
      <c r="DY21">
        <v>1.65745</v>
      </c>
      <c r="DZ21">
        <v>0.8229660000000001</v>
      </c>
      <c r="EA21">
        <v>14.5036</v>
      </c>
      <c r="EB21">
        <v>4.109733333333334</v>
      </c>
      <c r="EC21">
        <v>1500.05</v>
      </c>
      <c r="ED21">
        <v>0.973007</v>
      </c>
      <c r="EE21">
        <v>0.0269931</v>
      </c>
      <c r="EF21">
        <v>0</v>
      </c>
      <c r="EG21">
        <v>1080.193333333333</v>
      </c>
      <c r="EH21">
        <v>5.00097</v>
      </c>
      <c r="EI21">
        <v>16030.13333333333</v>
      </c>
      <c r="EJ21">
        <v>12492.03333333333</v>
      </c>
      <c r="EK21">
        <v>37.583</v>
      </c>
      <c r="EL21">
        <v>39.062</v>
      </c>
      <c r="EM21">
        <v>38</v>
      </c>
      <c r="EN21">
        <v>38.812</v>
      </c>
      <c r="EO21">
        <v>38.437</v>
      </c>
      <c r="EP21">
        <v>1454.69</v>
      </c>
      <c r="EQ21">
        <v>40.36</v>
      </c>
      <c r="ER21">
        <v>0</v>
      </c>
      <c r="ES21">
        <v>172.8000001907349</v>
      </c>
      <c r="ET21">
        <v>0</v>
      </c>
      <c r="EU21">
        <v>1080.4996</v>
      </c>
      <c r="EV21">
        <v>-3.684615399699031</v>
      </c>
      <c r="EW21">
        <v>-55.97692296200347</v>
      </c>
      <c r="EX21">
        <v>16035.056</v>
      </c>
      <c r="EY21">
        <v>15</v>
      </c>
      <c r="EZ21">
        <v>1651857041.1</v>
      </c>
      <c r="FA21" t="s">
        <v>419</v>
      </c>
      <c r="FB21">
        <v>1651857019.6</v>
      </c>
      <c r="FC21">
        <v>1651857041.1</v>
      </c>
      <c r="FD21">
        <v>1</v>
      </c>
      <c r="FE21">
        <v>0.545</v>
      </c>
      <c r="FF21">
        <v>-0.002</v>
      </c>
      <c r="FG21">
        <v>-1.271</v>
      </c>
      <c r="FH21">
        <v>-0.09</v>
      </c>
      <c r="FI21">
        <v>400</v>
      </c>
      <c r="FJ21">
        <v>10</v>
      </c>
      <c r="FK21">
        <v>0.1</v>
      </c>
      <c r="FL21">
        <v>0.02</v>
      </c>
      <c r="FM21">
        <v>-30.001785</v>
      </c>
      <c r="FN21">
        <v>4.022156848030083</v>
      </c>
      <c r="FO21">
        <v>0.6422202385280301</v>
      </c>
      <c r="FP21">
        <v>-1</v>
      </c>
      <c r="FQ21">
        <v>9.250654750000001</v>
      </c>
      <c r="FR21">
        <v>0.08656649155721938</v>
      </c>
      <c r="FS21">
        <v>0.008484596922511987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432</v>
      </c>
      <c r="GB21">
        <v>2.97966</v>
      </c>
      <c r="GC21">
        <v>2.70589</v>
      </c>
      <c r="GD21">
        <v>0.0848212</v>
      </c>
      <c r="GE21">
        <v>0.0883322</v>
      </c>
      <c r="GF21">
        <v>0.0878969</v>
      </c>
      <c r="GG21">
        <v>0.0516314</v>
      </c>
      <c r="GH21">
        <v>28870.8</v>
      </c>
      <c r="GI21">
        <v>28823.5</v>
      </c>
      <c r="GJ21">
        <v>29336.8</v>
      </c>
      <c r="GK21">
        <v>29250.4</v>
      </c>
      <c r="GL21">
        <v>35434.9</v>
      </c>
      <c r="GM21">
        <v>36943.9</v>
      </c>
      <c r="GN21">
        <v>41296.1</v>
      </c>
      <c r="GO21">
        <v>41744.8</v>
      </c>
      <c r="GP21">
        <v>1.9531</v>
      </c>
      <c r="GQ21">
        <v>1.83363</v>
      </c>
      <c r="GR21">
        <v>-0.037536</v>
      </c>
      <c r="GS21">
        <v>0</v>
      </c>
      <c r="GT21">
        <v>25.6015</v>
      </c>
      <c r="GU21">
        <v>999.9</v>
      </c>
      <c r="GV21">
        <v>39.3</v>
      </c>
      <c r="GW21">
        <v>33.7</v>
      </c>
      <c r="GX21">
        <v>22.9213</v>
      </c>
      <c r="GY21">
        <v>62.1676</v>
      </c>
      <c r="GZ21">
        <v>35.4968</v>
      </c>
      <c r="HA21">
        <v>1</v>
      </c>
      <c r="HB21">
        <v>0.14986</v>
      </c>
      <c r="HC21">
        <v>2.36603</v>
      </c>
      <c r="HD21">
        <v>20.3171</v>
      </c>
      <c r="HE21">
        <v>5.21654</v>
      </c>
      <c r="HF21">
        <v>12.0099</v>
      </c>
      <c r="HG21">
        <v>4.98805</v>
      </c>
      <c r="HH21">
        <v>3.28855</v>
      </c>
      <c r="HI21">
        <v>845.6</v>
      </c>
      <c r="HJ21">
        <v>8412.6</v>
      </c>
      <c r="HK21">
        <v>5139.4</v>
      </c>
      <c r="HL21">
        <v>22.8</v>
      </c>
      <c r="HM21">
        <v>1.8675</v>
      </c>
      <c r="HN21">
        <v>1.86646</v>
      </c>
      <c r="HO21">
        <v>1.866</v>
      </c>
      <c r="HP21">
        <v>1.86588</v>
      </c>
      <c r="HQ21">
        <v>1.86769</v>
      </c>
      <c r="HR21">
        <v>1.87026</v>
      </c>
      <c r="HS21">
        <v>1.8689</v>
      </c>
      <c r="HT21">
        <v>1.87026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-1.216</v>
      </c>
      <c r="II21">
        <v>0.0061</v>
      </c>
      <c r="IJ21">
        <v>-0.4995723906072</v>
      </c>
      <c r="IK21">
        <v>-0.002077099775823331</v>
      </c>
      <c r="IL21">
        <v>4.593143279902166E-07</v>
      </c>
      <c r="IM21">
        <v>-1.865383991892071E-10</v>
      </c>
      <c r="IN21">
        <v>-0.07605349583632376</v>
      </c>
      <c r="IO21">
        <v>-0.01129461987421345</v>
      </c>
      <c r="IP21">
        <v>0.00116580895745559</v>
      </c>
      <c r="IQ21">
        <v>-1.679085872906199E-05</v>
      </c>
      <c r="IR21">
        <v>2</v>
      </c>
      <c r="IS21">
        <v>2290</v>
      </c>
      <c r="IT21">
        <v>0</v>
      </c>
      <c r="IU21">
        <v>32</v>
      </c>
      <c r="IV21">
        <v>2.6</v>
      </c>
      <c r="IW21">
        <v>2.2</v>
      </c>
      <c r="IX21">
        <v>0.965576</v>
      </c>
      <c r="IY21">
        <v>2.23145</v>
      </c>
      <c r="IZ21">
        <v>1.39648</v>
      </c>
      <c r="JA21">
        <v>2.36084</v>
      </c>
      <c r="JB21">
        <v>1.49536</v>
      </c>
      <c r="JC21">
        <v>2.30225</v>
      </c>
      <c r="JD21">
        <v>38.2568</v>
      </c>
      <c r="JE21">
        <v>24.035</v>
      </c>
      <c r="JF21">
        <v>18</v>
      </c>
      <c r="JG21">
        <v>514.413</v>
      </c>
      <c r="JH21">
        <v>423.047</v>
      </c>
      <c r="JI21">
        <v>22.5006</v>
      </c>
      <c r="JJ21">
        <v>29.2969</v>
      </c>
      <c r="JK21">
        <v>29.9998</v>
      </c>
      <c r="JL21">
        <v>29.215</v>
      </c>
      <c r="JM21">
        <v>29.1329</v>
      </c>
      <c r="JN21">
        <v>19.3241</v>
      </c>
      <c r="JO21">
        <v>55.1678</v>
      </c>
      <c r="JP21">
        <v>0</v>
      </c>
      <c r="JQ21">
        <v>22.5104</v>
      </c>
      <c r="JR21">
        <v>373.284</v>
      </c>
      <c r="JS21">
        <v>9.03209</v>
      </c>
      <c r="JT21">
        <v>100.284</v>
      </c>
      <c r="JU21">
        <v>100.195</v>
      </c>
    </row>
    <row r="22" spans="1:281">
      <c r="A22">
        <v>6</v>
      </c>
      <c r="B22">
        <v>1651857175.6</v>
      </c>
      <c r="C22">
        <v>175</v>
      </c>
      <c r="D22" t="s">
        <v>439</v>
      </c>
      <c r="E22" t="s">
        <v>440</v>
      </c>
      <c r="F22">
        <v>2</v>
      </c>
      <c r="G22" t="s">
        <v>413</v>
      </c>
      <c r="H22" t="s">
        <v>414</v>
      </c>
      <c r="I22">
        <v>1651857174.225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400.9415083448537</v>
      </c>
      <c r="AK22">
        <v>375.6386545454545</v>
      </c>
      <c r="AL22">
        <v>-0.3301363658138922</v>
      </c>
      <c r="AM22">
        <v>66.38384787954378</v>
      </c>
      <c r="AN22">
        <f>(AP22 - AO22 + DI22*1E3/(8.314*(DK22+273.15)) * AR22/DH22 * AQ22) * DH22/(100*CV22) * 1000/(1000 - AP22)</f>
        <v>0</v>
      </c>
      <c r="AO22">
        <v>9.138049381090626</v>
      </c>
      <c r="AP22">
        <v>18.39839588235294</v>
      </c>
      <c r="AQ22">
        <v>0.0001591415679669502</v>
      </c>
      <c r="AR22">
        <v>80.44866334591464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417</v>
      </c>
      <c r="AY22" t="s">
        <v>417</v>
      </c>
      <c r="AZ22">
        <v>0</v>
      </c>
      <c r="BA22">
        <v>0</v>
      </c>
      <c r="BB22">
        <f>1-AZ22/BA22</f>
        <v>0</v>
      </c>
      <c r="BC22">
        <v>0</v>
      </c>
      <c r="BD22" t="s">
        <v>417</v>
      </c>
      <c r="BE22" t="s">
        <v>417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1238</v>
      </c>
      <c r="CA22">
        <v>300</v>
      </c>
      <c r="CB22">
        <v>300</v>
      </c>
      <c r="CC22">
        <v>300</v>
      </c>
      <c r="CD22">
        <v>10440.5</v>
      </c>
      <c r="CE22">
        <v>1411.69</v>
      </c>
      <c r="CF22">
        <v>-0.00735121</v>
      </c>
      <c r="CG22">
        <v>-0.77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1651857174.225</v>
      </c>
      <c r="DB22">
        <v>369.15575</v>
      </c>
      <c r="DC22">
        <v>394.24775</v>
      </c>
      <c r="DD22">
        <v>18.398825</v>
      </c>
      <c r="DE22">
        <v>9.125495000000001</v>
      </c>
      <c r="DF22">
        <v>370.37125</v>
      </c>
      <c r="DG22">
        <v>18.392675</v>
      </c>
      <c r="DH22">
        <v>500.0045</v>
      </c>
      <c r="DI22">
        <v>90.084575</v>
      </c>
      <c r="DJ22">
        <v>0.09985922500000001</v>
      </c>
      <c r="DK22">
        <v>25.7081</v>
      </c>
      <c r="DL22">
        <v>24.98595</v>
      </c>
      <c r="DM22">
        <v>999.9</v>
      </c>
      <c r="DN22">
        <v>0</v>
      </c>
      <c r="DO22">
        <v>0</v>
      </c>
      <c r="DP22">
        <v>9993.737499999999</v>
      </c>
      <c r="DQ22">
        <v>0</v>
      </c>
      <c r="DR22">
        <v>3.20383</v>
      </c>
      <c r="DS22">
        <v>-25.091925</v>
      </c>
      <c r="DT22">
        <v>376.07525</v>
      </c>
      <c r="DU22">
        <v>397.8785</v>
      </c>
      <c r="DV22">
        <v>9.2733075</v>
      </c>
      <c r="DW22">
        <v>394.24775</v>
      </c>
      <c r="DX22">
        <v>9.125495000000001</v>
      </c>
      <c r="DY22">
        <v>1.6574475</v>
      </c>
      <c r="DZ22">
        <v>0.822066</v>
      </c>
      <c r="EA22">
        <v>14.50355</v>
      </c>
      <c r="EB22">
        <v>4.094145000000001</v>
      </c>
      <c r="EC22">
        <v>1499.9825</v>
      </c>
      <c r="ED22">
        <v>0.97300575</v>
      </c>
      <c r="EE22">
        <v>0.02699445</v>
      </c>
      <c r="EF22">
        <v>0</v>
      </c>
      <c r="EG22">
        <v>1080.195</v>
      </c>
      <c r="EH22">
        <v>5.00097</v>
      </c>
      <c r="EI22">
        <v>16029.95</v>
      </c>
      <c r="EJ22">
        <v>12491.475</v>
      </c>
      <c r="EK22">
        <v>37.57774999999999</v>
      </c>
      <c r="EL22">
        <v>39.062</v>
      </c>
      <c r="EM22">
        <v>38</v>
      </c>
      <c r="EN22">
        <v>38.812</v>
      </c>
      <c r="EO22">
        <v>38.437</v>
      </c>
      <c r="EP22">
        <v>1454.6225</v>
      </c>
      <c r="EQ22">
        <v>40.36</v>
      </c>
      <c r="ER22">
        <v>0</v>
      </c>
      <c r="ES22">
        <v>174.6000001430511</v>
      </c>
      <c r="ET22">
        <v>0</v>
      </c>
      <c r="EU22">
        <v>1080.459230769231</v>
      </c>
      <c r="EV22">
        <v>-2.47111113288542</v>
      </c>
      <c r="EW22">
        <v>-45.58974355251623</v>
      </c>
      <c r="EX22">
        <v>16033.95</v>
      </c>
      <c r="EY22">
        <v>15</v>
      </c>
      <c r="EZ22">
        <v>1651857041.1</v>
      </c>
      <c r="FA22" t="s">
        <v>419</v>
      </c>
      <c r="FB22">
        <v>1651857019.6</v>
      </c>
      <c r="FC22">
        <v>1651857041.1</v>
      </c>
      <c r="FD22">
        <v>1</v>
      </c>
      <c r="FE22">
        <v>0.545</v>
      </c>
      <c r="FF22">
        <v>-0.002</v>
      </c>
      <c r="FG22">
        <v>-1.271</v>
      </c>
      <c r="FH22">
        <v>-0.09</v>
      </c>
      <c r="FI22">
        <v>400</v>
      </c>
      <c r="FJ22">
        <v>10</v>
      </c>
      <c r="FK22">
        <v>0.1</v>
      </c>
      <c r="FL22">
        <v>0.02</v>
      </c>
      <c r="FM22">
        <v>-29.64758292682927</v>
      </c>
      <c r="FN22">
        <v>9.072712891986024</v>
      </c>
      <c r="FO22">
        <v>1.379696177389656</v>
      </c>
      <c r="FP22">
        <v>-1</v>
      </c>
      <c r="FQ22">
        <v>9.252630000000002</v>
      </c>
      <c r="FR22">
        <v>0.09468648083623712</v>
      </c>
      <c r="FS22">
        <v>0.009538743845304891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432</v>
      </c>
      <c r="GB22">
        <v>2.97978</v>
      </c>
      <c r="GC22">
        <v>2.70616</v>
      </c>
      <c r="GD22">
        <v>0.0846107</v>
      </c>
      <c r="GE22">
        <v>0.0874723</v>
      </c>
      <c r="GF22">
        <v>0.0878988</v>
      </c>
      <c r="GG22">
        <v>0.0515345</v>
      </c>
      <c r="GH22">
        <v>28877.8</v>
      </c>
      <c r="GI22">
        <v>28851.1</v>
      </c>
      <c r="GJ22">
        <v>29337.1</v>
      </c>
      <c r="GK22">
        <v>29250.7</v>
      </c>
      <c r="GL22">
        <v>35435</v>
      </c>
      <c r="GM22">
        <v>36947.7</v>
      </c>
      <c r="GN22">
        <v>41296.4</v>
      </c>
      <c r="GO22">
        <v>41744.9</v>
      </c>
      <c r="GP22">
        <v>1.95308</v>
      </c>
      <c r="GQ22">
        <v>1.83345</v>
      </c>
      <c r="GR22">
        <v>-0.0375956</v>
      </c>
      <c r="GS22">
        <v>0</v>
      </c>
      <c r="GT22">
        <v>25.6015</v>
      </c>
      <c r="GU22">
        <v>999.9</v>
      </c>
      <c r="GV22">
        <v>39.3</v>
      </c>
      <c r="GW22">
        <v>33.7</v>
      </c>
      <c r="GX22">
        <v>22.9211</v>
      </c>
      <c r="GY22">
        <v>62.6576</v>
      </c>
      <c r="GZ22">
        <v>35.1362</v>
      </c>
      <c r="HA22">
        <v>1</v>
      </c>
      <c r="HB22">
        <v>0.149487</v>
      </c>
      <c r="HC22">
        <v>2.35331</v>
      </c>
      <c r="HD22">
        <v>20.3172</v>
      </c>
      <c r="HE22">
        <v>5.21579</v>
      </c>
      <c r="HF22">
        <v>12.0099</v>
      </c>
      <c r="HG22">
        <v>4.98775</v>
      </c>
      <c r="HH22">
        <v>3.28845</v>
      </c>
      <c r="HI22">
        <v>845.6</v>
      </c>
      <c r="HJ22">
        <v>8412.6</v>
      </c>
      <c r="HK22">
        <v>5139.4</v>
      </c>
      <c r="HL22">
        <v>22.8</v>
      </c>
      <c r="HM22">
        <v>1.86751</v>
      </c>
      <c r="HN22">
        <v>1.86646</v>
      </c>
      <c r="HO22">
        <v>1.866</v>
      </c>
      <c r="HP22">
        <v>1.86591</v>
      </c>
      <c r="HQ22">
        <v>1.86769</v>
      </c>
      <c r="HR22">
        <v>1.87024</v>
      </c>
      <c r="HS22">
        <v>1.8689</v>
      </c>
      <c r="HT22">
        <v>1.87027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-1.214</v>
      </c>
      <c r="II22">
        <v>0.0061</v>
      </c>
      <c r="IJ22">
        <v>-0.4995723906072</v>
      </c>
      <c r="IK22">
        <v>-0.002077099775823331</v>
      </c>
      <c r="IL22">
        <v>4.593143279902166E-07</v>
      </c>
      <c r="IM22">
        <v>-1.865383991892071E-10</v>
      </c>
      <c r="IN22">
        <v>-0.07605349583632376</v>
      </c>
      <c r="IO22">
        <v>-0.01129461987421345</v>
      </c>
      <c r="IP22">
        <v>0.00116580895745559</v>
      </c>
      <c r="IQ22">
        <v>-1.679085872906199E-05</v>
      </c>
      <c r="IR22">
        <v>2</v>
      </c>
      <c r="IS22">
        <v>2290</v>
      </c>
      <c r="IT22">
        <v>0</v>
      </c>
      <c r="IU22">
        <v>32</v>
      </c>
      <c r="IV22">
        <v>2.6</v>
      </c>
      <c r="IW22">
        <v>2.2</v>
      </c>
      <c r="IX22">
        <v>0.952148</v>
      </c>
      <c r="IY22">
        <v>2.22534</v>
      </c>
      <c r="IZ22">
        <v>1.39648</v>
      </c>
      <c r="JA22">
        <v>2.36084</v>
      </c>
      <c r="JB22">
        <v>1.49536</v>
      </c>
      <c r="JC22">
        <v>2.34863</v>
      </c>
      <c r="JD22">
        <v>38.2568</v>
      </c>
      <c r="JE22">
        <v>24.0437</v>
      </c>
      <c r="JF22">
        <v>18</v>
      </c>
      <c r="JG22">
        <v>514.3920000000001</v>
      </c>
      <c r="JH22">
        <v>422.943</v>
      </c>
      <c r="JI22">
        <v>22.5033</v>
      </c>
      <c r="JJ22">
        <v>29.2952</v>
      </c>
      <c r="JK22">
        <v>29.9997</v>
      </c>
      <c r="JL22">
        <v>29.2145</v>
      </c>
      <c r="JM22">
        <v>29.1329</v>
      </c>
      <c r="JN22">
        <v>19.0664</v>
      </c>
      <c r="JO22">
        <v>55.1678</v>
      </c>
      <c r="JP22">
        <v>0</v>
      </c>
      <c r="JQ22">
        <v>22.5104</v>
      </c>
      <c r="JR22">
        <v>366.601</v>
      </c>
      <c r="JS22">
        <v>9.021570000000001</v>
      </c>
      <c r="JT22">
        <v>100.285</v>
      </c>
      <c r="JU22">
        <v>100.196</v>
      </c>
    </row>
    <row r="23" spans="1:281">
      <c r="A23">
        <v>7</v>
      </c>
      <c r="B23">
        <v>1651857177.6</v>
      </c>
      <c r="C23">
        <v>177</v>
      </c>
      <c r="D23" t="s">
        <v>441</v>
      </c>
      <c r="E23" t="s">
        <v>442</v>
      </c>
      <c r="F23">
        <v>2</v>
      </c>
      <c r="G23" t="s">
        <v>413</v>
      </c>
      <c r="H23" t="s">
        <v>414</v>
      </c>
      <c r="I23">
        <v>1651857176.6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396.4511093589128</v>
      </c>
      <c r="AK23">
        <v>373.589103030303</v>
      </c>
      <c r="AL23">
        <v>-0.8318664068724342</v>
      </c>
      <c r="AM23">
        <v>66.38384787954378</v>
      </c>
      <c r="AN23">
        <f>(AP23 - AO23 + DI23*1E3/(8.314*(DK23+273.15)) * AR23/DH23 * AQ23) * DH23/(100*CV23) * 1000/(1000 - AP23)</f>
        <v>0</v>
      </c>
      <c r="AO23">
        <v>9.133869239509654</v>
      </c>
      <c r="AP23">
        <v>18.39986411764706</v>
      </c>
      <c r="AQ23">
        <v>-1.439048357172728E-06</v>
      </c>
      <c r="AR23">
        <v>80.44866334591464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417</v>
      </c>
      <c r="AY23" t="s">
        <v>417</v>
      </c>
      <c r="AZ23">
        <v>0</v>
      </c>
      <c r="BA23">
        <v>0</v>
      </c>
      <c r="BB23">
        <f>1-AZ23/BA23</f>
        <v>0</v>
      </c>
      <c r="BC23">
        <v>0</v>
      </c>
      <c r="BD23" t="s">
        <v>417</v>
      </c>
      <c r="BE23" t="s">
        <v>417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1238</v>
      </c>
      <c r="CA23">
        <v>300</v>
      </c>
      <c r="CB23">
        <v>300</v>
      </c>
      <c r="CC23">
        <v>300</v>
      </c>
      <c r="CD23">
        <v>10440.5</v>
      </c>
      <c r="CE23">
        <v>1411.69</v>
      </c>
      <c r="CF23">
        <v>-0.00735121</v>
      </c>
      <c r="CG23">
        <v>-0.77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1651857176.6</v>
      </c>
      <c r="DB23">
        <v>367.2883333333334</v>
      </c>
      <c r="DC23">
        <v>387.8566666666667</v>
      </c>
      <c r="DD23">
        <v>18.39966666666666</v>
      </c>
      <c r="DE23">
        <v>9.097696666666666</v>
      </c>
      <c r="DF23">
        <v>368.5003333333333</v>
      </c>
      <c r="DG23">
        <v>18.3935</v>
      </c>
      <c r="DH23">
        <v>500.0263333333333</v>
      </c>
      <c r="DI23">
        <v>90.08466666666668</v>
      </c>
      <c r="DJ23">
        <v>0.09996636666666665</v>
      </c>
      <c r="DK23">
        <v>25.7094</v>
      </c>
      <c r="DL23">
        <v>24.98663333333333</v>
      </c>
      <c r="DM23">
        <v>999.9</v>
      </c>
      <c r="DN23">
        <v>0</v>
      </c>
      <c r="DO23">
        <v>0</v>
      </c>
      <c r="DP23">
        <v>10008.1</v>
      </c>
      <c r="DQ23">
        <v>0</v>
      </c>
      <c r="DR23">
        <v>3.20383</v>
      </c>
      <c r="DS23">
        <v>-20.56803333333333</v>
      </c>
      <c r="DT23">
        <v>374.173</v>
      </c>
      <c r="DU23">
        <v>391.4179999999999</v>
      </c>
      <c r="DV23">
        <v>9.301956666666666</v>
      </c>
      <c r="DW23">
        <v>387.8566666666667</v>
      </c>
      <c r="DX23">
        <v>9.097696666666666</v>
      </c>
      <c r="DY23">
        <v>1.657526666666667</v>
      </c>
      <c r="DZ23">
        <v>0.8195623333333333</v>
      </c>
      <c r="EA23">
        <v>14.50426666666667</v>
      </c>
      <c r="EB23">
        <v>4.05072</v>
      </c>
      <c r="EC23">
        <v>1500.063333333334</v>
      </c>
      <c r="ED23">
        <v>0.973007</v>
      </c>
      <c r="EE23">
        <v>0.0269931</v>
      </c>
      <c r="EF23">
        <v>0</v>
      </c>
      <c r="EG23">
        <v>1080.536666666667</v>
      </c>
      <c r="EH23">
        <v>5.00097</v>
      </c>
      <c r="EI23">
        <v>16034.26666666667</v>
      </c>
      <c r="EJ23">
        <v>12492.2</v>
      </c>
      <c r="EK23">
        <v>37.562</v>
      </c>
      <c r="EL23">
        <v>39.062</v>
      </c>
      <c r="EM23">
        <v>38</v>
      </c>
      <c r="EN23">
        <v>38.812</v>
      </c>
      <c r="EO23">
        <v>38.437</v>
      </c>
      <c r="EP23">
        <v>1454.703333333333</v>
      </c>
      <c r="EQ23">
        <v>40.36</v>
      </c>
      <c r="ER23">
        <v>0</v>
      </c>
      <c r="ES23">
        <v>177</v>
      </c>
      <c r="ET23">
        <v>0</v>
      </c>
      <c r="EU23">
        <v>1080.42</v>
      </c>
      <c r="EV23">
        <v>-0.9285470275142722</v>
      </c>
      <c r="EW23">
        <v>-19.1863247708964</v>
      </c>
      <c r="EX23">
        <v>16033.27692307692</v>
      </c>
      <c r="EY23">
        <v>15</v>
      </c>
      <c r="EZ23">
        <v>1651857041.1</v>
      </c>
      <c r="FA23" t="s">
        <v>419</v>
      </c>
      <c r="FB23">
        <v>1651857019.6</v>
      </c>
      <c r="FC23">
        <v>1651857041.1</v>
      </c>
      <c r="FD23">
        <v>1</v>
      </c>
      <c r="FE23">
        <v>0.545</v>
      </c>
      <c r="FF23">
        <v>-0.002</v>
      </c>
      <c r="FG23">
        <v>-1.271</v>
      </c>
      <c r="FH23">
        <v>-0.09</v>
      </c>
      <c r="FI23">
        <v>400</v>
      </c>
      <c r="FJ23">
        <v>10</v>
      </c>
      <c r="FK23">
        <v>0.1</v>
      </c>
      <c r="FL23">
        <v>0.02</v>
      </c>
      <c r="FM23">
        <v>-28.535835</v>
      </c>
      <c r="FN23">
        <v>23.96535984990626</v>
      </c>
      <c r="FO23">
        <v>3.019917504547931</v>
      </c>
      <c r="FP23">
        <v>-1</v>
      </c>
      <c r="FQ23">
        <v>9.259844749999999</v>
      </c>
      <c r="FR23">
        <v>0.1495144840525224</v>
      </c>
      <c r="FS23">
        <v>0.01608012981718415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432</v>
      </c>
      <c r="GB23">
        <v>2.97961</v>
      </c>
      <c r="GC23">
        <v>2.70637</v>
      </c>
      <c r="GD23">
        <v>0.08420809999999999</v>
      </c>
      <c r="GE23">
        <v>0.0864404</v>
      </c>
      <c r="GF23">
        <v>0.0878984</v>
      </c>
      <c r="GG23">
        <v>0.0514285</v>
      </c>
      <c r="GH23">
        <v>28890.8</v>
      </c>
      <c r="GI23">
        <v>28883.8</v>
      </c>
      <c r="GJ23">
        <v>29337.4</v>
      </c>
      <c r="GK23">
        <v>29250.8</v>
      </c>
      <c r="GL23">
        <v>35435.4</v>
      </c>
      <c r="GM23">
        <v>36952</v>
      </c>
      <c r="GN23">
        <v>41296.9</v>
      </c>
      <c r="GO23">
        <v>41745</v>
      </c>
      <c r="GP23">
        <v>1.95275</v>
      </c>
      <c r="GQ23">
        <v>1.83355</v>
      </c>
      <c r="GR23">
        <v>-0.0374541</v>
      </c>
      <c r="GS23">
        <v>0</v>
      </c>
      <c r="GT23">
        <v>25.601</v>
      </c>
      <c r="GU23">
        <v>999.9</v>
      </c>
      <c r="GV23">
        <v>39.3</v>
      </c>
      <c r="GW23">
        <v>33.7</v>
      </c>
      <c r="GX23">
        <v>22.9206</v>
      </c>
      <c r="GY23">
        <v>62.2476</v>
      </c>
      <c r="GZ23">
        <v>35.2083</v>
      </c>
      <c r="HA23">
        <v>1</v>
      </c>
      <c r="HB23">
        <v>0.149276</v>
      </c>
      <c r="HC23">
        <v>2.34844</v>
      </c>
      <c r="HD23">
        <v>20.3173</v>
      </c>
      <c r="HE23">
        <v>5.21594</v>
      </c>
      <c r="HF23">
        <v>12.0099</v>
      </c>
      <c r="HG23">
        <v>4.9879</v>
      </c>
      <c r="HH23">
        <v>3.28848</v>
      </c>
      <c r="HI23">
        <v>845.6</v>
      </c>
      <c r="HJ23">
        <v>8412.6</v>
      </c>
      <c r="HK23">
        <v>5139.4</v>
      </c>
      <c r="HL23">
        <v>22.8</v>
      </c>
      <c r="HM23">
        <v>1.8675</v>
      </c>
      <c r="HN23">
        <v>1.86646</v>
      </c>
      <c r="HO23">
        <v>1.866</v>
      </c>
      <c r="HP23">
        <v>1.86592</v>
      </c>
      <c r="HQ23">
        <v>1.86769</v>
      </c>
      <c r="HR23">
        <v>1.87024</v>
      </c>
      <c r="HS23">
        <v>1.8689</v>
      </c>
      <c r="HT23">
        <v>1.87027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-1.21</v>
      </c>
      <c r="II23">
        <v>0.0062</v>
      </c>
      <c r="IJ23">
        <v>-0.4995723906072</v>
      </c>
      <c r="IK23">
        <v>-0.002077099775823331</v>
      </c>
      <c r="IL23">
        <v>4.593143279902166E-07</v>
      </c>
      <c r="IM23">
        <v>-1.865383991892071E-10</v>
      </c>
      <c r="IN23">
        <v>-0.07605349583632376</v>
      </c>
      <c r="IO23">
        <v>-0.01129461987421345</v>
      </c>
      <c r="IP23">
        <v>0.00116580895745559</v>
      </c>
      <c r="IQ23">
        <v>-1.679085872906199E-05</v>
      </c>
      <c r="IR23">
        <v>2</v>
      </c>
      <c r="IS23">
        <v>2290</v>
      </c>
      <c r="IT23">
        <v>0</v>
      </c>
      <c r="IU23">
        <v>32</v>
      </c>
      <c r="IV23">
        <v>2.6</v>
      </c>
      <c r="IW23">
        <v>2.3</v>
      </c>
      <c r="IX23">
        <v>0.938721</v>
      </c>
      <c r="IY23">
        <v>2.22778</v>
      </c>
      <c r="IZ23">
        <v>1.39648</v>
      </c>
      <c r="JA23">
        <v>2.35962</v>
      </c>
      <c r="JB23">
        <v>1.49536</v>
      </c>
      <c r="JC23">
        <v>2.33521</v>
      </c>
      <c r="JD23">
        <v>38.2568</v>
      </c>
      <c r="JE23">
        <v>24.035</v>
      </c>
      <c r="JF23">
        <v>18</v>
      </c>
      <c r="JG23">
        <v>514.178</v>
      </c>
      <c r="JH23">
        <v>423.003</v>
      </c>
      <c r="JI23">
        <v>22.5071</v>
      </c>
      <c r="JJ23">
        <v>29.2933</v>
      </c>
      <c r="JK23">
        <v>29.9998</v>
      </c>
      <c r="JL23">
        <v>29.2145</v>
      </c>
      <c r="JM23">
        <v>29.1329</v>
      </c>
      <c r="JN23">
        <v>18.8068</v>
      </c>
      <c r="JO23">
        <v>55.1678</v>
      </c>
      <c r="JP23">
        <v>0</v>
      </c>
      <c r="JQ23">
        <v>22.5104</v>
      </c>
      <c r="JR23">
        <v>359.921</v>
      </c>
      <c r="JS23">
        <v>9.015330000000001</v>
      </c>
      <c r="JT23">
        <v>100.286</v>
      </c>
      <c r="JU23">
        <v>100.196</v>
      </c>
    </row>
    <row r="24" spans="1:281">
      <c r="A24">
        <v>8</v>
      </c>
      <c r="B24">
        <v>1651857179.6</v>
      </c>
      <c r="C24">
        <v>179</v>
      </c>
      <c r="D24" t="s">
        <v>443</v>
      </c>
      <c r="E24" t="s">
        <v>444</v>
      </c>
      <c r="F24">
        <v>2</v>
      </c>
      <c r="G24" t="s">
        <v>413</v>
      </c>
      <c r="H24" t="s">
        <v>414</v>
      </c>
      <c r="I24">
        <v>1651857178.225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390.7287894657096</v>
      </c>
      <c r="AK24">
        <v>370.565824242424</v>
      </c>
      <c r="AL24">
        <v>-1.350214761028921</v>
      </c>
      <c r="AM24">
        <v>66.38384787954378</v>
      </c>
      <c r="AN24">
        <f>(AP24 - AO24 + DI24*1E3/(8.314*(DK24+273.15)) * AR24/DH24 * AQ24) * DH24/(100*CV24) * 1000/(1000 - AP24)</f>
        <v>0</v>
      </c>
      <c r="AO24">
        <v>9.115587242180251</v>
      </c>
      <c r="AP24">
        <v>18.39618470588235</v>
      </c>
      <c r="AQ24">
        <v>7.534718423372335E-05</v>
      </c>
      <c r="AR24">
        <v>80.44866334591464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417</v>
      </c>
      <c r="AY24" t="s">
        <v>417</v>
      </c>
      <c r="AZ24">
        <v>0</v>
      </c>
      <c r="BA24">
        <v>0</v>
      </c>
      <c r="BB24">
        <f>1-AZ24/BA24</f>
        <v>0</v>
      </c>
      <c r="BC24">
        <v>0</v>
      </c>
      <c r="BD24" t="s">
        <v>417</v>
      </c>
      <c r="BE24" t="s">
        <v>417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1238</v>
      </c>
      <c r="CA24">
        <v>300</v>
      </c>
      <c r="CB24">
        <v>300</v>
      </c>
      <c r="CC24">
        <v>300</v>
      </c>
      <c r="CD24">
        <v>10440.5</v>
      </c>
      <c r="CE24">
        <v>1411.69</v>
      </c>
      <c r="CF24">
        <v>-0.00735121</v>
      </c>
      <c r="CG24">
        <v>-0.77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1651857178.225</v>
      </c>
      <c r="DB24">
        <v>365.0995</v>
      </c>
      <c r="DC24">
        <v>382.87325</v>
      </c>
      <c r="DD24">
        <v>18.397375</v>
      </c>
      <c r="DE24">
        <v>9.084365</v>
      </c>
      <c r="DF24">
        <v>366.3075</v>
      </c>
      <c r="DG24">
        <v>18.39125</v>
      </c>
      <c r="DH24">
        <v>500.04175</v>
      </c>
      <c r="DI24">
        <v>90.08562500000001</v>
      </c>
      <c r="DJ24">
        <v>0.10004925</v>
      </c>
      <c r="DK24">
        <v>25.71</v>
      </c>
      <c r="DL24">
        <v>24.98925</v>
      </c>
      <c r="DM24">
        <v>999.9</v>
      </c>
      <c r="DN24">
        <v>0</v>
      </c>
      <c r="DO24">
        <v>0</v>
      </c>
      <c r="DP24">
        <v>10011.55</v>
      </c>
      <c r="DQ24">
        <v>0</v>
      </c>
      <c r="DR24">
        <v>3.20383</v>
      </c>
      <c r="DS24">
        <v>-17.7739</v>
      </c>
      <c r="DT24">
        <v>371.9422499999999</v>
      </c>
      <c r="DU24">
        <v>386.3835</v>
      </c>
      <c r="DV24">
        <v>9.31302</v>
      </c>
      <c r="DW24">
        <v>382.87325</v>
      </c>
      <c r="DX24">
        <v>9.084365</v>
      </c>
      <c r="DY24">
        <v>1.65734</v>
      </c>
      <c r="DZ24">
        <v>0.8183705</v>
      </c>
      <c r="EA24">
        <v>14.502525</v>
      </c>
      <c r="EB24">
        <v>4.0300075</v>
      </c>
      <c r="EC24">
        <v>1499.9125</v>
      </c>
      <c r="ED24">
        <v>0.9730045</v>
      </c>
      <c r="EE24">
        <v>0.0269958</v>
      </c>
      <c r="EF24">
        <v>0</v>
      </c>
      <c r="EG24">
        <v>1080.685</v>
      </c>
      <c r="EH24">
        <v>5.00097</v>
      </c>
      <c r="EI24">
        <v>16034.475</v>
      </c>
      <c r="EJ24">
        <v>12490.875</v>
      </c>
      <c r="EK24">
        <v>37.562</v>
      </c>
      <c r="EL24">
        <v>39.062</v>
      </c>
      <c r="EM24">
        <v>38</v>
      </c>
      <c r="EN24">
        <v>38.812</v>
      </c>
      <c r="EO24">
        <v>38.437</v>
      </c>
      <c r="EP24">
        <v>1454.5525</v>
      </c>
      <c r="EQ24">
        <v>40.36</v>
      </c>
      <c r="ER24">
        <v>0</v>
      </c>
      <c r="ES24">
        <v>178.8000001907349</v>
      </c>
      <c r="ET24">
        <v>0</v>
      </c>
      <c r="EU24">
        <v>1080.4116</v>
      </c>
      <c r="EV24">
        <v>1.016153831866414</v>
      </c>
      <c r="EW24">
        <v>4.876923151987321</v>
      </c>
      <c r="EX24">
        <v>16032.68</v>
      </c>
      <c r="EY24">
        <v>15</v>
      </c>
      <c r="EZ24">
        <v>1651857041.1</v>
      </c>
      <c r="FA24" t="s">
        <v>419</v>
      </c>
      <c r="FB24">
        <v>1651857019.6</v>
      </c>
      <c r="FC24">
        <v>1651857041.1</v>
      </c>
      <c r="FD24">
        <v>1</v>
      </c>
      <c r="FE24">
        <v>0.545</v>
      </c>
      <c r="FF24">
        <v>-0.002</v>
      </c>
      <c r="FG24">
        <v>-1.271</v>
      </c>
      <c r="FH24">
        <v>-0.09</v>
      </c>
      <c r="FI24">
        <v>400</v>
      </c>
      <c r="FJ24">
        <v>10</v>
      </c>
      <c r="FK24">
        <v>0.1</v>
      </c>
      <c r="FL24">
        <v>0.02</v>
      </c>
      <c r="FM24">
        <v>-27.67994878048781</v>
      </c>
      <c r="FN24">
        <v>33.41197421602782</v>
      </c>
      <c r="FO24">
        <v>4.033307108233612</v>
      </c>
      <c r="FP24">
        <v>-1</v>
      </c>
      <c r="FQ24">
        <v>9.264696097560977</v>
      </c>
      <c r="FR24">
        <v>0.1871788850174319</v>
      </c>
      <c r="FS24">
        <v>0.02068330891559158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432</v>
      </c>
      <c r="GB24">
        <v>2.97972</v>
      </c>
      <c r="GC24">
        <v>2.70632</v>
      </c>
      <c r="GD24">
        <v>0.0836334</v>
      </c>
      <c r="GE24">
        <v>0.08534129999999999</v>
      </c>
      <c r="GF24">
        <v>0.0878845</v>
      </c>
      <c r="GG24">
        <v>0.051397</v>
      </c>
      <c r="GH24">
        <v>28908.7</v>
      </c>
      <c r="GI24">
        <v>28918.7</v>
      </c>
      <c r="GJ24">
        <v>29337.2</v>
      </c>
      <c r="GK24">
        <v>29251</v>
      </c>
      <c r="GL24">
        <v>35435.7</v>
      </c>
      <c r="GM24">
        <v>36953.2</v>
      </c>
      <c r="GN24">
        <v>41296.5</v>
      </c>
      <c r="GO24">
        <v>41745.1</v>
      </c>
      <c r="GP24">
        <v>1.95298</v>
      </c>
      <c r="GQ24">
        <v>1.8335</v>
      </c>
      <c r="GR24">
        <v>-0.0369251</v>
      </c>
      <c r="GS24">
        <v>0</v>
      </c>
      <c r="GT24">
        <v>25.5999</v>
      </c>
      <c r="GU24">
        <v>999.9</v>
      </c>
      <c r="GV24">
        <v>39.3</v>
      </c>
      <c r="GW24">
        <v>33.7</v>
      </c>
      <c r="GX24">
        <v>22.9216</v>
      </c>
      <c r="GY24">
        <v>62.7076</v>
      </c>
      <c r="GZ24">
        <v>35.4407</v>
      </c>
      <c r="HA24">
        <v>1</v>
      </c>
      <c r="HB24">
        <v>0.149317</v>
      </c>
      <c r="HC24">
        <v>2.34352</v>
      </c>
      <c r="HD24">
        <v>20.3175</v>
      </c>
      <c r="HE24">
        <v>5.21639</v>
      </c>
      <c r="HF24">
        <v>12.0099</v>
      </c>
      <c r="HG24">
        <v>4.9879</v>
      </c>
      <c r="HH24">
        <v>3.28858</v>
      </c>
      <c r="HI24">
        <v>845.6</v>
      </c>
      <c r="HJ24">
        <v>8412.6</v>
      </c>
      <c r="HK24">
        <v>5139.4</v>
      </c>
      <c r="HL24">
        <v>22.8</v>
      </c>
      <c r="HM24">
        <v>1.8675</v>
      </c>
      <c r="HN24">
        <v>1.86646</v>
      </c>
      <c r="HO24">
        <v>1.866</v>
      </c>
      <c r="HP24">
        <v>1.8659</v>
      </c>
      <c r="HQ24">
        <v>1.86769</v>
      </c>
      <c r="HR24">
        <v>1.87026</v>
      </c>
      <c r="HS24">
        <v>1.8689</v>
      </c>
      <c r="HT24">
        <v>1.87027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-1.204</v>
      </c>
      <c r="II24">
        <v>0.0061</v>
      </c>
      <c r="IJ24">
        <v>-0.4995723906072</v>
      </c>
      <c r="IK24">
        <v>-0.002077099775823331</v>
      </c>
      <c r="IL24">
        <v>4.593143279902166E-07</v>
      </c>
      <c r="IM24">
        <v>-1.865383991892071E-10</v>
      </c>
      <c r="IN24">
        <v>-0.07605349583632376</v>
      </c>
      <c r="IO24">
        <v>-0.01129461987421345</v>
      </c>
      <c r="IP24">
        <v>0.00116580895745559</v>
      </c>
      <c r="IQ24">
        <v>-1.679085872906199E-05</v>
      </c>
      <c r="IR24">
        <v>2</v>
      </c>
      <c r="IS24">
        <v>2290</v>
      </c>
      <c r="IT24">
        <v>0</v>
      </c>
      <c r="IU24">
        <v>32</v>
      </c>
      <c r="IV24">
        <v>2.7</v>
      </c>
      <c r="IW24">
        <v>2.3</v>
      </c>
      <c r="IX24">
        <v>0.925293</v>
      </c>
      <c r="IY24">
        <v>2.23022</v>
      </c>
      <c r="IZ24">
        <v>1.39648</v>
      </c>
      <c r="JA24">
        <v>2.35962</v>
      </c>
      <c r="JB24">
        <v>1.49536</v>
      </c>
      <c r="JC24">
        <v>2.32178</v>
      </c>
      <c r="JD24">
        <v>38.2568</v>
      </c>
      <c r="JE24">
        <v>24.0437</v>
      </c>
      <c r="JF24">
        <v>18</v>
      </c>
      <c r="JG24">
        <v>514.326</v>
      </c>
      <c r="JH24">
        <v>422.965</v>
      </c>
      <c r="JI24">
        <v>22.5105</v>
      </c>
      <c r="JJ24">
        <v>29.292</v>
      </c>
      <c r="JK24">
        <v>29.9998</v>
      </c>
      <c r="JL24">
        <v>29.2145</v>
      </c>
      <c r="JM24">
        <v>29.1317</v>
      </c>
      <c r="JN24">
        <v>18.5414</v>
      </c>
      <c r="JO24">
        <v>55.1678</v>
      </c>
      <c r="JP24">
        <v>0</v>
      </c>
      <c r="JQ24">
        <v>22.52</v>
      </c>
      <c r="JR24">
        <v>353.225</v>
      </c>
      <c r="JS24">
        <v>9.011659999999999</v>
      </c>
      <c r="JT24">
        <v>100.285</v>
      </c>
      <c r="JU24">
        <v>100.196</v>
      </c>
    </row>
    <row r="25" spans="1:281">
      <c r="A25">
        <v>9</v>
      </c>
      <c r="B25">
        <v>1651857181.6</v>
      </c>
      <c r="C25">
        <v>181</v>
      </c>
      <c r="D25" t="s">
        <v>445</v>
      </c>
      <c r="E25" t="s">
        <v>446</v>
      </c>
      <c r="F25">
        <v>2</v>
      </c>
      <c r="G25" t="s">
        <v>413</v>
      </c>
      <c r="H25" t="s">
        <v>414</v>
      </c>
      <c r="I25">
        <v>1651857180.6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384.479891392023</v>
      </c>
      <c r="AK25">
        <v>366.6634424242424</v>
      </c>
      <c r="AL25">
        <v>-1.809720021323261</v>
      </c>
      <c r="AM25">
        <v>66.38384787954378</v>
      </c>
      <c r="AN25">
        <f>(AP25 - AO25 + DI25*1E3/(8.314*(DK25+273.15)) * AR25/DH25 * AQ25) * DH25/(100*CV25) * 1000/(1000 - AP25)</f>
        <v>0</v>
      </c>
      <c r="AO25">
        <v>9.092286289434146</v>
      </c>
      <c r="AP25">
        <v>18.39092294117646</v>
      </c>
      <c r="AQ25">
        <v>4.661286912132204E-05</v>
      </c>
      <c r="AR25">
        <v>80.44866334591464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417</v>
      </c>
      <c r="AY25" t="s">
        <v>417</v>
      </c>
      <c r="AZ25">
        <v>0</v>
      </c>
      <c r="BA25">
        <v>0</v>
      </c>
      <c r="BB25">
        <f>1-AZ25/BA25</f>
        <v>0</v>
      </c>
      <c r="BC25">
        <v>0</v>
      </c>
      <c r="BD25" t="s">
        <v>417</v>
      </c>
      <c r="BE25" t="s">
        <v>417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1238</v>
      </c>
      <c r="CA25">
        <v>300</v>
      </c>
      <c r="CB25">
        <v>300</v>
      </c>
      <c r="CC25">
        <v>300</v>
      </c>
      <c r="CD25">
        <v>10440.5</v>
      </c>
      <c r="CE25">
        <v>1411.69</v>
      </c>
      <c r="CF25">
        <v>-0.00735121</v>
      </c>
      <c r="CG25">
        <v>-0.77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1651857180.6</v>
      </c>
      <c r="DB25">
        <v>360.9386666666666</v>
      </c>
      <c r="DC25">
        <v>375.3366666666666</v>
      </c>
      <c r="DD25">
        <v>18.39256666666667</v>
      </c>
      <c r="DE25">
        <v>9.078663333333333</v>
      </c>
      <c r="DF25">
        <v>362.1386666666667</v>
      </c>
      <c r="DG25">
        <v>18.38653333333333</v>
      </c>
      <c r="DH25">
        <v>500.0556666666666</v>
      </c>
      <c r="DI25">
        <v>90.08573333333334</v>
      </c>
      <c r="DJ25">
        <v>0.1001007333333333</v>
      </c>
      <c r="DK25">
        <v>25.71013333333333</v>
      </c>
      <c r="DL25">
        <v>24.9887</v>
      </c>
      <c r="DM25">
        <v>999.9</v>
      </c>
      <c r="DN25">
        <v>0</v>
      </c>
      <c r="DO25">
        <v>0</v>
      </c>
      <c r="DP25">
        <v>10007.51666666667</v>
      </c>
      <c r="DQ25">
        <v>0</v>
      </c>
      <c r="DR25">
        <v>3.20383</v>
      </c>
      <c r="DS25">
        <v>-14.39793333333333</v>
      </c>
      <c r="DT25">
        <v>367.7016666666667</v>
      </c>
      <c r="DU25">
        <v>378.7753333333333</v>
      </c>
      <c r="DV25">
        <v>9.3139</v>
      </c>
      <c r="DW25">
        <v>375.3366666666666</v>
      </c>
      <c r="DX25">
        <v>9.078663333333333</v>
      </c>
      <c r="DY25">
        <v>1.656906666666667</v>
      </c>
      <c r="DZ25">
        <v>0.8178583333333332</v>
      </c>
      <c r="EA25">
        <v>14.49846666666667</v>
      </c>
      <c r="EB25">
        <v>4.021093333333333</v>
      </c>
      <c r="EC25">
        <v>1500.056666666667</v>
      </c>
      <c r="ED25">
        <v>0.973007</v>
      </c>
      <c r="EE25">
        <v>0.0269931</v>
      </c>
      <c r="EF25">
        <v>0</v>
      </c>
      <c r="EG25">
        <v>1080.646666666667</v>
      </c>
      <c r="EH25">
        <v>5.00097</v>
      </c>
      <c r="EI25">
        <v>16037.33333333333</v>
      </c>
      <c r="EJ25">
        <v>12492.1</v>
      </c>
      <c r="EK25">
        <v>37.562</v>
      </c>
      <c r="EL25">
        <v>39.062</v>
      </c>
      <c r="EM25">
        <v>38</v>
      </c>
      <c r="EN25">
        <v>38.812</v>
      </c>
      <c r="EO25">
        <v>38.437</v>
      </c>
      <c r="EP25">
        <v>1454.696666666667</v>
      </c>
      <c r="EQ25">
        <v>40.36</v>
      </c>
      <c r="ER25">
        <v>0</v>
      </c>
      <c r="ES25">
        <v>180.6000001430511</v>
      </c>
      <c r="ET25">
        <v>0</v>
      </c>
      <c r="EU25">
        <v>1080.405769230769</v>
      </c>
      <c r="EV25">
        <v>1.691282044474395</v>
      </c>
      <c r="EW25">
        <v>15.94871805557845</v>
      </c>
      <c r="EX25">
        <v>16033.02692307692</v>
      </c>
      <c r="EY25">
        <v>15</v>
      </c>
      <c r="EZ25">
        <v>1651857041.1</v>
      </c>
      <c r="FA25" t="s">
        <v>419</v>
      </c>
      <c r="FB25">
        <v>1651857019.6</v>
      </c>
      <c r="FC25">
        <v>1651857041.1</v>
      </c>
      <c r="FD25">
        <v>1</v>
      </c>
      <c r="FE25">
        <v>0.545</v>
      </c>
      <c r="FF25">
        <v>-0.002</v>
      </c>
      <c r="FG25">
        <v>-1.271</v>
      </c>
      <c r="FH25">
        <v>-0.09</v>
      </c>
      <c r="FI25">
        <v>400</v>
      </c>
      <c r="FJ25">
        <v>10</v>
      </c>
      <c r="FK25">
        <v>0.1</v>
      </c>
      <c r="FL25">
        <v>0.02</v>
      </c>
      <c r="FM25">
        <v>-25.722245</v>
      </c>
      <c r="FN25">
        <v>53.17292757973736</v>
      </c>
      <c r="FO25">
        <v>5.651133369066333</v>
      </c>
      <c r="FP25">
        <v>-1</v>
      </c>
      <c r="FQ25">
        <v>9.274078750000001</v>
      </c>
      <c r="FR25">
        <v>0.2334088930581464</v>
      </c>
      <c r="FS25">
        <v>0.02433027272632784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432</v>
      </c>
      <c r="GB25">
        <v>2.97971</v>
      </c>
      <c r="GC25">
        <v>2.7062</v>
      </c>
      <c r="GD25">
        <v>0.0829075</v>
      </c>
      <c r="GE25">
        <v>0.0842044</v>
      </c>
      <c r="GF25">
        <v>0.0878699</v>
      </c>
      <c r="GG25">
        <v>0.0513946</v>
      </c>
      <c r="GH25">
        <v>28931.3</v>
      </c>
      <c r="GI25">
        <v>28954.8</v>
      </c>
      <c r="GJ25">
        <v>29336.9</v>
      </c>
      <c r="GK25">
        <v>29251.1</v>
      </c>
      <c r="GL25">
        <v>35435.9</v>
      </c>
      <c r="GM25">
        <v>36953.6</v>
      </c>
      <c r="GN25">
        <v>41296.2</v>
      </c>
      <c r="GO25">
        <v>41745.4</v>
      </c>
      <c r="GP25">
        <v>1.95312</v>
      </c>
      <c r="GQ25">
        <v>1.83328</v>
      </c>
      <c r="GR25">
        <v>-0.037387</v>
      </c>
      <c r="GS25">
        <v>0</v>
      </c>
      <c r="GT25">
        <v>25.5994</v>
      </c>
      <c r="GU25">
        <v>999.9</v>
      </c>
      <c r="GV25">
        <v>39.3</v>
      </c>
      <c r="GW25">
        <v>33.7</v>
      </c>
      <c r="GX25">
        <v>22.9218</v>
      </c>
      <c r="GY25">
        <v>62.5976</v>
      </c>
      <c r="GZ25">
        <v>35.4928</v>
      </c>
      <c r="HA25">
        <v>1</v>
      </c>
      <c r="HB25">
        <v>0.149266</v>
      </c>
      <c r="HC25">
        <v>2.33117</v>
      </c>
      <c r="HD25">
        <v>20.3176</v>
      </c>
      <c r="HE25">
        <v>5.21669</v>
      </c>
      <c r="HF25">
        <v>12.0099</v>
      </c>
      <c r="HG25">
        <v>4.98815</v>
      </c>
      <c r="HH25">
        <v>3.28865</v>
      </c>
      <c r="HI25">
        <v>845.6</v>
      </c>
      <c r="HJ25">
        <v>8412.6</v>
      </c>
      <c r="HK25">
        <v>5139.4</v>
      </c>
      <c r="HL25">
        <v>22.8</v>
      </c>
      <c r="HM25">
        <v>1.86751</v>
      </c>
      <c r="HN25">
        <v>1.86646</v>
      </c>
      <c r="HO25">
        <v>1.866</v>
      </c>
      <c r="HP25">
        <v>1.8659</v>
      </c>
      <c r="HQ25">
        <v>1.86769</v>
      </c>
      <c r="HR25">
        <v>1.87026</v>
      </c>
      <c r="HS25">
        <v>1.8689</v>
      </c>
      <c r="HT25">
        <v>1.87027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-1.197</v>
      </c>
      <c r="II25">
        <v>0.006</v>
      </c>
      <c r="IJ25">
        <v>-0.4995723906072</v>
      </c>
      <c r="IK25">
        <v>-0.002077099775823331</v>
      </c>
      <c r="IL25">
        <v>4.593143279902166E-07</v>
      </c>
      <c r="IM25">
        <v>-1.865383991892071E-10</v>
      </c>
      <c r="IN25">
        <v>-0.07605349583632376</v>
      </c>
      <c r="IO25">
        <v>-0.01129461987421345</v>
      </c>
      <c r="IP25">
        <v>0.00116580895745559</v>
      </c>
      <c r="IQ25">
        <v>-1.679085872906199E-05</v>
      </c>
      <c r="IR25">
        <v>2</v>
      </c>
      <c r="IS25">
        <v>2290</v>
      </c>
      <c r="IT25">
        <v>0</v>
      </c>
      <c r="IU25">
        <v>32</v>
      </c>
      <c r="IV25">
        <v>2.7</v>
      </c>
      <c r="IW25">
        <v>2.3</v>
      </c>
      <c r="IX25">
        <v>0.911865</v>
      </c>
      <c r="IY25">
        <v>2.229</v>
      </c>
      <c r="IZ25">
        <v>1.39648</v>
      </c>
      <c r="JA25">
        <v>2.35962</v>
      </c>
      <c r="JB25">
        <v>1.49536</v>
      </c>
      <c r="JC25">
        <v>2.36572</v>
      </c>
      <c r="JD25">
        <v>38.2568</v>
      </c>
      <c r="JE25">
        <v>24.0437</v>
      </c>
      <c r="JF25">
        <v>18</v>
      </c>
      <c r="JG25">
        <v>514.419</v>
      </c>
      <c r="JH25">
        <v>422.822</v>
      </c>
      <c r="JI25">
        <v>22.5143</v>
      </c>
      <c r="JJ25">
        <v>29.2908</v>
      </c>
      <c r="JK25">
        <v>29.9998</v>
      </c>
      <c r="JL25">
        <v>29.2137</v>
      </c>
      <c r="JM25">
        <v>29.1304</v>
      </c>
      <c r="JN25">
        <v>18.2757</v>
      </c>
      <c r="JO25">
        <v>55.1678</v>
      </c>
      <c r="JP25">
        <v>0</v>
      </c>
      <c r="JQ25">
        <v>22.52</v>
      </c>
      <c r="JR25">
        <v>346.546</v>
      </c>
      <c r="JS25">
        <v>9.006259999999999</v>
      </c>
      <c r="JT25">
        <v>100.284</v>
      </c>
      <c r="JU25">
        <v>100.197</v>
      </c>
    </row>
    <row r="26" spans="1:281">
      <c r="A26">
        <v>10</v>
      </c>
      <c r="B26">
        <v>1651857183.6</v>
      </c>
      <c r="C26">
        <v>183</v>
      </c>
      <c r="D26" t="s">
        <v>447</v>
      </c>
      <c r="E26" t="s">
        <v>448</v>
      </c>
      <c r="F26">
        <v>2</v>
      </c>
      <c r="G26" t="s">
        <v>413</v>
      </c>
      <c r="H26" t="s">
        <v>414</v>
      </c>
      <c r="I26">
        <v>1651857182.225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378.0275755353648</v>
      </c>
      <c r="AK26">
        <v>362.1121212121212</v>
      </c>
      <c r="AL26">
        <v>-2.175191519983704</v>
      </c>
      <c r="AM26">
        <v>66.38384787954378</v>
      </c>
      <c r="AN26">
        <f>(AP26 - AO26 + DI26*1E3/(8.314*(DK26+273.15)) * AR26/DH26 * AQ26) * DH26/(100*CV26) * 1000/(1000 - AP26)</f>
        <v>0</v>
      </c>
      <c r="AO26">
        <v>9.080839757988086</v>
      </c>
      <c r="AP26">
        <v>18.38830529411763</v>
      </c>
      <c r="AQ26">
        <v>-0.0001076829640604337</v>
      </c>
      <c r="AR26">
        <v>80.44866334591464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417</v>
      </c>
      <c r="AY26" t="s">
        <v>417</v>
      </c>
      <c r="AZ26">
        <v>0</v>
      </c>
      <c r="BA26">
        <v>0</v>
      </c>
      <c r="BB26">
        <f>1-AZ26/BA26</f>
        <v>0</v>
      </c>
      <c r="BC26">
        <v>0</v>
      </c>
      <c r="BD26" t="s">
        <v>417</v>
      </c>
      <c r="BE26" t="s">
        <v>417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1238</v>
      </c>
      <c r="CA26">
        <v>300</v>
      </c>
      <c r="CB26">
        <v>300</v>
      </c>
      <c r="CC26">
        <v>300</v>
      </c>
      <c r="CD26">
        <v>10440.5</v>
      </c>
      <c r="CE26">
        <v>1411.69</v>
      </c>
      <c r="CF26">
        <v>-0.00735121</v>
      </c>
      <c r="CG26">
        <v>-0.77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1651857182.225</v>
      </c>
      <c r="DB26">
        <v>357.44625</v>
      </c>
      <c r="DC26">
        <v>370.0375</v>
      </c>
      <c r="DD26">
        <v>18.38995</v>
      </c>
      <c r="DE26">
        <v>9.078115</v>
      </c>
      <c r="DF26">
        <v>358.6405</v>
      </c>
      <c r="DG26">
        <v>18.38395</v>
      </c>
      <c r="DH26">
        <v>500.01825</v>
      </c>
      <c r="DI26">
        <v>90.086</v>
      </c>
      <c r="DJ26">
        <v>0.1001275</v>
      </c>
      <c r="DK26">
        <v>25.709475</v>
      </c>
      <c r="DL26">
        <v>24.98445</v>
      </c>
      <c r="DM26">
        <v>999.9</v>
      </c>
      <c r="DN26">
        <v>0</v>
      </c>
      <c r="DO26">
        <v>0</v>
      </c>
      <c r="DP26">
        <v>10004.9875</v>
      </c>
      <c r="DQ26">
        <v>0</v>
      </c>
      <c r="DR26">
        <v>3.20383</v>
      </c>
      <c r="DS26">
        <v>-12.591025</v>
      </c>
      <c r="DT26">
        <v>364.143</v>
      </c>
      <c r="DU26">
        <v>373.4275</v>
      </c>
      <c r="DV26">
        <v>9.311824999999999</v>
      </c>
      <c r="DW26">
        <v>370.0375</v>
      </c>
      <c r="DX26">
        <v>9.078115</v>
      </c>
      <c r="DY26">
        <v>1.6566725</v>
      </c>
      <c r="DZ26">
        <v>0.8178112500000001</v>
      </c>
      <c r="EA26">
        <v>14.496325</v>
      </c>
      <c r="EB26">
        <v>4.020275</v>
      </c>
      <c r="EC26">
        <v>1499.905</v>
      </c>
      <c r="ED26">
        <v>0.9730045</v>
      </c>
      <c r="EE26">
        <v>0.0269958</v>
      </c>
      <c r="EF26">
        <v>0</v>
      </c>
      <c r="EG26">
        <v>1080.355</v>
      </c>
      <c r="EH26">
        <v>5.00097</v>
      </c>
      <c r="EI26">
        <v>16031.25</v>
      </c>
      <c r="EJ26">
        <v>12490.85</v>
      </c>
      <c r="EK26">
        <v>37.562</v>
      </c>
      <c r="EL26">
        <v>39.062</v>
      </c>
      <c r="EM26">
        <v>37.98425</v>
      </c>
      <c r="EN26">
        <v>38.812</v>
      </c>
      <c r="EO26">
        <v>38.437</v>
      </c>
      <c r="EP26">
        <v>1454.545</v>
      </c>
      <c r="EQ26">
        <v>40.36</v>
      </c>
      <c r="ER26">
        <v>0</v>
      </c>
      <c r="ES26">
        <v>183</v>
      </c>
      <c r="ET26">
        <v>0</v>
      </c>
      <c r="EU26">
        <v>1080.393461538461</v>
      </c>
      <c r="EV26">
        <v>0.4659828959089338</v>
      </c>
      <c r="EW26">
        <v>8.499145379452473</v>
      </c>
      <c r="EX26">
        <v>16032.09230769231</v>
      </c>
      <c r="EY26">
        <v>15</v>
      </c>
      <c r="EZ26">
        <v>1651857041.1</v>
      </c>
      <c r="FA26" t="s">
        <v>419</v>
      </c>
      <c r="FB26">
        <v>1651857019.6</v>
      </c>
      <c r="FC26">
        <v>1651857041.1</v>
      </c>
      <c r="FD26">
        <v>1</v>
      </c>
      <c r="FE26">
        <v>0.545</v>
      </c>
      <c r="FF26">
        <v>-0.002</v>
      </c>
      <c r="FG26">
        <v>-1.271</v>
      </c>
      <c r="FH26">
        <v>-0.09</v>
      </c>
      <c r="FI26">
        <v>400</v>
      </c>
      <c r="FJ26">
        <v>10</v>
      </c>
      <c r="FK26">
        <v>0.1</v>
      </c>
      <c r="FL26">
        <v>0.02</v>
      </c>
      <c r="FM26">
        <v>-24.54719756097561</v>
      </c>
      <c r="FN26">
        <v>60.82427456445989</v>
      </c>
      <c r="FO26">
        <v>6.417901880714745</v>
      </c>
      <c r="FP26">
        <v>-1</v>
      </c>
      <c r="FQ26">
        <v>9.27811</v>
      </c>
      <c r="FR26">
        <v>0.2374018118466789</v>
      </c>
      <c r="FS26">
        <v>0.02508416845974898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432</v>
      </c>
      <c r="GB26">
        <v>2.97972</v>
      </c>
      <c r="GC26">
        <v>2.70625</v>
      </c>
      <c r="GD26">
        <v>0.0820705</v>
      </c>
      <c r="GE26">
        <v>0.0830405</v>
      </c>
      <c r="GF26">
        <v>0.08786380000000001</v>
      </c>
      <c r="GG26">
        <v>0.0513913</v>
      </c>
      <c r="GH26">
        <v>28957.9</v>
      </c>
      <c r="GI26">
        <v>28991.6</v>
      </c>
      <c r="GJ26">
        <v>29337</v>
      </c>
      <c r="GK26">
        <v>29251.1</v>
      </c>
      <c r="GL26">
        <v>35436.5</v>
      </c>
      <c r="GM26">
        <v>36953.6</v>
      </c>
      <c r="GN26">
        <v>41296.6</v>
      </c>
      <c r="GO26">
        <v>41745.3</v>
      </c>
      <c r="GP26">
        <v>1.9531</v>
      </c>
      <c r="GQ26">
        <v>1.83317</v>
      </c>
      <c r="GR26">
        <v>-0.0377521</v>
      </c>
      <c r="GS26">
        <v>0</v>
      </c>
      <c r="GT26">
        <v>25.5994</v>
      </c>
      <c r="GU26">
        <v>999.9</v>
      </c>
      <c r="GV26">
        <v>39.3</v>
      </c>
      <c r="GW26">
        <v>33.7</v>
      </c>
      <c r="GX26">
        <v>22.9204</v>
      </c>
      <c r="GY26">
        <v>62.4876</v>
      </c>
      <c r="GZ26">
        <v>35.5008</v>
      </c>
      <c r="HA26">
        <v>1</v>
      </c>
      <c r="HB26">
        <v>0.149169</v>
      </c>
      <c r="HC26">
        <v>2.33494</v>
      </c>
      <c r="HD26">
        <v>20.3175</v>
      </c>
      <c r="HE26">
        <v>5.21684</v>
      </c>
      <c r="HF26">
        <v>12.0099</v>
      </c>
      <c r="HG26">
        <v>4.9881</v>
      </c>
      <c r="HH26">
        <v>3.28865</v>
      </c>
      <c r="HI26">
        <v>845.8</v>
      </c>
      <c r="HJ26">
        <v>8414.799999999999</v>
      </c>
      <c r="HK26">
        <v>5139.4</v>
      </c>
      <c r="HL26">
        <v>22.8</v>
      </c>
      <c r="HM26">
        <v>1.86749</v>
      </c>
      <c r="HN26">
        <v>1.86646</v>
      </c>
      <c r="HO26">
        <v>1.866</v>
      </c>
      <c r="HP26">
        <v>1.86589</v>
      </c>
      <c r="HQ26">
        <v>1.8677</v>
      </c>
      <c r="HR26">
        <v>1.87025</v>
      </c>
      <c r="HS26">
        <v>1.8689</v>
      </c>
      <c r="HT26">
        <v>1.87026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-1.188</v>
      </c>
      <c r="II26">
        <v>0.006</v>
      </c>
      <c r="IJ26">
        <v>-0.4995723906072</v>
      </c>
      <c r="IK26">
        <v>-0.002077099775823331</v>
      </c>
      <c r="IL26">
        <v>4.593143279902166E-07</v>
      </c>
      <c r="IM26">
        <v>-1.865383991892071E-10</v>
      </c>
      <c r="IN26">
        <v>-0.07605349583632376</v>
      </c>
      <c r="IO26">
        <v>-0.01129461987421345</v>
      </c>
      <c r="IP26">
        <v>0.00116580895745559</v>
      </c>
      <c r="IQ26">
        <v>-1.679085872906199E-05</v>
      </c>
      <c r="IR26">
        <v>2</v>
      </c>
      <c r="IS26">
        <v>2290</v>
      </c>
      <c r="IT26">
        <v>0</v>
      </c>
      <c r="IU26">
        <v>32</v>
      </c>
      <c r="IV26">
        <v>2.7</v>
      </c>
      <c r="IW26">
        <v>2.4</v>
      </c>
      <c r="IX26">
        <v>0.898438</v>
      </c>
      <c r="IY26">
        <v>2.23511</v>
      </c>
      <c r="IZ26">
        <v>1.39648</v>
      </c>
      <c r="JA26">
        <v>2.35962</v>
      </c>
      <c r="JB26">
        <v>1.49536</v>
      </c>
      <c r="JC26">
        <v>2.29126</v>
      </c>
      <c r="JD26">
        <v>38.2568</v>
      </c>
      <c r="JE26">
        <v>24.035</v>
      </c>
      <c r="JF26">
        <v>18</v>
      </c>
      <c r="JG26">
        <v>514.3920000000001</v>
      </c>
      <c r="JH26">
        <v>422.762</v>
      </c>
      <c r="JI26">
        <v>22.5188</v>
      </c>
      <c r="JJ26">
        <v>29.2894</v>
      </c>
      <c r="JK26">
        <v>29.9997</v>
      </c>
      <c r="JL26">
        <v>29.2125</v>
      </c>
      <c r="JM26">
        <v>29.1304</v>
      </c>
      <c r="JN26">
        <v>18.0094</v>
      </c>
      <c r="JO26">
        <v>55.1678</v>
      </c>
      <c r="JP26">
        <v>0</v>
      </c>
      <c r="JQ26">
        <v>22.5284</v>
      </c>
      <c r="JR26">
        <v>339.867</v>
      </c>
      <c r="JS26">
        <v>8.998939999999999</v>
      </c>
      <c r="JT26">
        <v>100.285</v>
      </c>
      <c r="JU26">
        <v>100.197</v>
      </c>
    </row>
    <row r="27" spans="1:281">
      <c r="A27">
        <v>11</v>
      </c>
      <c r="B27">
        <v>1651857185.6</v>
      </c>
      <c r="C27">
        <v>185</v>
      </c>
      <c r="D27" t="s">
        <v>449</v>
      </c>
      <c r="E27" t="s">
        <v>450</v>
      </c>
      <c r="F27">
        <v>2</v>
      </c>
      <c r="G27" t="s">
        <v>413</v>
      </c>
      <c r="H27" t="s">
        <v>414</v>
      </c>
      <c r="I27">
        <v>1651857184.6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371.4273409453862</v>
      </c>
      <c r="AK27">
        <v>357.0988303030302</v>
      </c>
      <c r="AL27">
        <v>-2.43735860515184</v>
      </c>
      <c r="AM27">
        <v>66.38384787954378</v>
      </c>
      <c r="AN27">
        <f>(AP27 - AO27 + DI27*1E3/(8.314*(DK27+273.15)) * AR27/DH27 * AQ27) * DH27/(100*CV27) * 1000/(1000 - AP27)</f>
        <v>0</v>
      </c>
      <c r="AO27">
        <v>9.078669345989342</v>
      </c>
      <c r="AP27">
        <v>18.3881094117647</v>
      </c>
      <c r="AQ27">
        <v>-0.0001546615618269634</v>
      </c>
      <c r="AR27">
        <v>80.44866334591464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417</v>
      </c>
      <c r="AY27" t="s">
        <v>417</v>
      </c>
      <c r="AZ27">
        <v>0</v>
      </c>
      <c r="BA27">
        <v>0</v>
      </c>
      <c r="BB27">
        <f>1-AZ27/BA27</f>
        <v>0</v>
      </c>
      <c r="BC27">
        <v>0</v>
      </c>
      <c r="BD27" t="s">
        <v>417</v>
      </c>
      <c r="BE27" t="s">
        <v>417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1238</v>
      </c>
      <c r="CA27">
        <v>300</v>
      </c>
      <c r="CB27">
        <v>300</v>
      </c>
      <c r="CC27">
        <v>300</v>
      </c>
      <c r="CD27">
        <v>10440.5</v>
      </c>
      <c r="CE27">
        <v>1411.69</v>
      </c>
      <c r="CF27">
        <v>-0.00735121</v>
      </c>
      <c r="CG27">
        <v>-0.77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1651857184.6</v>
      </c>
      <c r="DB27">
        <v>351.8006666666667</v>
      </c>
      <c r="DC27">
        <v>362.2013333333334</v>
      </c>
      <c r="DD27">
        <v>18.38833333333334</v>
      </c>
      <c r="DE27">
        <v>9.076700000000001</v>
      </c>
      <c r="DF27">
        <v>352.9843333333333</v>
      </c>
      <c r="DG27">
        <v>18.38236666666667</v>
      </c>
      <c r="DH27">
        <v>500.0593333333333</v>
      </c>
      <c r="DI27">
        <v>90.08823333333332</v>
      </c>
      <c r="DJ27">
        <v>0.1000095333333333</v>
      </c>
      <c r="DK27">
        <v>25.70733333333333</v>
      </c>
      <c r="DL27">
        <v>24.98223333333333</v>
      </c>
      <c r="DM27">
        <v>999.9</v>
      </c>
      <c r="DN27">
        <v>0</v>
      </c>
      <c r="DO27">
        <v>0</v>
      </c>
      <c r="DP27">
        <v>10006.26666666667</v>
      </c>
      <c r="DQ27">
        <v>0</v>
      </c>
      <c r="DR27">
        <v>3.20383</v>
      </c>
      <c r="DS27">
        <v>-10.40073333333333</v>
      </c>
      <c r="DT27">
        <v>358.391</v>
      </c>
      <c r="DU27">
        <v>365.5193333333333</v>
      </c>
      <c r="DV27">
        <v>9.311613333333334</v>
      </c>
      <c r="DW27">
        <v>362.2013333333334</v>
      </c>
      <c r="DX27">
        <v>9.076700000000001</v>
      </c>
      <c r="DY27">
        <v>1.65657</v>
      </c>
      <c r="DZ27">
        <v>0.8177036666666666</v>
      </c>
      <c r="EA27">
        <v>14.4953</v>
      </c>
      <c r="EB27">
        <v>4.01841</v>
      </c>
      <c r="EC27">
        <v>1500.056666666667</v>
      </c>
      <c r="ED27">
        <v>0.973007</v>
      </c>
      <c r="EE27">
        <v>0.0269931</v>
      </c>
      <c r="EF27">
        <v>0</v>
      </c>
      <c r="EG27">
        <v>1079.806666666667</v>
      </c>
      <c r="EH27">
        <v>5.00097</v>
      </c>
      <c r="EI27">
        <v>16021.1</v>
      </c>
      <c r="EJ27">
        <v>12492.1</v>
      </c>
      <c r="EK27">
        <v>37.562</v>
      </c>
      <c r="EL27">
        <v>39.062</v>
      </c>
      <c r="EM27">
        <v>38</v>
      </c>
      <c r="EN27">
        <v>38.812</v>
      </c>
      <c r="EO27">
        <v>38.437</v>
      </c>
      <c r="EP27">
        <v>1454.696666666667</v>
      </c>
      <c r="EQ27">
        <v>40.36</v>
      </c>
      <c r="ER27">
        <v>0</v>
      </c>
      <c r="ES27">
        <v>184.8000001907349</v>
      </c>
      <c r="ET27">
        <v>0</v>
      </c>
      <c r="EU27">
        <v>1080.3212</v>
      </c>
      <c r="EV27">
        <v>-1.903846150898133</v>
      </c>
      <c r="EW27">
        <v>-37.30000004242947</v>
      </c>
      <c r="EX27">
        <v>16030.444</v>
      </c>
      <c r="EY27">
        <v>15</v>
      </c>
      <c r="EZ27">
        <v>1651857041.1</v>
      </c>
      <c r="FA27" t="s">
        <v>419</v>
      </c>
      <c r="FB27">
        <v>1651857019.6</v>
      </c>
      <c r="FC27">
        <v>1651857041.1</v>
      </c>
      <c r="FD27">
        <v>1</v>
      </c>
      <c r="FE27">
        <v>0.545</v>
      </c>
      <c r="FF27">
        <v>-0.002</v>
      </c>
      <c r="FG27">
        <v>-1.271</v>
      </c>
      <c r="FH27">
        <v>-0.09</v>
      </c>
      <c r="FI27">
        <v>400</v>
      </c>
      <c r="FJ27">
        <v>10</v>
      </c>
      <c r="FK27">
        <v>0.1</v>
      </c>
      <c r="FL27">
        <v>0.02</v>
      </c>
      <c r="FM27">
        <v>-21.9650275</v>
      </c>
      <c r="FN27">
        <v>74.65644540337721</v>
      </c>
      <c r="FO27">
        <v>7.355371507170372</v>
      </c>
      <c r="FP27">
        <v>-1</v>
      </c>
      <c r="FQ27">
        <v>9.2863395</v>
      </c>
      <c r="FR27">
        <v>0.2367874671669533</v>
      </c>
      <c r="FS27">
        <v>0.02460647922296067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432</v>
      </c>
      <c r="GB27">
        <v>2.97977</v>
      </c>
      <c r="GC27">
        <v>2.70628</v>
      </c>
      <c r="GD27">
        <v>0.0811471</v>
      </c>
      <c r="GE27">
        <v>0.0818557</v>
      </c>
      <c r="GF27">
        <v>0.0878684</v>
      </c>
      <c r="GG27">
        <v>0.0513844</v>
      </c>
      <c r="GH27">
        <v>28987.2</v>
      </c>
      <c r="GI27">
        <v>29029</v>
      </c>
      <c r="GJ27">
        <v>29337.1</v>
      </c>
      <c r="GK27">
        <v>29251</v>
      </c>
      <c r="GL27">
        <v>35436.7</v>
      </c>
      <c r="GM27">
        <v>36953.6</v>
      </c>
      <c r="GN27">
        <v>41297.1</v>
      </c>
      <c r="GO27">
        <v>41745</v>
      </c>
      <c r="GP27">
        <v>1.95312</v>
      </c>
      <c r="GQ27">
        <v>1.8333</v>
      </c>
      <c r="GR27">
        <v>-0.0374541</v>
      </c>
      <c r="GS27">
        <v>0</v>
      </c>
      <c r="GT27">
        <v>25.5988</v>
      </c>
      <c r="GU27">
        <v>999.9</v>
      </c>
      <c r="GV27">
        <v>39.3</v>
      </c>
      <c r="GW27">
        <v>33.7</v>
      </c>
      <c r="GX27">
        <v>22.9228</v>
      </c>
      <c r="GY27">
        <v>62.7976</v>
      </c>
      <c r="GZ27">
        <v>35.1883</v>
      </c>
      <c r="HA27">
        <v>1</v>
      </c>
      <c r="HB27">
        <v>0.14891</v>
      </c>
      <c r="HC27">
        <v>2.3268</v>
      </c>
      <c r="HD27">
        <v>20.3177</v>
      </c>
      <c r="HE27">
        <v>5.21699</v>
      </c>
      <c r="HF27">
        <v>12.0099</v>
      </c>
      <c r="HG27">
        <v>4.98795</v>
      </c>
      <c r="HH27">
        <v>3.28865</v>
      </c>
      <c r="HI27">
        <v>845.8</v>
      </c>
      <c r="HJ27">
        <v>8414.799999999999</v>
      </c>
      <c r="HK27">
        <v>5139.4</v>
      </c>
      <c r="HL27">
        <v>22.8</v>
      </c>
      <c r="HM27">
        <v>1.86748</v>
      </c>
      <c r="HN27">
        <v>1.86646</v>
      </c>
      <c r="HO27">
        <v>1.866</v>
      </c>
      <c r="HP27">
        <v>1.86589</v>
      </c>
      <c r="HQ27">
        <v>1.86771</v>
      </c>
      <c r="HR27">
        <v>1.87026</v>
      </c>
      <c r="HS27">
        <v>1.8689</v>
      </c>
      <c r="HT27">
        <v>1.87026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-1.179</v>
      </c>
      <c r="II27">
        <v>0.006</v>
      </c>
      <c r="IJ27">
        <v>-0.4995723906072</v>
      </c>
      <c r="IK27">
        <v>-0.002077099775823331</v>
      </c>
      <c r="IL27">
        <v>4.593143279902166E-07</v>
      </c>
      <c r="IM27">
        <v>-1.865383991892071E-10</v>
      </c>
      <c r="IN27">
        <v>-0.07605349583632376</v>
      </c>
      <c r="IO27">
        <v>-0.01129461987421345</v>
      </c>
      <c r="IP27">
        <v>0.00116580895745559</v>
      </c>
      <c r="IQ27">
        <v>-1.679085872906199E-05</v>
      </c>
      <c r="IR27">
        <v>2</v>
      </c>
      <c r="IS27">
        <v>2290</v>
      </c>
      <c r="IT27">
        <v>0</v>
      </c>
      <c r="IU27">
        <v>32</v>
      </c>
      <c r="IV27">
        <v>2.8</v>
      </c>
      <c r="IW27">
        <v>2.4</v>
      </c>
      <c r="IX27">
        <v>0.88623</v>
      </c>
      <c r="IY27">
        <v>2.23145</v>
      </c>
      <c r="IZ27">
        <v>1.39648</v>
      </c>
      <c r="JA27">
        <v>2.35962</v>
      </c>
      <c r="JB27">
        <v>1.49536</v>
      </c>
      <c r="JC27">
        <v>2.36694</v>
      </c>
      <c r="JD27">
        <v>38.2568</v>
      </c>
      <c r="JE27">
        <v>24.0437</v>
      </c>
      <c r="JF27">
        <v>18</v>
      </c>
      <c r="JG27">
        <v>514.404</v>
      </c>
      <c r="JH27">
        <v>422.836</v>
      </c>
      <c r="JI27">
        <v>22.5223</v>
      </c>
      <c r="JJ27">
        <v>29.2876</v>
      </c>
      <c r="JK27">
        <v>29.9998</v>
      </c>
      <c r="JL27">
        <v>29.212</v>
      </c>
      <c r="JM27">
        <v>29.1304</v>
      </c>
      <c r="JN27">
        <v>17.7418</v>
      </c>
      <c r="JO27">
        <v>55.1678</v>
      </c>
      <c r="JP27">
        <v>0</v>
      </c>
      <c r="JQ27">
        <v>22.5284</v>
      </c>
      <c r="JR27">
        <v>333.172</v>
      </c>
      <c r="JS27">
        <v>8.98962</v>
      </c>
      <c r="JT27">
        <v>100.286</v>
      </c>
      <c r="JU27">
        <v>100.196</v>
      </c>
    </row>
    <row r="28" spans="1:281">
      <c r="A28">
        <v>12</v>
      </c>
      <c r="B28">
        <v>1651857187.6</v>
      </c>
      <c r="C28">
        <v>187</v>
      </c>
      <c r="D28" t="s">
        <v>451</v>
      </c>
      <c r="E28" t="s">
        <v>452</v>
      </c>
      <c r="F28">
        <v>2</v>
      </c>
      <c r="G28" t="s">
        <v>413</v>
      </c>
      <c r="H28" t="s">
        <v>414</v>
      </c>
      <c r="I28">
        <v>1651857186.225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364.7551633456546</v>
      </c>
      <c r="AK28">
        <v>351.722393939394</v>
      </c>
      <c r="AL28">
        <v>-2.632900070357948</v>
      </c>
      <c r="AM28">
        <v>66.38384787954378</v>
      </c>
      <c r="AN28">
        <f>(AP28 - AO28 + DI28*1E3/(8.314*(DK28+273.15)) * AR28/DH28 * AQ28) * DH28/(100*CV28) * 1000/(1000 - AP28)</f>
        <v>0</v>
      </c>
      <c r="AO28">
        <v>9.077725950042286</v>
      </c>
      <c r="AP28">
        <v>18.39012205882353</v>
      </c>
      <c r="AQ28">
        <v>-0.0001155909808346128</v>
      </c>
      <c r="AR28">
        <v>80.44866334591464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417</v>
      </c>
      <c r="AY28" t="s">
        <v>417</v>
      </c>
      <c r="AZ28">
        <v>0</v>
      </c>
      <c r="BA28">
        <v>0</v>
      </c>
      <c r="BB28">
        <f>1-AZ28/BA28</f>
        <v>0</v>
      </c>
      <c r="BC28">
        <v>0</v>
      </c>
      <c r="BD28" t="s">
        <v>417</v>
      </c>
      <c r="BE28" t="s">
        <v>417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1238</v>
      </c>
      <c r="CA28">
        <v>300</v>
      </c>
      <c r="CB28">
        <v>300</v>
      </c>
      <c r="CC28">
        <v>300</v>
      </c>
      <c r="CD28">
        <v>10440.5</v>
      </c>
      <c r="CE28">
        <v>1411.69</v>
      </c>
      <c r="CF28">
        <v>-0.00735121</v>
      </c>
      <c r="CG28">
        <v>-0.77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1651857186.225</v>
      </c>
      <c r="DB28">
        <v>347.5875</v>
      </c>
      <c r="DC28">
        <v>356.862</v>
      </c>
      <c r="DD28">
        <v>18.3892</v>
      </c>
      <c r="DE28">
        <v>9.075727499999999</v>
      </c>
      <c r="DF28">
        <v>348.7635</v>
      </c>
      <c r="DG28">
        <v>18.383225</v>
      </c>
      <c r="DH28">
        <v>500.045</v>
      </c>
      <c r="DI28">
        <v>90.088325</v>
      </c>
      <c r="DJ28">
        <v>0.09980115000000001</v>
      </c>
      <c r="DK28">
        <v>25.707</v>
      </c>
      <c r="DL28">
        <v>24.986425</v>
      </c>
      <c r="DM28">
        <v>999.9</v>
      </c>
      <c r="DN28">
        <v>0</v>
      </c>
      <c r="DO28">
        <v>0</v>
      </c>
      <c r="DP28">
        <v>10024.975</v>
      </c>
      <c r="DQ28">
        <v>0</v>
      </c>
      <c r="DR28">
        <v>3.20383</v>
      </c>
      <c r="DS28">
        <v>-9.274782500000001</v>
      </c>
      <c r="DT28">
        <v>354.0989999999999</v>
      </c>
      <c r="DU28">
        <v>360.1305</v>
      </c>
      <c r="DV28">
        <v>9.313475</v>
      </c>
      <c r="DW28">
        <v>356.862</v>
      </c>
      <c r="DX28">
        <v>9.075727499999999</v>
      </c>
      <c r="DY28">
        <v>1.6566525</v>
      </c>
      <c r="DZ28">
        <v>0.817617</v>
      </c>
      <c r="EA28">
        <v>14.496075</v>
      </c>
      <c r="EB28">
        <v>4.016897500000001</v>
      </c>
      <c r="EC28">
        <v>1499.98</v>
      </c>
      <c r="ED28">
        <v>0.97300575</v>
      </c>
      <c r="EE28">
        <v>0.02699445</v>
      </c>
      <c r="EF28">
        <v>0</v>
      </c>
      <c r="EG28">
        <v>1078.8675</v>
      </c>
      <c r="EH28">
        <v>5.00097</v>
      </c>
      <c r="EI28">
        <v>16006.8</v>
      </c>
      <c r="EJ28">
        <v>12491.425</v>
      </c>
      <c r="EK28">
        <v>37.562</v>
      </c>
      <c r="EL28">
        <v>39.062</v>
      </c>
      <c r="EM28">
        <v>38</v>
      </c>
      <c r="EN28">
        <v>38.812</v>
      </c>
      <c r="EO28">
        <v>38.437</v>
      </c>
      <c r="EP28">
        <v>1454.62</v>
      </c>
      <c r="EQ28">
        <v>40.36</v>
      </c>
      <c r="ER28">
        <v>0</v>
      </c>
      <c r="ES28">
        <v>186.6000001430511</v>
      </c>
      <c r="ET28">
        <v>0</v>
      </c>
      <c r="EU28">
        <v>1080.046923076923</v>
      </c>
      <c r="EV28">
        <v>-6.844444442750255</v>
      </c>
      <c r="EW28">
        <v>-113.3606838521852</v>
      </c>
      <c r="EX28">
        <v>16026.60769230769</v>
      </c>
      <c r="EY28">
        <v>15</v>
      </c>
      <c r="EZ28">
        <v>1651857041.1</v>
      </c>
      <c r="FA28" t="s">
        <v>419</v>
      </c>
      <c r="FB28">
        <v>1651857019.6</v>
      </c>
      <c r="FC28">
        <v>1651857041.1</v>
      </c>
      <c r="FD28">
        <v>1</v>
      </c>
      <c r="FE28">
        <v>0.545</v>
      </c>
      <c r="FF28">
        <v>-0.002</v>
      </c>
      <c r="FG28">
        <v>-1.271</v>
      </c>
      <c r="FH28">
        <v>-0.09</v>
      </c>
      <c r="FI28">
        <v>400</v>
      </c>
      <c r="FJ28">
        <v>10</v>
      </c>
      <c r="FK28">
        <v>0.1</v>
      </c>
      <c r="FL28">
        <v>0.02</v>
      </c>
      <c r="FM28">
        <v>-20.63643365853659</v>
      </c>
      <c r="FN28">
        <v>76.91960425087106</v>
      </c>
      <c r="FO28">
        <v>7.70217134772848</v>
      </c>
      <c r="FP28">
        <v>-1</v>
      </c>
      <c r="FQ28">
        <v>9.289858292682927</v>
      </c>
      <c r="FR28">
        <v>0.2240094773519099</v>
      </c>
      <c r="FS28">
        <v>0.02417069056628128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432</v>
      </c>
      <c r="GB28">
        <v>2.97963</v>
      </c>
      <c r="GC28">
        <v>2.70624</v>
      </c>
      <c r="GD28">
        <v>0.0801612</v>
      </c>
      <c r="GE28">
        <v>0.0806717</v>
      </c>
      <c r="GF28">
        <v>0.08787490000000001</v>
      </c>
      <c r="GG28">
        <v>0.051379</v>
      </c>
      <c r="GH28">
        <v>29018.3</v>
      </c>
      <c r="GI28">
        <v>29066.4</v>
      </c>
      <c r="GJ28">
        <v>29337.2</v>
      </c>
      <c r="GK28">
        <v>29251</v>
      </c>
      <c r="GL28">
        <v>35436.4</v>
      </c>
      <c r="GM28">
        <v>36953.9</v>
      </c>
      <c r="GN28">
        <v>41297</v>
      </c>
      <c r="GO28">
        <v>41745.2</v>
      </c>
      <c r="GP28">
        <v>1.95312</v>
      </c>
      <c r="GQ28">
        <v>1.83325</v>
      </c>
      <c r="GR28">
        <v>-0.0371784</v>
      </c>
      <c r="GS28">
        <v>0</v>
      </c>
      <c r="GT28">
        <v>25.5977</v>
      </c>
      <c r="GU28">
        <v>999.9</v>
      </c>
      <c r="GV28">
        <v>39.2</v>
      </c>
      <c r="GW28">
        <v>33.7</v>
      </c>
      <c r="GX28">
        <v>22.8624</v>
      </c>
      <c r="GY28">
        <v>62.2676</v>
      </c>
      <c r="GZ28">
        <v>35.2444</v>
      </c>
      <c r="HA28">
        <v>1</v>
      </c>
      <c r="HB28">
        <v>0.148714</v>
      </c>
      <c r="HC28">
        <v>2.3252</v>
      </c>
      <c r="HD28">
        <v>20.3178</v>
      </c>
      <c r="HE28">
        <v>5.21714</v>
      </c>
      <c r="HF28">
        <v>12.0099</v>
      </c>
      <c r="HG28">
        <v>4.98795</v>
      </c>
      <c r="HH28">
        <v>3.28865</v>
      </c>
      <c r="HI28">
        <v>845.8</v>
      </c>
      <c r="HJ28">
        <v>8414.799999999999</v>
      </c>
      <c r="HK28">
        <v>5139.4</v>
      </c>
      <c r="HL28">
        <v>22.8</v>
      </c>
      <c r="HM28">
        <v>1.86751</v>
      </c>
      <c r="HN28">
        <v>1.86646</v>
      </c>
      <c r="HO28">
        <v>1.866</v>
      </c>
      <c r="HP28">
        <v>1.86592</v>
      </c>
      <c r="HQ28">
        <v>1.86771</v>
      </c>
      <c r="HR28">
        <v>1.87026</v>
      </c>
      <c r="HS28">
        <v>1.8689</v>
      </c>
      <c r="HT28">
        <v>1.87027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-1.169</v>
      </c>
      <c r="II28">
        <v>0.006</v>
      </c>
      <c r="IJ28">
        <v>-0.4995723906072</v>
      </c>
      <c r="IK28">
        <v>-0.002077099775823331</v>
      </c>
      <c r="IL28">
        <v>4.593143279902166E-07</v>
      </c>
      <c r="IM28">
        <v>-1.865383991892071E-10</v>
      </c>
      <c r="IN28">
        <v>-0.07605349583632376</v>
      </c>
      <c r="IO28">
        <v>-0.01129461987421345</v>
      </c>
      <c r="IP28">
        <v>0.00116580895745559</v>
      </c>
      <c r="IQ28">
        <v>-1.679085872906199E-05</v>
      </c>
      <c r="IR28">
        <v>2</v>
      </c>
      <c r="IS28">
        <v>2290</v>
      </c>
      <c r="IT28">
        <v>0</v>
      </c>
      <c r="IU28">
        <v>32</v>
      </c>
      <c r="IV28">
        <v>2.8</v>
      </c>
      <c r="IW28">
        <v>2.4</v>
      </c>
      <c r="IX28">
        <v>0.871582</v>
      </c>
      <c r="IY28">
        <v>2.22656</v>
      </c>
      <c r="IZ28">
        <v>1.39648</v>
      </c>
      <c r="JA28">
        <v>2.35962</v>
      </c>
      <c r="JB28">
        <v>1.49536</v>
      </c>
      <c r="JC28">
        <v>2.34863</v>
      </c>
      <c r="JD28">
        <v>38.2568</v>
      </c>
      <c r="JE28">
        <v>24.0437</v>
      </c>
      <c r="JF28">
        <v>18</v>
      </c>
      <c r="JG28">
        <v>514.404</v>
      </c>
      <c r="JH28">
        <v>422.807</v>
      </c>
      <c r="JI28">
        <v>22.5263</v>
      </c>
      <c r="JJ28">
        <v>29.2857</v>
      </c>
      <c r="JK28">
        <v>29.9998</v>
      </c>
      <c r="JL28">
        <v>29.212</v>
      </c>
      <c r="JM28">
        <v>29.1304</v>
      </c>
      <c r="JN28">
        <v>17.4698</v>
      </c>
      <c r="JO28">
        <v>55.4487</v>
      </c>
      <c r="JP28">
        <v>0</v>
      </c>
      <c r="JQ28">
        <v>22.5284</v>
      </c>
      <c r="JR28">
        <v>326.476</v>
      </c>
      <c r="JS28">
        <v>8.97894</v>
      </c>
      <c r="JT28">
        <v>100.286</v>
      </c>
      <c r="JU28">
        <v>100.196</v>
      </c>
    </row>
    <row r="29" spans="1:281">
      <c r="A29">
        <v>13</v>
      </c>
      <c r="B29">
        <v>1651857189.6</v>
      </c>
      <c r="C29">
        <v>189</v>
      </c>
      <c r="D29" t="s">
        <v>453</v>
      </c>
      <c r="E29" t="s">
        <v>454</v>
      </c>
      <c r="F29">
        <v>2</v>
      </c>
      <c r="G29" t="s">
        <v>413</v>
      </c>
      <c r="H29" t="s">
        <v>414</v>
      </c>
      <c r="I29">
        <v>1651857188.6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358.1236891682659</v>
      </c>
      <c r="AK29">
        <v>346.0672909090908</v>
      </c>
      <c r="AL29">
        <v>-2.784313985760053</v>
      </c>
      <c r="AM29">
        <v>66.38384787954378</v>
      </c>
      <c r="AN29">
        <f>(AP29 - AO29 + DI29*1E3/(8.314*(DK29+273.15)) * AR29/DH29 * AQ29) * DH29/(100*CV29) * 1000/(1000 - AP29)</f>
        <v>0</v>
      </c>
      <c r="AO29">
        <v>9.077683951338299</v>
      </c>
      <c r="AP29">
        <v>18.39237882352941</v>
      </c>
      <c r="AQ29">
        <v>-2.672256944881402E-05</v>
      </c>
      <c r="AR29">
        <v>80.44866334591464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417</v>
      </c>
      <c r="AY29" t="s">
        <v>417</v>
      </c>
      <c r="AZ29">
        <v>0</v>
      </c>
      <c r="BA29">
        <v>0</v>
      </c>
      <c r="BB29">
        <f>1-AZ29/BA29</f>
        <v>0</v>
      </c>
      <c r="BC29">
        <v>0</v>
      </c>
      <c r="BD29" t="s">
        <v>417</v>
      </c>
      <c r="BE29" t="s">
        <v>417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1238</v>
      </c>
      <c r="CA29">
        <v>300</v>
      </c>
      <c r="CB29">
        <v>300</v>
      </c>
      <c r="CC29">
        <v>300</v>
      </c>
      <c r="CD29">
        <v>10440.5</v>
      </c>
      <c r="CE29">
        <v>1411.69</v>
      </c>
      <c r="CF29">
        <v>-0.00735121</v>
      </c>
      <c r="CG29">
        <v>-0.77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1651857188.6</v>
      </c>
      <c r="DB29">
        <v>341.1113333333333</v>
      </c>
      <c r="DC29">
        <v>349.08</v>
      </c>
      <c r="DD29">
        <v>18.39163333333333</v>
      </c>
      <c r="DE29">
        <v>9.063956666666668</v>
      </c>
      <c r="DF29">
        <v>342.2756666666667</v>
      </c>
      <c r="DG29">
        <v>18.38563333333333</v>
      </c>
      <c r="DH29">
        <v>500.006</v>
      </c>
      <c r="DI29">
        <v>90.08836666666667</v>
      </c>
      <c r="DJ29">
        <v>0.0998425</v>
      </c>
      <c r="DK29">
        <v>25.70856666666667</v>
      </c>
      <c r="DL29">
        <v>24.98936666666667</v>
      </c>
      <c r="DM29">
        <v>999.9</v>
      </c>
      <c r="DN29">
        <v>0</v>
      </c>
      <c r="DO29">
        <v>0</v>
      </c>
      <c r="DP29">
        <v>10028.73333333333</v>
      </c>
      <c r="DQ29">
        <v>0</v>
      </c>
      <c r="DR29">
        <v>3.20383</v>
      </c>
      <c r="DS29">
        <v>-7.968699999999999</v>
      </c>
      <c r="DT29">
        <v>347.5023333333334</v>
      </c>
      <c r="DU29">
        <v>352.273</v>
      </c>
      <c r="DV29">
        <v>9.327663333333334</v>
      </c>
      <c r="DW29">
        <v>349.08</v>
      </c>
      <c r="DX29">
        <v>9.063956666666668</v>
      </c>
      <c r="DY29">
        <v>1.65687</v>
      </c>
      <c r="DZ29">
        <v>0.816557</v>
      </c>
      <c r="EA29">
        <v>14.49813333333333</v>
      </c>
      <c r="EB29">
        <v>3.998429999999999</v>
      </c>
      <c r="EC29">
        <v>1500.053333333333</v>
      </c>
      <c r="ED29">
        <v>0.973007</v>
      </c>
      <c r="EE29">
        <v>0.0269931</v>
      </c>
      <c r="EF29">
        <v>0</v>
      </c>
      <c r="EG29">
        <v>1076.966666666666</v>
      </c>
      <c r="EH29">
        <v>5.00097</v>
      </c>
      <c r="EI29">
        <v>15981.5</v>
      </c>
      <c r="EJ29">
        <v>12492.1</v>
      </c>
      <c r="EK29">
        <v>37.562</v>
      </c>
      <c r="EL29">
        <v>39.062</v>
      </c>
      <c r="EM29">
        <v>38</v>
      </c>
      <c r="EN29">
        <v>38.812</v>
      </c>
      <c r="EO29">
        <v>38.437</v>
      </c>
      <c r="EP29">
        <v>1454.693333333333</v>
      </c>
      <c r="EQ29">
        <v>40.36</v>
      </c>
      <c r="ER29">
        <v>0</v>
      </c>
      <c r="ES29">
        <v>188.4000000953674</v>
      </c>
      <c r="ET29">
        <v>0</v>
      </c>
      <c r="EU29">
        <v>1079.6276</v>
      </c>
      <c r="EV29">
        <v>-16.25384611939228</v>
      </c>
      <c r="EW29">
        <v>-241.1615380643456</v>
      </c>
      <c r="EX29">
        <v>16019.872</v>
      </c>
      <c r="EY29">
        <v>15</v>
      </c>
      <c r="EZ29">
        <v>1651857041.1</v>
      </c>
      <c r="FA29" t="s">
        <v>419</v>
      </c>
      <c r="FB29">
        <v>1651857019.6</v>
      </c>
      <c r="FC29">
        <v>1651857041.1</v>
      </c>
      <c r="FD29">
        <v>1</v>
      </c>
      <c r="FE29">
        <v>0.545</v>
      </c>
      <c r="FF29">
        <v>-0.002</v>
      </c>
      <c r="FG29">
        <v>-1.271</v>
      </c>
      <c r="FH29">
        <v>-0.09</v>
      </c>
      <c r="FI29">
        <v>400</v>
      </c>
      <c r="FJ29">
        <v>10</v>
      </c>
      <c r="FK29">
        <v>0.1</v>
      </c>
      <c r="FL29">
        <v>0.02</v>
      </c>
      <c r="FM29">
        <v>-17.66789425</v>
      </c>
      <c r="FN29">
        <v>78.02804273921198</v>
      </c>
      <c r="FO29">
        <v>7.611411891613109</v>
      </c>
      <c r="FP29">
        <v>-1</v>
      </c>
      <c r="FQ29">
        <v>9.29863825</v>
      </c>
      <c r="FR29">
        <v>0.2108972983114409</v>
      </c>
      <c r="FS29">
        <v>0.02280521638655289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432</v>
      </c>
      <c r="GB29">
        <v>2.97965</v>
      </c>
      <c r="GC29">
        <v>2.70629</v>
      </c>
      <c r="GD29">
        <v>0.07911849999999999</v>
      </c>
      <c r="GE29">
        <v>0.0794835</v>
      </c>
      <c r="GF29">
        <v>0.0878742</v>
      </c>
      <c r="GG29">
        <v>0.0512523</v>
      </c>
      <c r="GH29">
        <v>29050.7</v>
      </c>
      <c r="GI29">
        <v>29104.1</v>
      </c>
      <c r="GJ29">
        <v>29336.7</v>
      </c>
      <c r="GK29">
        <v>29251.1</v>
      </c>
      <c r="GL29">
        <v>35435.8</v>
      </c>
      <c r="GM29">
        <v>36958.9</v>
      </c>
      <c r="GN29">
        <v>41296.3</v>
      </c>
      <c r="GO29">
        <v>41745.2</v>
      </c>
      <c r="GP29">
        <v>1.9534</v>
      </c>
      <c r="GQ29">
        <v>1.83307</v>
      </c>
      <c r="GR29">
        <v>-0.0371262</v>
      </c>
      <c r="GS29">
        <v>0</v>
      </c>
      <c r="GT29">
        <v>25.5972</v>
      </c>
      <c r="GU29">
        <v>999.9</v>
      </c>
      <c r="GV29">
        <v>39.2</v>
      </c>
      <c r="GW29">
        <v>33.7</v>
      </c>
      <c r="GX29">
        <v>22.8661</v>
      </c>
      <c r="GY29">
        <v>62.4576</v>
      </c>
      <c r="GZ29">
        <v>35.5489</v>
      </c>
      <c r="HA29">
        <v>1</v>
      </c>
      <c r="HB29">
        <v>0.148753</v>
      </c>
      <c r="HC29">
        <v>2.32019</v>
      </c>
      <c r="HD29">
        <v>20.3177</v>
      </c>
      <c r="HE29">
        <v>5.21714</v>
      </c>
      <c r="HF29">
        <v>12.0099</v>
      </c>
      <c r="HG29">
        <v>4.9879</v>
      </c>
      <c r="HH29">
        <v>3.28865</v>
      </c>
      <c r="HI29">
        <v>845.8</v>
      </c>
      <c r="HJ29">
        <v>8414.799999999999</v>
      </c>
      <c r="HK29">
        <v>5139.4</v>
      </c>
      <c r="HL29">
        <v>22.8</v>
      </c>
      <c r="HM29">
        <v>1.86752</v>
      </c>
      <c r="HN29">
        <v>1.86646</v>
      </c>
      <c r="HO29">
        <v>1.866</v>
      </c>
      <c r="HP29">
        <v>1.86592</v>
      </c>
      <c r="HQ29">
        <v>1.86771</v>
      </c>
      <c r="HR29">
        <v>1.87027</v>
      </c>
      <c r="HS29">
        <v>1.8689</v>
      </c>
      <c r="HT29">
        <v>1.87027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-1.159</v>
      </c>
      <c r="II29">
        <v>0.006</v>
      </c>
      <c r="IJ29">
        <v>-0.4995723906072</v>
      </c>
      <c r="IK29">
        <v>-0.002077099775823331</v>
      </c>
      <c r="IL29">
        <v>4.593143279902166E-07</v>
      </c>
      <c r="IM29">
        <v>-1.865383991892071E-10</v>
      </c>
      <c r="IN29">
        <v>-0.07605349583632376</v>
      </c>
      <c r="IO29">
        <v>-0.01129461987421345</v>
      </c>
      <c r="IP29">
        <v>0.00116580895745559</v>
      </c>
      <c r="IQ29">
        <v>-1.679085872906199E-05</v>
      </c>
      <c r="IR29">
        <v>2</v>
      </c>
      <c r="IS29">
        <v>2290</v>
      </c>
      <c r="IT29">
        <v>0</v>
      </c>
      <c r="IU29">
        <v>32</v>
      </c>
      <c r="IV29">
        <v>2.8</v>
      </c>
      <c r="IW29">
        <v>2.5</v>
      </c>
      <c r="IX29">
        <v>0.858154</v>
      </c>
      <c r="IY29">
        <v>2.23389</v>
      </c>
      <c r="IZ29">
        <v>1.39648</v>
      </c>
      <c r="JA29">
        <v>2.3584</v>
      </c>
      <c r="JB29">
        <v>1.49536</v>
      </c>
      <c r="JC29">
        <v>2.30957</v>
      </c>
      <c r="JD29">
        <v>38.2568</v>
      </c>
      <c r="JE29">
        <v>24.035</v>
      </c>
      <c r="JF29">
        <v>18</v>
      </c>
      <c r="JG29">
        <v>514.585</v>
      </c>
      <c r="JH29">
        <v>422.703</v>
      </c>
      <c r="JI29">
        <v>22.5297</v>
      </c>
      <c r="JJ29">
        <v>29.2845</v>
      </c>
      <c r="JK29">
        <v>29.9999</v>
      </c>
      <c r="JL29">
        <v>29.212</v>
      </c>
      <c r="JM29">
        <v>29.1304</v>
      </c>
      <c r="JN29">
        <v>17.1956</v>
      </c>
      <c r="JO29">
        <v>55.4487</v>
      </c>
      <c r="JP29">
        <v>0</v>
      </c>
      <c r="JQ29">
        <v>22.5388</v>
      </c>
      <c r="JR29">
        <v>326.476</v>
      </c>
      <c r="JS29">
        <v>8.977209999999999</v>
      </c>
      <c r="JT29">
        <v>100.284</v>
      </c>
      <c r="JU29">
        <v>100.197</v>
      </c>
    </row>
    <row r="30" spans="1:281">
      <c r="A30">
        <v>14</v>
      </c>
      <c r="B30">
        <v>1651857191.6</v>
      </c>
      <c r="C30">
        <v>191</v>
      </c>
      <c r="D30" t="s">
        <v>455</v>
      </c>
      <c r="E30" t="s">
        <v>456</v>
      </c>
      <c r="F30">
        <v>2</v>
      </c>
      <c r="G30" t="s">
        <v>413</v>
      </c>
      <c r="H30" t="s">
        <v>414</v>
      </c>
      <c r="I30">
        <v>1651857190.225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351.5116812355521</v>
      </c>
      <c r="AK30">
        <v>340.2449090909089</v>
      </c>
      <c r="AL30">
        <v>-2.886950615170411</v>
      </c>
      <c r="AM30">
        <v>66.38384787954378</v>
      </c>
      <c r="AN30">
        <f>(AP30 - AO30 + DI30*1E3/(8.314*(DK30+273.15)) * AR30/DH30 * AQ30) * DH30/(100*CV30) * 1000/(1000 - AP30)</f>
        <v>0</v>
      </c>
      <c r="AO30">
        <v>9.076067434847381</v>
      </c>
      <c r="AP30">
        <v>18.38936205882353</v>
      </c>
      <c r="AQ30">
        <v>7.915049189339555E-05</v>
      </c>
      <c r="AR30">
        <v>80.44866334591464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417</v>
      </c>
      <c r="AY30" t="s">
        <v>417</v>
      </c>
      <c r="AZ30">
        <v>0</v>
      </c>
      <c r="BA30">
        <v>0</v>
      </c>
      <c r="BB30">
        <f>1-AZ30/BA30</f>
        <v>0</v>
      </c>
      <c r="BC30">
        <v>0</v>
      </c>
      <c r="BD30" t="s">
        <v>417</v>
      </c>
      <c r="BE30" t="s">
        <v>417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1238</v>
      </c>
      <c r="CA30">
        <v>300</v>
      </c>
      <c r="CB30">
        <v>300</v>
      </c>
      <c r="CC30">
        <v>300</v>
      </c>
      <c r="CD30">
        <v>10440.5</v>
      </c>
      <c r="CE30">
        <v>1411.69</v>
      </c>
      <c r="CF30">
        <v>-0.00735121</v>
      </c>
      <c r="CG30">
        <v>-0.77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1651857190.225</v>
      </c>
      <c r="DB30">
        <v>336.49725</v>
      </c>
      <c r="DC30">
        <v>343.7265</v>
      </c>
      <c r="DD30">
        <v>18.390075</v>
      </c>
      <c r="DE30">
        <v>9.0306525</v>
      </c>
      <c r="DF30">
        <v>337.65325</v>
      </c>
      <c r="DG30">
        <v>18.3841</v>
      </c>
      <c r="DH30">
        <v>500.04175</v>
      </c>
      <c r="DI30">
        <v>90.08902500000001</v>
      </c>
      <c r="DJ30">
        <v>0.09989962500000002</v>
      </c>
      <c r="DK30">
        <v>25.7114</v>
      </c>
      <c r="DL30">
        <v>24.987325</v>
      </c>
      <c r="DM30">
        <v>999.9</v>
      </c>
      <c r="DN30">
        <v>0</v>
      </c>
      <c r="DO30">
        <v>0</v>
      </c>
      <c r="DP30">
        <v>10028.75</v>
      </c>
      <c r="DQ30">
        <v>0</v>
      </c>
      <c r="DR30">
        <v>3.20383</v>
      </c>
      <c r="DS30">
        <v>-7.229112499999999</v>
      </c>
      <c r="DT30">
        <v>342.8015</v>
      </c>
      <c r="DU30">
        <v>346.859</v>
      </c>
      <c r="DV30">
        <v>9.359414999999998</v>
      </c>
      <c r="DW30">
        <v>343.7265</v>
      </c>
      <c r="DX30">
        <v>9.0306525</v>
      </c>
      <c r="DY30">
        <v>1.6567425</v>
      </c>
      <c r="DZ30">
        <v>0.8135622499999999</v>
      </c>
      <c r="EA30">
        <v>14.49695</v>
      </c>
      <c r="EB30">
        <v>3.946145</v>
      </c>
      <c r="EC30">
        <v>1499.9075</v>
      </c>
      <c r="ED30">
        <v>0.9730045</v>
      </c>
      <c r="EE30">
        <v>0.0269958</v>
      </c>
      <c r="EF30">
        <v>0</v>
      </c>
      <c r="EG30">
        <v>1075.1875</v>
      </c>
      <c r="EH30">
        <v>5.00097</v>
      </c>
      <c r="EI30">
        <v>15952.65</v>
      </c>
      <c r="EJ30">
        <v>12490.825</v>
      </c>
      <c r="EK30">
        <v>37.562</v>
      </c>
      <c r="EL30">
        <v>39.062</v>
      </c>
      <c r="EM30">
        <v>38</v>
      </c>
      <c r="EN30">
        <v>38.812</v>
      </c>
      <c r="EO30">
        <v>38.437</v>
      </c>
      <c r="EP30">
        <v>1454.5475</v>
      </c>
      <c r="EQ30">
        <v>40.36</v>
      </c>
      <c r="ER30">
        <v>0</v>
      </c>
      <c r="ES30">
        <v>190.2000000476837</v>
      </c>
      <c r="ET30">
        <v>0</v>
      </c>
      <c r="EU30">
        <v>1078.986153846154</v>
      </c>
      <c r="EV30">
        <v>-24.43760683523613</v>
      </c>
      <c r="EW30">
        <v>-373.0905983958594</v>
      </c>
      <c r="EX30">
        <v>16010.41923076923</v>
      </c>
      <c r="EY30">
        <v>15</v>
      </c>
      <c r="EZ30">
        <v>1651857041.1</v>
      </c>
      <c r="FA30" t="s">
        <v>419</v>
      </c>
      <c r="FB30">
        <v>1651857019.6</v>
      </c>
      <c r="FC30">
        <v>1651857041.1</v>
      </c>
      <c r="FD30">
        <v>1</v>
      </c>
      <c r="FE30">
        <v>0.545</v>
      </c>
      <c r="FF30">
        <v>-0.002</v>
      </c>
      <c r="FG30">
        <v>-1.271</v>
      </c>
      <c r="FH30">
        <v>-0.09</v>
      </c>
      <c r="FI30">
        <v>400</v>
      </c>
      <c r="FJ30">
        <v>10</v>
      </c>
      <c r="FK30">
        <v>0.1</v>
      </c>
      <c r="FL30">
        <v>0.02</v>
      </c>
      <c r="FM30">
        <v>-16.30398609756098</v>
      </c>
      <c r="FN30">
        <v>73.70219226480835</v>
      </c>
      <c r="FO30">
        <v>7.420773183994514</v>
      </c>
      <c r="FP30">
        <v>-1</v>
      </c>
      <c r="FQ30">
        <v>9.304727073170731</v>
      </c>
      <c r="FR30">
        <v>0.232234912892005</v>
      </c>
      <c r="FS30">
        <v>0.02564299250486192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432</v>
      </c>
      <c r="GB30">
        <v>2.97974</v>
      </c>
      <c r="GC30">
        <v>2.70632</v>
      </c>
      <c r="GD30">
        <v>0.0780426</v>
      </c>
      <c r="GE30">
        <v>0.0782721</v>
      </c>
      <c r="GF30">
        <v>0.08785279999999999</v>
      </c>
      <c r="GG30">
        <v>0.0510498</v>
      </c>
      <c r="GH30">
        <v>29084.8</v>
      </c>
      <c r="GI30">
        <v>29142.6</v>
      </c>
      <c r="GJ30">
        <v>29336.8</v>
      </c>
      <c r="GK30">
        <v>29251.3</v>
      </c>
      <c r="GL30">
        <v>35436.7</v>
      </c>
      <c r="GM30">
        <v>36967</v>
      </c>
      <c r="GN30">
        <v>41296.4</v>
      </c>
      <c r="GO30">
        <v>41745.4</v>
      </c>
      <c r="GP30">
        <v>1.9534</v>
      </c>
      <c r="GQ30">
        <v>1.83317</v>
      </c>
      <c r="GR30">
        <v>-0.0372976</v>
      </c>
      <c r="GS30">
        <v>0</v>
      </c>
      <c r="GT30">
        <v>25.5972</v>
      </c>
      <c r="GU30">
        <v>999.9</v>
      </c>
      <c r="GV30">
        <v>39.2</v>
      </c>
      <c r="GW30">
        <v>33.7</v>
      </c>
      <c r="GX30">
        <v>22.8613</v>
      </c>
      <c r="GY30">
        <v>62.4976</v>
      </c>
      <c r="GZ30">
        <v>35.3486</v>
      </c>
      <c r="HA30">
        <v>1</v>
      </c>
      <c r="HB30">
        <v>0.148775</v>
      </c>
      <c r="HC30">
        <v>2.30767</v>
      </c>
      <c r="HD30">
        <v>20.3178</v>
      </c>
      <c r="HE30">
        <v>5.21639</v>
      </c>
      <c r="HF30">
        <v>12.0099</v>
      </c>
      <c r="HG30">
        <v>4.98775</v>
      </c>
      <c r="HH30">
        <v>3.28858</v>
      </c>
      <c r="HI30">
        <v>845.8</v>
      </c>
      <c r="HJ30">
        <v>8414.799999999999</v>
      </c>
      <c r="HK30">
        <v>5139.4</v>
      </c>
      <c r="HL30">
        <v>22.8</v>
      </c>
      <c r="HM30">
        <v>1.86751</v>
      </c>
      <c r="HN30">
        <v>1.86646</v>
      </c>
      <c r="HO30">
        <v>1.866</v>
      </c>
      <c r="HP30">
        <v>1.8659</v>
      </c>
      <c r="HQ30">
        <v>1.86772</v>
      </c>
      <c r="HR30">
        <v>1.87025</v>
      </c>
      <c r="HS30">
        <v>1.8689</v>
      </c>
      <c r="HT30">
        <v>1.87027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-1.149</v>
      </c>
      <c r="II30">
        <v>0.0059</v>
      </c>
      <c r="IJ30">
        <v>-0.4995723906072</v>
      </c>
      <c r="IK30">
        <v>-0.002077099775823331</v>
      </c>
      <c r="IL30">
        <v>4.593143279902166E-07</v>
      </c>
      <c r="IM30">
        <v>-1.865383991892071E-10</v>
      </c>
      <c r="IN30">
        <v>-0.07605349583632376</v>
      </c>
      <c r="IO30">
        <v>-0.01129461987421345</v>
      </c>
      <c r="IP30">
        <v>0.00116580895745559</v>
      </c>
      <c r="IQ30">
        <v>-1.679085872906199E-05</v>
      </c>
      <c r="IR30">
        <v>2</v>
      </c>
      <c r="IS30">
        <v>2290</v>
      </c>
      <c r="IT30">
        <v>0</v>
      </c>
      <c r="IU30">
        <v>32</v>
      </c>
      <c r="IV30">
        <v>2.9</v>
      </c>
      <c r="IW30">
        <v>2.5</v>
      </c>
      <c r="IX30">
        <v>0.844727</v>
      </c>
      <c r="IY30">
        <v>2.23389</v>
      </c>
      <c r="IZ30">
        <v>1.39648</v>
      </c>
      <c r="JA30">
        <v>2.35962</v>
      </c>
      <c r="JB30">
        <v>1.49536</v>
      </c>
      <c r="JC30">
        <v>2.34497</v>
      </c>
      <c r="JD30">
        <v>38.2568</v>
      </c>
      <c r="JE30">
        <v>24.0437</v>
      </c>
      <c r="JF30">
        <v>18</v>
      </c>
      <c r="JG30">
        <v>514.579</v>
      </c>
      <c r="JH30">
        <v>422.762</v>
      </c>
      <c r="JI30">
        <v>22.5336</v>
      </c>
      <c r="JJ30">
        <v>29.2832</v>
      </c>
      <c r="JK30">
        <v>29.9999</v>
      </c>
      <c r="JL30">
        <v>29.2112</v>
      </c>
      <c r="JM30">
        <v>29.1304</v>
      </c>
      <c r="JN30">
        <v>16.9223</v>
      </c>
      <c r="JO30">
        <v>55.4487</v>
      </c>
      <c r="JP30">
        <v>0</v>
      </c>
      <c r="JQ30">
        <v>22.5388</v>
      </c>
      <c r="JR30">
        <v>319.787</v>
      </c>
      <c r="JS30">
        <v>8.98333</v>
      </c>
      <c r="JT30">
        <v>100.284</v>
      </c>
      <c r="JU30">
        <v>100.197</v>
      </c>
    </row>
    <row r="31" spans="1:281">
      <c r="A31">
        <v>15</v>
      </c>
      <c r="B31">
        <v>1651857193.6</v>
      </c>
      <c r="C31">
        <v>193</v>
      </c>
      <c r="D31" t="s">
        <v>457</v>
      </c>
      <c r="E31" t="s">
        <v>458</v>
      </c>
      <c r="F31">
        <v>2</v>
      </c>
      <c r="G31" t="s">
        <v>413</v>
      </c>
      <c r="H31" t="s">
        <v>414</v>
      </c>
      <c r="I31">
        <v>1651857192.6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344.8418248257441</v>
      </c>
      <c r="AK31">
        <v>334.2955454545453</v>
      </c>
      <c r="AL31">
        <v>-2.954386397778439</v>
      </c>
      <c r="AM31">
        <v>66.38384787954378</v>
      </c>
      <c r="AN31">
        <f>(AP31 - AO31 + DI31*1E3/(8.314*(DK31+273.15)) * AR31/DH31 * AQ31) * DH31/(100*CV31) * 1000/(1000 - AP31)</f>
        <v>0</v>
      </c>
      <c r="AO31">
        <v>9.053197440345297</v>
      </c>
      <c r="AP31">
        <v>18.37652911764705</v>
      </c>
      <c r="AQ31">
        <v>0.0001223902836362908</v>
      </c>
      <c r="AR31">
        <v>80.44866334591464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417</v>
      </c>
      <c r="AY31" t="s">
        <v>417</v>
      </c>
      <c r="AZ31">
        <v>0</v>
      </c>
      <c r="BA31">
        <v>0</v>
      </c>
      <c r="BB31">
        <f>1-AZ31/BA31</f>
        <v>0</v>
      </c>
      <c r="BC31">
        <v>0</v>
      </c>
      <c r="BD31" t="s">
        <v>417</v>
      </c>
      <c r="BE31" t="s">
        <v>417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1238</v>
      </c>
      <c r="CA31">
        <v>300</v>
      </c>
      <c r="CB31">
        <v>300</v>
      </c>
      <c r="CC31">
        <v>300</v>
      </c>
      <c r="CD31">
        <v>10440.5</v>
      </c>
      <c r="CE31">
        <v>1411.69</v>
      </c>
      <c r="CF31">
        <v>-0.00735121</v>
      </c>
      <c r="CG31">
        <v>-0.77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1651857192.6</v>
      </c>
      <c r="DB31">
        <v>329.6176666666667</v>
      </c>
      <c r="DC31">
        <v>335.8976666666667</v>
      </c>
      <c r="DD31">
        <v>18.37923333333333</v>
      </c>
      <c r="DE31">
        <v>8.984723333333333</v>
      </c>
      <c r="DF31">
        <v>330.7606666666666</v>
      </c>
      <c r="DG31">
        <v>18.3734</v>
      </c>
      <c r="DH31">
        <v>500.0123333333333</v>
      </c>
      <c r="DI31">
        <v>90.09036666666667</v>
      </c>
      <c r="DJ31">
        <v>0.09996876666666667</v>
      </c>
      <c r="DK31">
        <v>25.71353333333333</v>
      </c>
      <c r="DL31">
        <v>24.9855</v>
      </c>
      <c r="DM31">
        <v>999.9</v>
      </c>
      <c r="DN31">
        <v>0</v>
      </c>
      <c r="DO31">
        <v>0</v>
      </c>
      <c r="DP31">
        <v>10020</v>
      </c>
      <c r="DQ31">
        <v>0</v>
      </c>
      <c r="DR31">
        <v>3.20383</v>
      </c>
      <c r="DS31">
        <v>-6.279986666666667</v>
      </c>
      <c r="DT31">
        <v>335.7886666666667</v>
      </c>
      <c r="DU31">
        <v>338.9426666666666</v>
      </c>
      <c r="DV31">
        <v>9.394526666666666</v>
      </c>
      <c r="DW31">
        <v>335.8976666666667</v>
      </c>
      <c r="DX31">
        <v>8.984723333333333</v>
      </c>
      <c r="DY31">
        <v>1.655793333333333</v>
      </c>
      <c r="DZ31">
        <v>0.809437</v>
      </c>
      <c r="EA31">
        <v>14.48806666666667</v>
      </c>
      <c r="EB31">
        <v>3.873886666666667</v>
      </c>
      <c r="EC31">
        <v>1500.05</v>
      </c>
      <c r="ED31">
        <v>0.973007</v>
      </c>
      <c r="EE31">
        <v>0.0269931</v>
      </c>
      <c r="EF31">
        <v>0</v>
      </c>
      <c r="EG31">
        <v>1072.596666666667</v>
      </c>
      <c r="EH31">
        <v>5.00097</v>
      </c>
      <c r="EI31">
        <v>15914.9</v>
      </c>
      <c r="EJ31">
        <v>12492.03333333333</v>
      </c>
      <c r="EK31">
        <v>37.562</v>
      </c>
      <c r="EL31">
        <v>39.062</v>
      </c>
      <c r="EM31">
        <v>37.958</v>
      </c>
      <c r="EN31">
        <v>38.812</v>
      </c>
      <c r="EO31">
        <v>38.437</v>
      </c>
      <c r="EP31">
        <v>1454.69</v>
      </c>
      <c r="EQ31">
        <v>40.36</v>
      </c>
      <c r="ER31">
        <v>0</v>
      </c>
      <c r="ES31">
        <v>192.6000001430511</v>
      </c>
      <c r="ET31">
        <v>0</v>
      </c>
      <c r="EU31">
        <v>1077.711538461539</v>
      </c>
      <c r="EV31">
        <v>-38.77880344231146</v>
      </c>
      <c r="EW31">
        <v>-580.9504278876232</v>
      </c>
      <c r="EX31">
        <v>15991.02307692308</v>
      </c>
      <c r="EY31">
        <v>15</v>
      </c>
      <c r="EZ31">
        <v>1651857041.1</v>
      </c>
      <c r="FA31" t="s">
        <v>419</v>
      </c>
      <c r="FB31">
        <v>1651857019.6</v>
      </c>
      <c r="FC31">
        <v>1651857041.1</v>
      </c>
      <c r="FD31">
        <v>1</v>
      </c>
      <c r="FE31">
        <v>0.545</v>
      </c>
      <c r="FF31">
        <v>-0.002</v>
      </c>
      <c r="FG31">
        <v>-1.271</v>
      </c>
      <c r="FH31">
        <v>-0.09</v>
      </c>
      <c r="FI31">
        <v>400</v>
      </c>
      <c r="FJ31">
        <v>10</v>
      </c>
      <c r="FK31">
        <v>0.1</v>
      </c>
      <c r="FL31">
        <v>0.02</v>
      </c>
      <c r="FM31">
        <v>-13.20730375</v>
      </c>
      <c r="FN31">
        <v>59.90693504690433</v>
      </c>
      <c r="FO31">
        <v>5.965486339078184</v>
      </c>
      <c r="FP31">
        <v>-1</v>
      </c>
      <c r="FQ31">
        <v>9.321675750000001</v>
      </c>
      <c r="FR31">
        <v>0.285211294559077</v>
      </c>
      <c r="FS31">
        <v>0.0318398536340464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432</v>
      </c>
      <c r="GB31">
        <v>2.97976</v>
      </c>
      <c r="GC31">
        <v>2.70614</v>
      </c>
      <c r="GD31">
        <v>0.0769398</v>
      </c>
      <c r="GE31">
        <v>0.0770492</v>
      </c>
      <c r="GF31">
        <v>0.08781949999999999</v>
      </c>
      <c r="GG31">
        <v>0.05096</v>
      </c>
      <c r="GH31">
        <v>29120.3</v>
      </c>
      <c r="GI31">
        <v>29181.3</v>
      </c>
      <c r="GJ31">
        <v>29337.5</v>
      </c>
      <c r="GK31">
        <v>29251.3</v>
      </c>
      <c r="GL31">
        <v>35438.7</v>
      </c>
      <c r="GM31">
        <v>36970.5</v>
      </c>
      <c r="GN31">
        <v>41297.3</v>
      </c>
      <c r="GO31">
        <v>41745.5</v>
      </c>
      <c r="GP31">
        <v>1.95317</v>
      </c>
      <c r="GQ31">
        <v>1.83325</v>
      </c>
      <c r="GR31">
        <v>-0.0372827</v>
      </c>
      <c r="GS31">
        <v>0</v>
      </c>
      <c r="GT31">
        <v>25.5972</v>
      </c>
      <c r="GU31">
        <v>999.9</v>
      </c>
      <c r="GV31">
        <v>39.2</v>
      </c>
      <c r="GW31">
        <v>33.7</v>
      </c>
      <c r="GX31">
        <v>22.8615</v>
      </c>
      <c r="GY31">
        <v>62.4476</v>
      </c>
      <c r="GZ31">
        <v>35.3966</v>
      </c>
      <c r="HA31">
        <v>1</v>
      </c>
      <c r="HB31">
        <v>0.14873</v>
      </c>
      <c r="HC31">
        <v>2.31235</v>
      </c>
      <c r="HD31">
        <v>20.3178</v>
      </c>
      <c r="HE31">
        <v>5.21549</v>
      </c>
      <c r="HF31">
        <v>12.0099</v>
      </c>
      <c r="HG31">
        <v>4.98725</v>
      </c>
      <c r="HH31">
        <v>3.2885</v>
      </c>
      <c r="HI31">
        <v>846</v>
      </c>
      <c r="HJ31">
        <v>8417</v>
      </c>
      <c r="HK31">
        <v>5139.4</v>
      </c>
      <c r="HL31">
        <v>22.8</v>
      </c>
      <c r="HM31">
        <v>1.86751</v>
      </c>
      <c r="HN31">
        <v>1.86646</v>
      </c>
      <c r="HO31">
        <v>1.866</v>
      </c>
      <c r="HP31">
        <v>1.86591</v>
      </c>
      <c r="HQ31">
        <v>1.86772</v>
      </c>
      <c r="HR31">
        <v>1.87024</v>
      </c>
      <c r="HS31">
        <v>1.8689</v>
      </c>
      <c r="HT31">
        <v>1.87027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-1.137</v>
      </c>
      <c r="II31">
        <v>0.0057</v>
      </c>
      <c r="IJ31">
        <v>-0.4995723906072</v>
      </c>
      <c r="IK31">
        <v>-0.002077099775823331</v>
      </c>
      <c r="IL31">
        <v>4.593143279902166E-07</v>
      </c>
      <c r="IM31">
        <v>-1.865383991892071E-10</v>
      </c>
      <c r="IN31">
        <v>-0.07605349583632376</v>
      </c>
      <c r="IO31">
        <v>-0.01129461987421345</v>
      </c>
      <c r="IP31">
        <v>0.00116580895745559</v>
      </c>
      <c r="IQ31">
        <v>-1.679085872906199E-05</v>
      </c>
      <c r="IR31">
        <v>2</v>
      </c>
      <c r="IS31">
        <v>2290</v>
      </c>
      <c r="IT31">
        <v>0</v>
      </c>
      <c r="IU31">
        <v>32</v>
      </c>
      <c r="IV31">
        <v>2.9</v>
      </c>
      <c r="IW31">
        <v>2.5</v>
      </c>
      <c r="IX31">
        <v>0.831299</v>
      </c>
      <c r="IY31">
        <v>2.24121</v>
      </c>
      <c r="IZ31">
        <v>1.39648</v>
      </c>
      <c r="JA31">
        <v>2.35962</v>
      </c>
      <c r="JB31">
        <v>1.49536</v>
      </c>
      <c r="JC31">
        <v>2.29126</v>
      </c>
      <c r="JD31">
        <v>38.2568</v>
      </c>
      <c r="JE31">
        <v>24.035</v>
      </c>
      <c r="JF31">
        <v>18</v>
      </c>
      <c r="JG31">
        <v>514.421</v>
      </c>
      <c r="JH31">
        <v>422.807</v>
      </c>
      <c r="JI31">
        <v>22.5381</v>
      </c>
      <c r="JJ31">
        <v>29.2818</v>
      </c>
      <c r="JK31">
        <v>29.9999</v>
      </c>
      <c r="JL31">
        <v>29.21</v>
      </c>
      <c r="JM31">
        <v>29.1304</v>
      </c>
      <c r="JN31">
        <v>16.6469</v>
      </c>
      <c r="JO31">
        <v>55.4487</v>
      </c>
      <c r="JP31">
        <v>0</v>
      </c>
      <c r="JQ31">
        <v>22.5479</v>
      </c>
      <c r="JR31">
        <v>313.108</v>
      </c>
      <c r="JS31">
        <v>8.97941</v>
      </c>
      <c r="JT31">
        <v>100.286</v>
      </c>
      <c r="JU31">
        <v>100.197</v>
      </c>
    </row>
    <row r="32" spans="1:281">
      <c r="A32">
        <v>16</v>
      </c>
      <c r="B32">
        <v>1651857195.6</v>
      </c>
      <c r="C32">
        <v>195</v>
      </c>
      <c r="D32" t="s">
        <v>459</v>
      </c>
      <c r="E32" t="s">
        <v>460</v>
      </c>
      <c r="F32">
        <v>2</v>
      </c>
      <c r="G32" t="s">
        <v>413</v>
      </c>
      <c r="H32" t="s">
        <v>414</v>
      </c>
      <c r="I32">
        <v>1651857194.225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338.1745949083843</v>
      </c>
      <c r="AK32">
        <v>328.2499030303028</v>
      </c>
      <c r="AL32">
        <v>-3.007256134083649</v>
      </c>
      <c r="AM32">
        <v>66.38384787954378</v>
      </c>
      <c r="AN32">
        <f>(AP32 - AO32 + DI32*1E3/(8.314*(DK32+273.15)) * AR32/DH32 * AQ32) * DH32/(100*CV32) * 1000/(1000 - AP32)</f>
        <v>0</v>
      </c>
      <c r="AO32">
        <v>9.009897124868276</v>
      </c>
      <c r="AP32">
        <v>18.36374676470588</v>
      </c>
      <c r="AQ32">
        <v>-3.92658467445124E-05</v>
      </c>
      <c r="AR32">
        <v>80.44866334591464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417</v>
      </c>
      <c r="AY32" t="s">
        <v>417</v>
      </c>
      <c r="AZ32">
        <v>0</v>
      </c>
      <c r="BA32">
        <v>0</v>
      </c>
      <c r="BB32">
        <f>1-AZ32/BA32</f>
        <v>0</v>
      </c>
      <c r="BC32">
        <v>0</v>
      </c>
      <c r="BD32" t="s">
        <v>417</v>
      </c>
      <c r="BE32" t="s">
        <v>417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1238</v>
      </c>
      <c r="CA32">
        <v>300</v>
      </c>
      <c r="CB32">
        <v>300</v>
      </c>
      <c r="CC32">
        <v>300</v>
      </c>
      <c r="CD32">
        <v>10440.5</v>
      </c>
      <c r="CE32">
        <v>1411.69</v>
      </c>
      <c r="CF32">
        <v>-0.00735121</v>
      </c>
      <c r="CG32">
        <v>-0.77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1651857194.225</v>
      </c>
      <c r="DB32">
        <v>324.8215</v>
      </c>
      <c r="DC32">
        <v>330.5025</v>
      </c>
      <c r="DD32">
        <v>18.370175</v>
      </c>
      <c r="DE32">
        <v>8.976632499999999</v>
      </c>
      <c r="DF32">
        <v>325.9555</v>
      </c>
      <c r="DG32">
        <v>18.364475</v>
      </c>
      <c r="DH32">
        <v>500.02525</v>
      </c>
      <c r="DI32">
        <v>90.09134999999999</v>
      </c>
      <c r="DJ32">
        <v>0.100059975</v>
      </c>
      <c r="DK32">
        <v>25.7131</v>
      </c>
      <c r="DL32">
        <v>24.9851</v>
      </c>
      <c r="DM32">
        <v>999.9</v>
      </c>
      <c r="DN32">
        <v>0</v>
      </c>
      <c r="DO32">
        <v>0</v>
      </c>
      <c r="DP32">
        <v>9993.75</v>
      </c>
      <c r="DQ32">
        <v>0</v>
      </c>
      <c r="DR32">
        <v>3.20383</v>
      </c>
      <c r="DS32">
        <v>-5.681035</v>
      </c>
      <c r="DT32">
        <v>330.9</v>
      </c>
      <c r="DU32">
        <v>333.496</v>
      </c>
      <c r="DV32">
        <v>9.393552499999998</v>
      </c>
      <c r="DW32">
        <v>330.5025</v>
      </c>
      <c r="DX32">
        <v>8.976632499999999</v>
      </c>
      <c r="DY32">
        <v>1.654995</v>
      </c>
      <c r="DZ32">
        <v>0.8087169999999999</v>
      </c>
      <c r="EA32">
        <v>14.480625</v>
      </c>
      <c r="EB32">
        <v>3.8612425</v>
      </c>
      <c r="EC32">
        <v>1500.045</v>
      </c>
      <c r="ED32">
        <v>0.973007</v>
      </c>
      <c r="EE32">
        <v>0.0269931</v>
      </c>
      <c r="EF32">
        <v>0</v>
      </c>
      <c r="EG32">
        <v>1070.0875</v>
      </c>
      <c r="EH32">
        <v>5.00097</v>
      </c>
      <c r="EI32">
        <v>15878.625</v>
      </c>
      <c r="EJ32">
        <v>12492.025</v>
      </c>
      <c r="EK32">
        <v>37.562</v>
      </c>
      <c r="EL32">
        <v>39.062</v>
      </c>
      <c r="EM32">
        <v>37.98425</v>
      </c>
      <c r="EN32">
        <v>38.812</v>
      </c>
      <c r="EO32">
        <v>38.437</v>
      </c>
      <c r="EP32">
        <v>1454.685</v>
      </c>
      <c r="EQ32">
        <v>40.36</v>
      </c>
      <c r="ER32">
        <v>0</v>
      </c>
      <c r="ES32">
        <v>194.4000000953674</v>
      </c>
      <c r="ET32">
        <v>0</v>
      </c>
      <c r="EU32">
        <v>1076.224</v>
      </c>
      <c r="EV32">
        <v>-51.58153836733002</v>
      </c>
      <c r="EW32">
        <v>-779.4461525934503</v>
      </c>
      <c r="EX32">
        <v>15968.716</v>
      </c>
      <c r="EY32">
        <v>15</v>
      </c>
      <c r="EZ32">
        <v>1651857041.1</v>
      </c>
      <c r="FA32" t="s">
        <v>419</v>
      </c>
      <c r="FB32">
        <v>1651857019.6</v>
      </c>
      <c r="FC32">
        <v>1651857041.1</v>
      </c>
      <c r="FD32">
        <v>1</v>
      </c>
      <c r="FE32">
        <v>0.545</v>
      </c>
      <c r="FF32">
        <v>-0.002</v>
      </c>
      <c r="FG32">
        <v>-1.271</v>
      </c>
      <c r="FH32">
        <v>-0.09</v>
      </c>
      <c r="FI32">
        <v>400</v>
      </c>
      <c r="FJ32">
        <v>10</v>
      </c>
      <c r="FK32">
        <v>0.1</v>
      </c>
      <c r="FL32">
        <v>0.02</v>
      </c>
      <c r="FM32">
        <v>-12.04411536585366</v>
      </c>
      <c r="FN32">
        <v>53.19861470383275</v>
      </c>
      <c r="FO32">
        <v>5.448493578872075</v>
      </c>
      <c r="FP32">
        <v>-1</v>
      </c>
      <c r="FQ32">
        <v>9.329627804878047</v>
      </c>
      <c r="FR32">
        <v>0.3029220209059348</v>
      </c>
      <c r="FS32">
        <v>0.0342186040193796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432</v>
      </c>
      <c r="GB32">
        <v>2.97963</v>
      </c>
      <c r="GC32">
        <v>2.70611</v>
      </c>
      <c r="GD32">
        <v>0.0758088</v>
      </c>
      <c r="GE32">
        <v>0.0758038</v>
      </c>
      <c r="GF32">
        <v>0.0877793</v>
      </c>
      <c r="GG32">
        <v>0.0509401</v>
      </c>
      <c r="GH32">
        <v>29155.8</v>
      </c>
      <c r="GI32">
        <v>29220.7</v>
      </c>
      <c r="GJ32">
        <v>29337.3</v>
      </c>
      <c r="GK32">
        <v>29251.3</v>
      </c>
      <c r="GL32">
        <v>35440</v>
      </c>
      <c r="GM32">
        <v>36971.2</v>
      </c>
      <c r="GN32">
        <v>41297</v>
      </c>
      <c r="GO32">
        <v>41745.4</v>
      </c>
      <c r="GP32">
        <v>1.9531</v>
      </c>
      <c r="GQ32">
        <v>1.83333</v>
      </c>
      <c r="GR32">
        <v>-0.0373125</v>
      </c>
      <c r="GS32">
        <v>0</v>
      </c>
      <c r="GT32">
        <v>25.5972</v>
      </c>
      <c r="GU32">
        <v>999.9</v>
      </c>
      <c r="GV32">
        <v>39.2</v>
      </c>
      <c r="GW32">
        <v>33.7</v>
      </c>
      <c r="GX32">
        <v>22.8609</v>
      </c>
      <c r="GY32">
        <v>62.4876</v>
      </c>
      <c r="GZ32">
        <v>35.5128</v>
      </c>
      <c r="HA32">
        <v>1</v>
      </c>
      <c r="HB32">
        <v>0.148659</v>
      </c>
      <c r="HC32">
        <v>2.30322</v>
      </c>
      <c r="HD32">
        <v>20.3177</v>
      </c>
      <c r="HE32">
        <v>5.21549</v>
      </c>
      <c r="HF32">
        <v>12.0099</v>
      </c>
      <c r="HG32">
        <v>4.98705</v>
      </c>
      <c r="HH32">
        <v>3.2885</v>
      </c>
      <c r="HI32">
        <v>846</v>
      </c>
      <c r="HJ32">
        <v>8417</v>
      </c>
      <c r="HK32">
        <v>5139.4</v>
      </c>
      <c r="HL32">
        <v>22.8</v>
      </c>
      <c r="HM32">
        <v>1.86752</v>
      </c>
      <c r="HN32">
        <v>1.86646</v>
      </c>
      <c r="HO32">
        <v>1.866</v>
      </c>
      <c r="HP32">
        <v>1.86591</v>
      </c>
      <c r="HQ32">
        <v>1.86771</v>
      </c>
      <c r="HR32">
        <v>1.87026</v>
      </c>
      <c r="HS32">
        <v>1.8689</v>
      </c>
      <c r="HT32">
        <v>1.87027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-1.127</v>
      </c>
      <c r="II32">
        <v>0.0055</v>
      </c>
      <c r="IJ32">
        <v>-0.4995723906072</v>
      </c>
      <c r="IK32">
        <v>-0.002077099775823331</v>
      </c>
      <c r="IL32">
        <v>4.593143279902166E-07</v>
      </c>
      <c r="IM32">
        <v>-1.865383991892071E-10</v>
      </c>
      <c r="IN32">
        <v>-0.07605349583632376</v>
      </c>
      <c r="IO32">
        <v>-0.01129461987421345</v>
      </c>
      <c r="IP32">
        <v>0.00116580895745559</v>
      </c>
      <c r="IQ32">
        <v>-1.679085872906199E-05</v>
      </c>
      <c r="IR32">
        <v>2</v>
      </c>
      <c r="IS32">
        <v>2290</v>
      </c>
      <c r="IT32">
        <v>0</v>
      </c>
      <c r="IU32">
        <v>32</v>
      </c>
      <c r="IV32">
        <v>2.9</v>
      </c>
      <c r="IW32">
        <v>2.6</v>
      </c>
      <c r="IX32">
        <v>0.81665</v>
      </c>
      <c r="IY32">
        <v>2.23267</v>
      </c>
      <c r="IZ32">
        <v>1.39648</v>
      </c>
      <c r="JA32">
        <v>2.35962</v>
      </c>
      <c r="JB32">
        <v>1.49536</v>
      </c>
      <c r="JC32">
        <v>2.36572</v>
      </c>
      <c r="JD32">
        <v>38.2568</v>
      </c>
      <c r="JE32">
        <v>24.0437</v>
      </c>
      <c r="JF32">
        <v>18</v>
      </c>
      <c r="JG32">
        <v>514.367</v>
      </c>
      <c r="JH32">
        <v>422.851</v>
      </c>
      <c r="JI32">
        <v>22.5417</v>
      </c>
      <c r="JJ32">
        <v>29.2801</v>
      </c>
      <c r="JK32">
        <v>29.9998</v>
      </c>
      <c r="JL32">
        <v>29.2095</v>
      </c>
      <c r="JM32">
        <v>29.1304</v>
      </c>
      <c r="JN32">
        <v>16.3747</v>
      </c>
      <c r="JO32">
        <v>55.4487</v>
      </c>
      <c r="JP32">
        <v>0</v>
      </c>
      <c r="JQ32">
        <v>22.5479</v>
      </c>
      <c r="JR32">
        <v>306.43</v>
      </c>
      <c r="JS32">
        <v>8.993919999999999</v>
      </c>
      <c r="JT32">
        <v>100.286</v>
      </c>
      <c r="JU32">
        <v>100.197</v>
      </c>
    </row>
    <row r="33" spans="1:281">
      <c r="A33">
        <v>17</v>
      </c>
      <c r="B33">
        <v>1651857197.6</v>
      </c>
      <c r="C33">
        <v>197</v>
      </c>
      <c r="D33" t="s">
        <v>461</v>
      </c>
      <c r="E33" t="s">
        <v>462</v>
      </c>
      <c r="F33">
        <v>2</v>
      </c>
      <c r="G33" t="s">
        <v>413</v>
      </c>
      <c r="H33" t="s">
        <v>414</v>
      </c>
      <c r="I33">
        <v>1651857196.6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331.4573235339018</v>
      </c>
      <c r="AK33">
        <v>322.1207454545454</v>
      </c>
      <c r="AL33">
        <v>-3.052113456528126</v>
      </c>
      <c r="AM33">
        <v>66.38384787954378</v>
      </c>
      <c r="AN33">
        <f>(AP33 - AO33 + DI33*1E3/(8.314*(DK33+273.15)) * AR33/DH33 * AQ33) * DH33/(100*CV33) * 1000/(1000 - AP33)</f>
        <v>0</v>
      </c>
      <c r="AO33">
        <v>8.981773631569888</v>
      </c>
      <c r="AP33">
        <v>18.35224999999999</v>
      </c>
      <c r="AQ33">
        <v>-0.0002124432560525655</v>
      </c>
      <c r="AR33">
        <v>80.44866334591464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417</v>
      </c>
      <c r="AY33" t="s">
        <v>417</v>
      </c>
      <c r="AZ33">
        <v>0</v>
      </c>
      <c r="BA33">
        <v>0</v>
      </c>
      <c r="BB33">
        <f>1-AZ33/BA33</f>
        <v>0</v>
      </c>
      <c r="BC33">
        <v>0</v>
      </c>
      <c r="BD33" t="s">
        <v>417</v>
      </c>
      <c r="BE33" t="s">
        <v>417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1238</v>
      </c>
      <c r="CA33">
        <v>300</v>
      </c>
      <c r="CB33">
        <v>300</v>
      </c>
      <c r="CC33">
        <v>300</v>
      </c>
      <c r="CD33">
        <v>10440.5</v>
      </c>
      <c r="CE33">
        <v>1411.69</v>
      </c>
      <c r="CF33">
        <v>-0.00735121</v>
      </c>
      <c r="CG33">
        <v>-0.77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1651857196.6</v>
      </c>
      <c r="DB33">
        <v>317.716</v>
      </c>
      <c r="DC33">
        <v>322.542</v>
      </c>
      <c r="DD33">
        <v>18.35556666666666</v>
      </c>
      <c r="DE33">
        <v>8.971606666666666</v>
      </c>
      <c r="DF33">
        <v>318.837</v>
      </c>
      <c r="DG33">
        <v>18.35006666666667</v>
      </c>
      <c r="DH33">
        <v>500.0426666666667</v>
      </c>
      <c r="DI33">
        <v>90.09370000000001</v>
      </c>
      <c r="DJ33">
        <v>0.100173</v>
      </c>
      <c r="DK33">
        <v>25.7121</v>
      </c>
      <c r="DL33">
        <v>24.98133333333334</v>
      </c>
      <c r="DM33">
        <v>999.9</v>
      </c>
      <c r="DN33">
        <v>0</v>
      </c>
      <c r="DO33">
        <v>0</v>
      </c>
      <c r="DP33">
        <v>9975</v>
      </c>
      <c r="DQ33">
        <v>0</v>
      </c>
      <c r="DR33">
        <v>3.20383</v>
      </c>
      <c r="DS33">
        <v>-4.82623</v>
      </c>
      <c r="DT33">
        <v>323.6566666666667</v>
      </c>
      <c r="DU33">
        <v>325.462</v>
      </c>
      <c r="DV33">
        <v>9.38396</v>
      </c>
      <c r="DW33">
        <v>322.542</v>
      </c>
      <c r="DX33">
        <v>8.971606666666666</v>
      </c>
      <c r="DY33">
        <v>1.65372</v>
      </c>
      <c r="DZ33">
        <v>0.8082856666666666</v>
      </c>
      <c r="EA33">
        <v>14.46873333333333</v>
      </c>
      <c r="EB33">
        <v>3.853653333333333</v>
      </c>
      <c r="EC33">
        <v>1499.95</v>
      </c>
      <c r="ED33">
        <v>0.9730053333333334</v>
      </c>
      <c r="EE33">
        <v>0.0269949</v>
      </c>
      <c r="EF33">
        <v>0</v>
      </c>
      <c r="EG33">
        <v>1066.55</v>
      </c>
      <c r="EH33">
        <v>5.00097</v>
      </c>
      <c r="EI33">
        <v>15822.06666666667</v>
      </c>
      <c r="EJ33">
        <v>12491.16666666667</v>
      </c>
      <c r="EK33">
        <v>37.562</v>
      </c>
      <c r="EL33">
        <v>39.062</v>
      </c>
      <c r="EM33">
        <v>38</v>
      </c>
      <c r="EN33">
        <v>38.812</v>
      </c>
      <c r="EO33">
        <v>38.437</v>
      </c>
      <c r="EP33">
        <v>1454.59</v>
      </c>
      <c r="EQ33">
        <v>40.36</v>
      </c>
      <c r="ER33">
        <v>0</v>
      </c>
      <c r="ES33">
        <v>196.2000000476837</v>
      </c>
      <c r="ET33">
        <v>0</v>
      </c>
      <c r="EU33">
        <v>1074.783076923077</v>
      </c>
      <c r="EV33">
        <v>-60.70427352847519</v>
      </c>
      <c r="EW33">
        <v>-911.391453433481</v>
      </c>
      <c r="EX33">
        <v>15946.60769230769</v>
      </c>
      <c r="EY33">
        <v>15</v>
      </c>
      <c r="EZ33">
        <v>1651857041.1</v>
      </c>
      <c r="FA33" t="s">
        <v>419</v>
      </c>
      <c r="FB33">
        <v>1651857019.6</v>
      </c>
      <c r="FC33">
        <v>1651857041.1</v>
      </c>
      <c r="FD33">
        <v>1</v>
      </c>
      <c r="FE33">
        <v>0.545</v>
      </c>
      <c r="FF33">
        <v>-0.002</v>
      </c>
      <c r="FG33">
        <v>-1.271</v>
      </c>
      <c r="FH33">
        <v>-0.09</v>
      </c>
      <c r="FI33">
        <v>400</v>
      </c>
      <c r="FJ33">
        <v>10</v>
      </c>
      <c r="FK33">
        <v>0.1</v>
      </c>
      <c r="FL33">
        <v>0.02</v>
      </c>
      <c r="FM33">
        <v>-9.669831499999999</v>
      </c>
      <c r="FN33">
        <v>39.88122799249532</v>
      </c>
      <c r="FO33">
        <v>3.964698302241641</v>
      </c>
      <c r="FP33">
        <v>-1</v>
      </c>
      <c r="FQ33">
        <v>9.34227475</v>
      </c>
      <c r="FR33">
        <v>0.3183493058161316</v>
      </c>
      <c r="FS33">
        <v>0.03481040225187718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432</v>
      </c>
      <c r="GB33">
        <v>2.97985</v>
      </c>
      <c r="GC33">
        <v>2.70622</v>
      </c>
      <c r="GD33">
        <v>0.0746541</v>
      </c>
      <c r="GE33">
        <v>0.0745435</v>
      </c>
      <c r="GF33">
        <v>0.0877483</v>
      </c>
      <c r="GG33">
        <v>0.0509263</v>
      </c>
      <c r="GH33">
        <v>29191.8</v>
      </c>
      <c r="GI33">
        <v>29260.7</v>
      </c>
      <c r="GJ33">
        <v>29336.9</v>
      </c>
      <c r="GK33">
        <v>29251.4</v>
      </c>
      <c r="GL33">
        <v>35440.6</v>
      </c>
      <c r="GM33">
        <v>36971.8</v>
      </c>
      <c r="GN33">
        <v>41296.2</v>
      </c>
      <c r="GO33">
        <v>41745.5</v>
      </c>
      <c r="GP33">
        <v>1.95332</v>
      </c>
      <c r="GQ33">
        <v>1.83323</v>
      </c>
      <c r="GR33">
        <v>-0.0375956</v>
      </c>
      <c r="GS33">
        <v>0</v>
      </c>
      <c r="GT33">
        <v>25.5972</v>
      </c>
      <c r="GU33">
        <v>999.9</v>
      </c>
      <c r="GV33">
        <v>39.2</v>
      </c>
      <c r="GW33">
        <v>33.7</v>
      </c>
      <c r="GX33">
        <v>22.8598</v>
      </c>
      <c r="GY33">
        <v>62.4376</v>
      </c>
      <c r="GZ33">
        <v>35.1963</v>
      </c>
      <c r="HA33">
        <v>1</v>
      </c>
      <c r="HB33">
        <v>0.148359</v>
      </c>
      <c r="HC33">
        <v>2.30136</v>
      </c>
      <c r="HD33">
        <v>20.3176</v>
      </c>
      <c r="HE33">
        <v>5.21564</v>
      </c>
      <c r="HF33">
        <v>12.0099</v>
      </c>
      <c r="HG33">
        <v>4.9875</v>
      </c>
      <c r="HH33">
        <v>3.2885</v>
      </c>
      <c r="HI33">
        <v>846</v>
      </c>
      <c r="HJ33">
        <v>8417</v>
      </c>
      <c r="HK33">
        <v>5139.4</v>
      </c>
      <c r="HL33">
        <v>22.8</v>
      </c>
      <c r="HM33">
        <v>1.86752</v>
      </c>
      <c r="HN33">
        <v>1.86646</v>
      </c>
      <c r="HO33">
        <v>1.866</v>
      </c>
      <c r="HP33">
        <v>1.8659</v>
      </c>
      <c r="HQ33">
        <v>1.8677</v>
      </c>
      <c r="HR33">
        <v>1.87026</v>
      </c>
      <c r="HS33">
        <v>1.8689</v>
      </c>
      <c r="HT33">
        <v>1.87027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-1.115</v>
      </c>
      <c r="II33">
        <v>0.0055</v>
      </c>
      <c r="IJ33">
        <v>-0.4995723906072</v>
      </c>
      <c r="IK33">
        <v>-0.002077099775823331</v>
      </c>
      <c r="IL33">
        <v>4.593143279902166E-07</v>
      </c>
      <c r="IM33">
        <v>-1.865383991892071E-10</v>
      </c>
      <c r="IN33">
        <v>-0.07605349583632376</v>
      </c>
      <c r="IO33">
        <v>-0.01129461987421345</v>
      </c>
      <c r="IP33">
        <v>0.00116580895745559</v>
      </c>
      <c r="IQ33">
        <v>-1.679085872906199E-05</v>
      </c>
      <c r="IR33">
        <v>2</v>
      </c>
      <c r="IS33">
        <v>2290</v>
      </c>
      <c r="IT33">
        <v>0</v>
      </c>
      <c r="IU33">
        <v>32</v>
      </c>
      <c r="IV33">
        <v>3</v>
      </c>
      <c r="IW33">
        <v>2.6</v>
      </c>
      <c r="IX33">
        <v>0.803223</v>
      </c>
      <c r="IY33">
        <v>2.23633</v>
      </c>
      <c r="IZ33">
        <v>1.39648</v>
      </c>
      <c r="JA33">
        <v>2.35962</v>
      </c>
      <c r="JB33">
        <v>1.49536</v>
      </c>
      <c r="JC33">
        <v>2.29614</v>
      </c>
      <c r="JD33">
        <v>38.2568</v>
      </c>
      <c r="JE33">
        <v>24.0437</v>
      </c>
      <c r="JF33">
        <v>18</v>
      </c>
      <c r="JG33">
        <v>514.515</v>
      </c>
      <c r="JH33">
        <v>422.792</v>
      </c>
      <c r="JI33">
        <v>22.5459</v>
      </c>
      <c r="JJ33">
        <v>29.2782</v>
      </c>
      <c r="JK33">
        <v>29.9998</v>
      </c>
      <c r="JL33">
        <v>29.2095</v>
      </c>
      <c r="JM33">
        <v>29.1304</v>
      </c>
      <c r="JN33">
        <v>16.1002</v>
      </c>
      <c r="JO33">
        <v>55.4487</v>
      </c>
      <c r="JP33">
        <v>0</v>
      </c>
      <c r="JQ33">
        <v>22.5479</v>
      </c>
      <c r="JR33">
        <v>299.753</v>
      </c>
      <c r="JS33">
        <v>8.9908</v>
      </c>
      <c r="JT33">
        <v>100.284</v>
      </c>
      <c r="JU33">
        <v>100.197</v>
      </c>
    </row>
    <row r="34" spans="1:281">
      <c r="A34">
        <v>18</v>
      </c>
      <c r="B34">
        <v>1651857199.6</v>
      </c>
      <c r="C34">
        <v>199</v>
      </c>
      <c r="D34" t="s">
        <v>463</v>
      </c>
      <c r="E34" t="s">
        <v>464</v>
      </c>
      <c r="F34">
        <v>2</v>
      </c>
      <c r="G34" t="s">
        <v>413</v>
      </c>
      <c r="H34" t="s">
        <v>414</v>
      </c>
      <c r="I34">
        <v>1651857198.225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324.6834816338558</v>
      </c>
      <c r="AK34">
        <v>315.9154363636362</v>
      </c>
      <c r="AL34">
        <v>-3.090453351442222</v>
      </c>
      <c r="AM34">
        <v>66.38384787954378</v>
      </c>
      <c r="AN34">
        <f>(AP34 - AO34 + DI34*1E3/(8.314*(DK34+273.15)) * AR34/DH34 * AQ34) * DH34/(100*CV34) * 1000/(1000 - AP34)</f>
        <v>0</v>
      </c>
      <c r="AO34">
        <v>8.974336239300936</v>
      </c>
      <c r="AP34">
        <v>18.34881117647059</v>
      </c>
      <c r="AQ34">
        <v>-0.007284363489475053</v>
      </c>
      <c r="AR34">
        <v>80.44866334591464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417</v>
      </c>
      <c r="AY34" t="s">
        <v>417</v>
      </c>
      <c r="AZ34">
        <v>0</v>
      </c>
      <c r="BA34">
        <v>0</v>
      </c>
      <c r="BB34">
        <f>1-AZ34/BA34</f>
        <v>0</v>
      </c>
      <c r="BC34">
        <v>0</v>
      </c>
      <c r="BD34" t="s">
        <v>417</v>
      </c>
      <c r="BE34" t="s">
        <v>417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1238</v>
      </c>
      <c r="CA34">
        <v>300</v>
      </c>
      <c r="CB34">
        <v>300</v>
      </c>
      <c r="CC34">
        <v>300</v>
      </c>
      <c r="CD34">
        <v>10440.5</v>
      </c>
      <c r="CE34">
        <v>1411.69</v>
      </c>
      <c r="CF34">
        <v>-0.00735121</v>
      </c>
      <c r="CG34">
        <v>-0.77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1651857198.225</v>
      </c>
      <c r="DB34">
        <v>312.79</v>
      </c>
      <c r="DC34">
        <v>317.11575</v>
      </c>
      <c r="DD34">
        <v>18.35115</v>
      </c>
      <c r="DE34">
        <v>8.969595</v>
      </c>
      <c r="DF34">
        <v>313.90225</v>
      </c>
      <c r="DG34">
        <v>18.345725</v>
      </c>
      <c r="DH34">
        <v>500.04</v>
      </c>
      <c r="DI34">
        <v>90.095325</v>
      </c>
      <c r="DJ34">
        <v>0.099935725</v>
      </c>
      <c r="DK34">
        <v>25.712825</v>
      </c>
      <c r="DL34">
        <v>24.983125</v>
      </c>
      <c r="DM34">
        <v>999.9</v>
      </c>
      <c r="DN34">
        <v>0</v>
      </c>
      <c r="DO34">
        <v>0</v>
      </c>
      <c r="DP34">
        <v>9997.487499999999</v>
      </c>
      <c r="DQ34">
        <v>0</v>
      </c>
      <c r="DR34">
        <v>3.20383</v>
      </c>
      <c r="DS34">
        <v>-4.32579</v>
      </c>
      <c r="DT34">
        <v>318.63725</v>
      </c>
      <c r="DU34">
        <v>319.98575</v>
      </c>
      <c r="DV34">
        <v>9.381540000000001</v>
      </c>
      <c r="DW34">
        <v>317.11575</v>
      </c>
      <c r="DX34">
        <v>8.969595</v>
      </c>
      <c r="DY34">
        <v>1.6533525</v>
      </c>
      <c r="DZ34">
        <v>0.8081185000000001</v>
      </c>
      <c r="EA34">
        <v>14.46525</v>
      </c>
      <c r="EB34">
        <v>3.8507175</v>
      </c>
      <c r="EC34">
        <v>1500.0425</v>
      </c>
      <c r="ED34">
        <v>0.973007</v>
      </c>
      <c r="EE34">
        <v>0.0269931</v>
      </c>
      <c r="EF34">
        <v>0</v>
      </c>
      <c r="EG34">
        <v>1063.905</v>
      </c>
      <c r="EH34">
        <v>5.00097</v>
      </c>
      <c r="EI34">
        <v>15785.15</v>
      </c>
      <c r="EJ34">
        <v>12491.95</v>
      </c>
      <c r="EK34">
        <v>37.562</v>
      </c>
      <c r="EL34">
        <v>39.062</v>
      </c>
      <c r="EM34">
        <v>37.9685</v>
      </c>
      <c r="EN34">
        <v>38.812</v>
      </c>
      <c r="EO34">
        <v>38.437</v>
      </c>
      <c r="EP34">
        <v>1454.6825</v>
      </c>
      <c r="EQ34">
        <v>40.36</v>
      </c>
      <c r="ER34">
        <v>0</v>
      </c>
      <c r="ES34">
        <v>198.6000001430511</v>
      </c>
      <c r="ET34">
        <v>0</v>
      </c>
      <c r="EU34">
        <v>1072.094615384615</v>
      </c>
      <c r="EV34">
        <v>-75.16102569109911</v>
      </c>
      <c r="EW34">
        <v>-1113.241026438931</v>
      </c>
      <c r="EX34">
        <v>15906.72692307692</v>
      </c>
      <c r="EY34">
        <v>15</v>
      </c>
      <c r="EZ34">
        <v>1651857041.1</v>
      </c>
      <c r="FA34" t="s">
        <v>419</v>
      </c>
      <c r="FB34">
        <v>1651857019.6</v>
      </c>
      <c r="FC34">
        <v>1651857041.1</v>
      </c>
      <c r="FD34">
        <v>1</v>
      </c>
      <c r="FE34">
        <v>0.545</v>
      </c>
      <c r="FF34">
        <v>-0.002</v>
      </c>
      <c r="FG34">
        <v>-1.271</v>
      </c>
      <c r="FH34">
        <v>-0.09</v>
      </c>
      <c r="FI34">
        <v>400</v>
      </c>
      <c r="FJ34">
        <v>10</v>
      </c>
      <c r="FK34">
        <v>0.1</v>
      </c>
      <c r="FL34">
        <v>0.02</v>
      </c>
      <c r="FM34">
        <v>-8.857424390243901</v>
      </c>
      <c r="FN34">
        <v>35.55535756097562</v>
      </c>
      <c r="FO34">
        <v>3.613214394617144</v>
      </c>
      <c r="FP34">
        <v>-1</v>
      </c>
      <c r="FQ34">
        <v>9.346510243902438</v>
      </c>
      <c r="FR34">
        <v>0.3161268292682914</v>
      </c>
      <c r="FS34">
        <v>0.03513728639298231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432</v>
      </c>
      <c r="GB34">
        <v>2.97963</v>
      </c>
      <c r="GC34">
        <v>2.70607</v>
      </c>
      <c r="GD34">
        <v>0.0734775</v>
      </c>
      <c r="GE34">
        <v>0.0732826</v>
      </c>
      <c r="GF34">
        <v>0.08774800000000001</v>
      </c>
      <c r="GG34">
        <v>0.05092</v>
      </c>
      <c r="GH34">
        <v>29228.6</v>
      </c>
      <c r="GI34">
        <v>29300.6</v>
      </c>
      <c r="GJ34">
        <v>29336.6</v>
      </c>
      <c r="GK34">
        <v>29251.4</v>
      </c>
      <c r="GL34">
        <v>35440.3</v>
      </c>
      <c r="GM34">
        <v>36972.2</v>
      </c>
      <c r="GN34">
        <v>41295.9</v>
      </c>
      <c r="GO34">
        <v>41745.7</v>
      </c>
      <c r="GP34">
        <v>1.95327</v>
      </c>
      <c r="GQ34">
        <v>1.83325</v>
      </c>
      <c r="GR34">
        <v>-0.0373423</v>
      </c>
      <c r="GS34">
        <v>0</v>
      </c>
      <c r="GT34">
        <v>25.5972</v>
      </c>
      <c r="GU34">
        <v>999.9</v>
      </c>
      <c r="GV34">
        <v>39.2</v>
      </c>
      <c r="GW34">
        <v>33.7</v>
      </c>
      <c r="GX34">
        <v>22.8614</v>
      </c>
      <c r="GY34">
        <v>62.3276</v>
      </c>
      <c r="GZ34">
        <v>35.653</v>
      </c>
      <c r="HA34">
        <v>1</v>
      </c>
      <c r="HB34">
        <v>0.148155</v>
      </c>
      <c r="HC34">
        <v>2.29501</v>
      </c>
      <c r="HD34">
        <v>20.3176</v>
      </c>
      <c r="HE34">
        <v>5.21564</v>
      </c>
      <c r="HF34">
        <v>12.0099</v>
      </c>
      <c r="HG34">
        <v>4.9876</v>
      </c>
      <c r="HH34">
        <v>3.28848</v>
      </c>
      <c r="HI34">
        <v>846</v>
      </c>
      <c r="HJ34">
        <v>8417</v>
      </c>
      <c r="HK34">
        <v>5139.4</v>
      </c>
      <c r="HL34">
        <v>22.8</v>
      </c>
      <c r="HM34">
        <v>1.86752</v>
      </c>
      <c r="HN34">
        <v>1.86646</v>
      </c>
      <c r="HO34">
        <v>1.866</v>
      </c>
      <c r="HP34">
        <v>1.86589</v>
      </c>
      <c r="HQ34">
        <v>1.8677</v>
      </c>
      <c r="HR34">
        <v>1.87026</v>
      </c>
      <c r="HS34">
        <v>1.8689</v>
      </c>
      <c r="HT34">
        <v>1.87027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-1.105</v>
      </c>
      <c r="II34">
        <v>0.0055</v>
      </c>
      <c r="IJ34">
        <v>-0.4995723906072</v>
      </c>
      <c r="IK34">
        <v>-0.002077099775823331</v>
      </c>
      <c r="IL34">
        <v>4.593143279902166E-07</v>
      </c>
      <c r="IM34">
        <v>-1.865383991892071E-10</v>
      </c>
      <c r="IN34">
        <v>-0.07605349583632376</v>
      </c>
      <c r="IO34">
        <v>-0.01129461987421345</v>
      </c>
      <c r="IP34">
        <v>0.00116580895745559</v>
      </c>
      <c r="IQ34">
        <v>-1.679085872906199E-05</v>
      </c>
      <c r="IR34">
        <v>2</v>
      </c>
      <c r="IS34">
        <v>2290</v>
      </c>
      <c r="IT34">
        <v>0</v>
      </c>
      <c r="IU34">
        <v>32</v>
      </c>
      <c r="IV34">
        <v>3</v>
      </c>
      <c r="IW34">
        <v>2.6</v>
      </c>
      <c r="IX34">
        <v>0.789795</v>
      </c>
      <c r="IY34">
        <v>2.23755</v>
      </c>
      <c r="IZ34">
        <v>1.39648</v>
      </c>
      <c r="JA34">
        <v>2.35962</v>
      </c>
      <c r="JB34">
        <v>1.49536</v>
      </c>
      <c r="JC34">
        <v>2.34741</v>
      </c>
      <c r="JD34">
        <v>38.2568</v>
      </c>
      <c r="JE34">
        <v>24.0437</v>
      </c>
      <c r="JF34">
        <v>18</v>
      </c>
      <c r="JG34">
        <v>514.482</v>
      </c>
      <c r="JH34">
        <v>422.803</v>
      </c>
      <c r="JI34">
        <v>22.5496</v>
      </c>
      <c r="JJ34">
        <v>29.2769</v>
      </c>
      <c r="JK34">
        <v>29.9999</v>
      </c>
      <c r="JL34">
        <v>29.2094</v>
      </c>
      <c r="JM34">
        <v>29.1298</v>
      </c>
      <c r="JN34">
        <v>15.8264</v>
      </c>
      <c r="JO34">
        <v>55.4487</v>
      </c>
      <c r="JP34">
        <v>0</v>
      </c>
      <c r="JQ34">
        <v>22.5595</v>
      </c>
      <c r="JR34">
        <v>293.075</v>
      </c>
      <c r="JS34">
        <v>8.98279</v>
      </c>
      <c r="JT34">
        <v>100.283</v>
      </c>
      <c r="JU34">
        <v>100.198</v>
      </c>
    </row>
    <row r="35" spans="1:281">
      <c r="A35">
        <v>19</v>
      </c>
      <c r="B35">
        <v>1651857201.6</v>
      </c>
      <c r="C35">
        <v>201</v>
      </c>
      <c r="D35" t="s">
        <v>465</v>
      </c>
      <c r="E35" t="s">
        <v>466</v>
      </c>
      <c r="F35">
        <v>2</v>
      </c>
      <c r="G35" t="s">
        <v>413</v>
      </c>
      <c r="H35" t="s">
        <v>414</v>
      </c>
      <c r="I35">
        <v>1651857200.6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317.9513806973631</v>
      </c>
      <c r="AK35">
        <v>309.6738484848483</v>
      </c>
      <c r="AL35">
        <v>-3.116886500904549</v>
      </c>
      <c r="AM35">
        <v>66.38384787954378</v>
      </c>
      <c r="AN35">
        <f>(AP35 - AO35 + DI35*1E3/(8.314*(DK35+273.15)) * AR35/DH35 * AQ35) * DH35/(100*CV35) * 1000/(1000 - AP35)</f>
        <v>0</v>
      </c>
      <c r="AO35">
        <v>8.970873257948476</v>
      </c>
      <c r="AP35">
        <v>18.35332529411765</v>
      </c>
      <c r="AQ35">
        <v>-0.007506424738872808</v>
      </c>
      <c r="AR35">
        <v>80.44866334591464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417</v>
      </c>
      <c r="AY35" t="s">
        <v>417</v>
      </c>
      <c r="AZ35">
        <v>0</v>
      </c>
      <c r="BA35">
        <v>0</v>
      </c>
      <c r="BB35">
        <f>1-AZ35/BA35</f>
        <v>0</v>
      </c>
      <c r="BC35">
        <v>0</v>
      </c>
      <c r="BD35" t="s">
        <v>417</v>
      </c>
      <c r="BE35" t="s">
        <v>417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1238</v>
      </c>
      <c r="CA35">
        <v>300</v>
      </c>
      <c r="CB35">
        <v>300</v>
      </c>
      <c r="CC35">
        <v>300</v>
      </c>
      <c r="CD35">
        <v>10440.5</v>
      </c>
      <c r="CE35">
        <v>1411.69</v>
      </c>
      <c r="CF35">
        <v>-0.00735121</v>
      </c>
      <c r="CG35">
        <v>-0.77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1651857200.6</v>
      </c>
      <c r="DB35">
        <v>305.5316666666667</v>
      </c>
      <c r="DC35">
        <v>309.2433333333333</v>
      </c>
      <c r="DD35">
        <v>18.35186666666667</v>
      </c>
      <c r="DE35">
        <v>8.967793333333333</v>
      </c>
      <c r="DF35">
        <v>306.6306666666667</v>
      </c>
      <c r="DG35">
        <v>18.3464</v>
      </c>
      <c r="DH35">
        <v>500.0453333333333</v>
      </c>
      <c r="DI35">
        <v>90.0958</v>
      </c>
      <c r="DJ35">
        <v>0.09987853333333334</v>
      </c>
      <c r="DK35">
        <v>25.71683333333333</v>
      </c>
      <c r="DL35">
        <v>24.98863333333334</v>
      </c>
      <c r="DM35">
        <v>999.9</v>
      </c>
      <c r="DN35">
        <v>0</v>
      </c>
      <c r="DO35">
        <v>0</v>
      </c>
      <c r="DP35">
        <v>10008.71666666667</v>
      </c>
      <c r="DQ35">
        <v>0</v>
      </c>
      <c r="DR35">
        <v>3.20383</v>
      </c>
      <c r="DS35">
        <v>-3.711616666666667</v>
      </c>
      <c r="DT35">
        <v>311.2436666666667</v>
      </c>
      <c r="DU35">
        <v>312.0416666666667</v>
      </c>
      <c r="DV35">
        <v>9.384073333333333</v>
      </c>
      <c r="DW35">
        <v>309.2433333333333</v>
      </c>
      <c r="DX35">
        <v>8.967793333333333</v>
      </c>
      <c r="DY35">
        <v>1.653426666666667</v>
      </c>
      <c r="DZ35">
        <v>0.8079606666666667</v>
      </c>
      <c r="EA35">
        <v>14.46593333333333</v>
      </c>
      <c r="EB35">
        <v>3.847936666666667</v>
      </c>
      <c r="EC35">
        <v>1500.04</v>
      </c>
      <c r="ED35">
        <v>0.973007</v>
      </c>
      <c r="EE35">
        <v>0.0269931</v>
      </c>
      <c r="EF35">
        <v>0</v>
      </c>
      <c r="EG35">
        <v>1059.163333333334</v>
      </c>
      <c r="EH35">
        <v>5.00097</v>
      </c>
      <c r="EI35">
        <v>15716.96666666667</v>
      </c>
      <c r="EJ35">
        <v>12491.9</v>
      </c>
      <c r="EK35">
        <v>37.562</v>
      </c>
      <c r="EL35">
        <v>39.062</v>
      </c>
      <c r="EM35">
        <v>37.937</v>
      </c>
      <c r="EN35">
        <v>38.812</v>
      </c>
      <c r="EO35">
        <v>38.437</v>
      </c>
      <c r="EP35">
        <v>1454.68</v>
      </c>
      <c r="EQ35">
        <v>40.36</v>
      </c>
      <c r="ER35">
        <v>0</v>
      </c>
      <c r="ES35">
        <v>200.4000000953674</v>
      </c>
      <c r="ET35">
        <v>0</v>
      </c>
      <c r="EU35">
        <v>1069.3432</v>
      </c>
      <c r="EV35">
        <v>-85.72538448002203</v>
      </c>
      <c r="EW35">
        <v>-1276.338459435118</v>
      </c>
      <c r="EX35">
        <v>15865.996</v>
      </c>
      <c r="EY35">
        <v>15</v>
      </c>
      <c r="EZ35">
        <v>1651857041.1</v>
      </c>
      <c r="FA35" t="s">
        <v>419</v>
      </c>
      <c r="FB35">
        <v>1651857019.6</v>
      </c>
      <c r="FC35">
        <v>1651857041.1</v>
      </c>
      <c r="FD35">
        <v>1</v>
      </c>
      <c r="FE35">
        <v>0.545</v>
      </c>
      <c r="FF35">
        <v>-0.002</v>
      </c>
      <c r="FG35">
        <v>-1.271</v>
      </c>
      <c r="FH35">
        <v>-0.09</v>
      </c>
      <c r="FI35">
        <v>400</v>
      </c>
      <c r="FJ35">
        <v>10</v>
      </c>
      <c r="FK35">
        <v>0.1</v>
      </c>
      <c r="FL35">
        <v>0.02</v>
      </c>
      <c r="FM35">
        <v>-7.248556750000001</v>
      </c>
      <c r="FN35">
        <v>27.63955395872424</v>
      </c>
      <c r="FO35">
        <v>2.710325709305422</v>
      </c>
      <c r="FP35">
        <v>-1</v>
      </c>
      <c r="FQ35">
        <v>9.355959500000001</v>
      </c>
      <c r="FR35">
        <v>0.3142658161350499</v>
      </c>
      <c r="FS35">
        <v>0.03456255675944698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432</v>
      </c>
      <c r="GB35">
        <v>2.97974</v>
      </c>
      <c r="GC35">
        <v>2.70611</v>
      </c>
      <c r="GD35">
        <v>0.0722824</v>
      </c>
      <c r="GE35">
        <v>0.07201539999999999</v>
      </c>
      <c r="GF35">
        <v>0.0877476</v>
      </c>
      <c r="GG35">
        <v>0.0509152</v>
      </c>
      <c r="GH35">
        <v>29266.1</v>
      </c>
      <c r="GI35">
        <v>29340.5</v>
      </c>
      <c r="GJ35">
        <v>29336.3</v>
      </c>
      <c r="GK35">
        <v>29251.3</v>
      </c>
      <c r="GL35">
        <v>35439.8</v>
      </c>
      <c r="GM35">
        <v>36972.3</v>
      </c>
      <c r="GN35">
        <v>41295.4</v>
      </c>
      <c r="GO35">
        <v>41745.6</v>
      </c>
      <c r="GP35">
        <v>1.95317</v>
      </c>
      <c r="GQ35">
        <v>1.83317</v>
      </c>
      <c r="GR35">
        <v>-0.0370666</v>
      </c>
      <c r="GS35">
        <v>0</v>
      </c>
      <c r="GT35">
        <v>25.5972</v>
      </c>
      <c r="GU35">
        <v>999.9</v>
      </c>
      <c r="GV35">
        <v>39.2</v>
      </c>
      <c r="GW35">
        <v>33.8</v>
      </c>
      <c r="GX35">
        <v>22.9903</v>
      </c>
      <c r="GY35">
        <v>62.5476</v>
      </c>
      <c r="GZ35">
        <v>35.2524</v>
      </c>
      <c r="HA35">
        <v>1</v>
      </c>
      <c r="HB35">
        <v>0.148178</v>
      </c>
      <c r="HC35">
        <v>2.28106</v>
      </c>
      <c r="HD35">
        <v>20.3179</v>
      </c>
      <c r="HE35">
        <v>5.21609</v>
      </c>
      <c r="HF35">
        <v>12.0099</v>
      </c>
      <c r="HG35">
        <v>4.9876</v>
      </c>
      <c r="HH35">
        <v>3.28848</v>
      </c>
      <c r="HI35">
        <v>846</v>
      </c>
      <c r="HJ35">
        <v>8417</v>
      </c>
      <c r="HK35">
        <v>5139.4</v>
      </c>
      <c r="HL35">
        <v>22.8</v>
      </c>
      <c r="HM35">
        <v>1.86752</v>
      </c>
      <c r="HN35">
        <v>1.86646</v>
      </c>
      <c r="HO35">
        <v>1.866</v>
      </c>
      <c r="HP35">
        <v>1.86589</v>
      </c>
      <c r="HQ35">
        <v>1.8677</v>
      </c>
      <c r="HR35">
        <v>1.87025</v>
      </c>
      <c r="HS35">
        <v>1.8689</v>
      </c>
      <c r="HT35">
        <v>1.87027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-1.093</v>
      </c>
      <c r="II35">
        <v>0.0054</v>
      </c>
      <c r="IJ35">
        <v>-0.4995723906072</v>
      </c>
      <c r="IK35">
        <v>-0.002077099775823331</v>
      </c>
      <c r="IL35">
        <v>4.593143279902166E-07</v>
      </c>
      <c r="IM35">
        <v>-1.865383991892071E-10</v>
      </c>
      <c r="IN35">
        <v>-0.07605349583632376</v>
      </c>
      <c r="IO35">
        <v>-0.01129461987421345</v>
      </c>
      <c r="IP35">
        <v>0.00116580895745559</v>
      </c>
      <c r="IQ35">
        <v>-1.679085872906199E-05</v>
      </c>
      <c r="IR35">
        <v>2</v>
      </c>
      <c r="IS35">
        <v>2290</v>
      </c>
      <c r="IT35">
        <v>0</v>
      </c>
      <c r="IU35">
        <v>32</v>
      </c>
      <c r="IV35">
        <v>3</v>
      </c>
      <c r="IW35">
        <v>2.7</v>
      </c>
      <c r="IX35">
        <v>0.776367</v>
      </c>
      <c r="IY35">
        <v>2.23145</v>
      </c>
      <c r="IZ35">
        <v>1.39648</v>
      </c>
      <c r="JA35">
        <v>2.35962</v>
      </c>
      <c r="JB35">
        <v>1.49536</v>
      </c>
      <c r="JC35">
        <v>2.32666</v>
      </c>
      <c r="JD35">
        <v>38.2568</v>
      </c>
      <c r="JE35">
        <v>24.0437</v>
      </c>
      <c r="JF35">
        <v>18</v>
      </c>
      <c r="JG35">
        <v>514.405</v>
      </c>
      <c r="JH35">
        <v>422.749</v>
      </c>
      <c r="JI35">
        <v>22.5539</v>
      </c>
      <c r="JJ35">
        <v>29.2757</v>
      </c>
      <c r="JK35">
        <v>29.9999</v>
      </c>
      <c r="JL35">
        <v>29.2081</v>
      </c>
      <c r="JM35">
        <v>29.1286</v>
      </c>
      <c r="JN35">
        <v>15.5495</v>
      </c>
      <c r="JO35">
        <v>55.4487</v>
      </c>
      <c r="JP35">
        <v>0</v>
      </c>
      <c r="JQ35">
        <v>22.5595</v>
      </c>
      <c r="JR35">
        <v>286.396</v>
      </c>
      <c r="JS35">
        <v>8.980600000000001</v>
      </c>
      <c r="JT35">
        <v>100.282</v>
      </c>
      <c r="JU35">
        <v>100.197</v>
      </c>
    </row>
    <row r="36" spans="1:281">
      <c r="A36">
        <v>20</v>
      </c>
      <c r="B36">
        <v>1651857203.6</v>
      </c>
      <c r="C36">
        <v>203</v>
      </c>
      <c r="D36" t="s">
        <v>467</v>
      </c>
      <c r="E36" t="s">
        <v>468</v>
      </c>
      <c r="F36">
        <v>2</v>
      </c>
      <c r="G36" t="s">
        <v>413</v>
      </c>
      <c r="H36" t="s">
        <v>414</v>
      </c>
      <c r="I36">
        <v>1651857202.225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311.27082410647</v>
      </c>
      <c r="AK36">
        <v>303.4276242424242</v>
      </c>
      <c r="AL36">
        <v>-3.12480754368951</v>
      </c>
      <c r="AM36">
        <v>66.38384787954378</v>
      </c>
      <c r="AN36">
        <f>(AP36 - AO36 + DI36*1E3/(8.314*(DK36+273.15)) * AR36/DH36 * AQ36) * DH36/(100*CV36) * 1000/(1000 - AP36)</f>
        <v>0</v>
      </c>
      <c r="AO36">
        <v>8.968827253875824</v>
      </c>
      <c r="AP36">
        <v>18.35128970588235</v>
      </c>
      <c r="AQ36">
        <v>-0.001083730229357289</v>
      </c>
      <c r="AR36">
        <v>80.44866334591464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417</v>
      </c>
      <c r="AY36" t="s">
        <v>417</v>
      </c>
      <c r="AZ36">
        <v>0</v>
      </c>
      <c r="BA36">
        <v>0</v>
      </c>
      <c r="BB36">
        <f>1-AZ36/BA36</f>
        <v>0</v>
      </c>
      <c r="BC36">
        <v>0</v>
      </c>
      <c r="BD36" t="s">
        <v>417</v>
      </c>
      <c r="BE36" t="s">
        <v>417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1238</v>
      </c>
      <c r="CA36">
        <v>300</v>
      </c>
      <c r="CB36">
        <v>300</v>
      </c>
      <c r="CC36">
        <v>300</v>
      </c>
      <c r="CD36">
        <v>10440.5</v>
      </c>
      <c r="CE36">
        <v>1411.69</v>
      </c>
      <c r="CF36">
        <v>-0.00735121</v>
      </c>
      <c r="CG36">
        <v>-0.77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1651857202.225</v>
      </c>
      <c r="DB36">
        <v>300.5415</v>
      </c>
      <c r="DC36">
        <v>303.8585</v>
      </c>
      <c r="DD36">
        <v>18.35085</v>
      </c>
      <c r="DE36">
        <v>8.9669925</v>
      </c>
      <c r="DF36">
        <v>301.63075</v>
      </c>
      <c r="DG36">
        <v>18.345425</v>
      </c>
      <c r="DH36">
        <v>500.0315</v>
      </c>
      <c r="DI36">
        <v>90.09552500000001</v>
      </c>
      <c r="DJ36">
        <v>0.10014625</v>
      </c>
      <c r="DK36">
        <v>25.71795</v>
      </c>
      <c r="DL36">
        <v>24.98825</v>
      </c>
      <c r="DM36">
        <v>999.9</v>
      </c>
      <c r="DN36">
        <v>0</v>
      </c>
      <c r="DO36">
        <v>0</v>
      </c>
      <c r="DP36">
        <v>9986.25</v>
      </c>
      <c r="DQ36">
        <v>0</v>
      </c>
      <c r="DR36">
        <v>3.20383</v>
      </c>
      <c r="DS36">
        <v>-3.31719</v>
      </c>
      <c r="DT36">
        <v>306.15975</v>
      </c>
      <c r="DU36">
        <v>306.6080000000001</v>
      </c>
      <c r="DV36">
        <v>9.383872499999999</v>
      </c>
      <c r="DW36">
        <v>303.8585</v>
      </c>
      <c r="DX36">
        <v>8.9669925</v>
      </c>
      <c r="DY36">
        <v>1.6533325</v>
      </c>
      <c r="DZ36">
        <v>0.8078860000000001</v>
      </c>
      <c r="EA36">
        <v>14.46505</v>
      </c>
      <c r="EB36">
        <v>3.8466275</v>
      </c>
      <c r="EC36">
        <v>1500.03</v>
      </c>
      <c r="ED36">
        <v>0.973007</v>
      </c>
      <c r="EE36">
        <v>0.0269931</v>
      </c>
      <c r="EF36">
        <v>0</v>
      </c>
      <c r="EG36">
        <v>1056.15</v>
      </c>
      <c r="EH36">
        <v>5.00097</v>
      </c>
      <c r="EI36">
        <v>15670.55</v>
      </c>
      <c r="EJ36">
        <v>12491.875</v>
      </c>
      <c r="EK36">
        <v>37.562</v>
      </c>
      <c r="EL36">
        <v>39.062</v>
      </c>
      <c r="EM36">
        <v>37.98425</v>
      </c>
      <c r="EN36">
        <v>38.812</v>
      </c>
      <c r="EO36">
        <v>38.437</v>
      </c>
      <c r="EP36">
        <v>1454.67</v>
      </c>
      <c r="EQ36">
        <v>40.36</v>
      </c>
      <c r="ER36">
        <v>0</v>
      </c>
      <c r="ES36">
        <v>202.2000000476837</v>
      </c>
      <c r="ET36">
        <v>0</v>
      </c>
      <c r="EU36">
        <v>1067.073846153846</v>
      </c>
      <c r="EV36">
        <v>-93.2697436491076</v>
      </c>
      <c r="EW36">
        <v>-1387.032479416936</v>
      </c>
      <c r="EX36">
        <v>15832.11153846154</v>
      </c>
      <c r="EY36">
        <v>15</v>
      </c>
      <c r="EZ36">
        <v>1651857041.1</v>
      </c>
      <c r="FA36" t="s">
        <v>419</v>
      </c>
      <c r="FB36">
        <v>1651857019.6</v>
      </c>
      <c r="FC36">
        <v>1651857041.1</v>
      </c>
      <c r="FD36">
        <v>1</v>
      </c>
      <c r="FE36">
        <v>0.545</v>
      </c>
      <c r="FF36">
        <v>-0.002</v>
      </c>
      <c r="FG36">
        <v>-1.271</v>
      </c>
      <c r="FH36">
        <v>-0.09</v>
      </c>
      <c r="FI36">
        <v>400</v>
      </c>
      <c r="FJ36">
        <v>10</v>
      </c>
      <c r="FK36">
        <v>0.1</v>
      </c>
      <c r="FL36">
        <v>0.02</v>
      </c>
      <c r="FM36">
        <v>-6.684480975609755</v>
      </c>
      <c r="FN36">
        <v>25.1939782578397</v>
      </c>
      <c r="FO36">
        <v>2.525127806106016</v>
      </c>
      <c r="FP36">
        <v>-1</v>
      </c>
      <c r="FQ36">
        <v>9.360153170731708</v>
      </c>
      <c r="FR36">
        <v>0.285019651567942</v>
      </c>
      <c r="FS36">
        <v>0.03329128454313257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432</v>
      </c>
      <c r="GB36">
        <v>2.98001</v>
      </c>
      <c r="GC36">
        <v>2.70611</v>
      </c>
      <c r="GD36">
        <v>0.07107670000000001</v>
      </c>
      <c r="GE36">
        <v>0.07073740000000001</v>
      </c>
      <c r="GF36">
        <v>0.0877406</v>
      </c>
      <c r="GG36">
        <v>0.0509098</v>
      </c>
      <c r="GH36">
        <v>29303.9</v>
      </c>
      <c r="GI36">
        <v>29380.8</v>
      </c>
      <c r="GJ36">
        <v>29336.1</v>
      </c>
      <c r="GK36">
        <v>29251.1</v>
      </c>
      <c r="GL36">
        <v>35439.6</v>
      </c>
      <c r="GM36">
        <v>36972.4</v>
      </c>
      <c r="GN36">
        <v>41294.8</v>
      </c>
      <c r="GO36">
        <v>41745.5</v>
      </c>
      <c r="GP36">
        <v>1.95325</v>
      </c>
      <c r="GQ36">
        <v>1.83302</v>
      </c>
      <c r="GR36">
        <v>-0.0369847</v>
      </c>
      <c r="GS36">
        <v>0</v>
      </c>
      <c r="GT36">
        <v>25.5961</v>
      </c>
      <c r="GU36">
        <v>999.9</v>
      </c>
      <c r="GV36">
        <v>39.2</v>
      </c>
      <c r="GW36">
        <v>33.7</v>
      </c>
      <c r="GX36">
        <v>22.8597</v>
      </c>
      <c r="GY36">
        <v>62.4376</v>
      </c>
      <c r="GZ36">
        <v>35.3926</v>
      </c>
      <c r="HA36">
        <v>1</v>
      </c>
      <c r="HB36">
        <v>0.148143</v>
      </c>
      <c r="HC36">
        <v>2.28465</v>
      </c>
      <c r="HD36">
        <v>20.318</v>
      </c>
      <c r="HE36">
        <v>5.21639</v>
      </c>
      <c r="HF36">
        <v>12.0099</v>
      </c>
      <c r="HG36">
        <v>4.98765</v>
      </c>
      <c r="HH36">
        <v>3.2885</v>
      </c>
      <c r="HI36">
        <v>846</v>
      </c>
      <c r="HJ36">
        <v>8417</v>
      </c>
      <c r="HK36">
        <v>5139.4</v>
      </c>
      <c r="HL36">
        <v>22.8</v>
      </c>
      <c r="HM36">
        <v>1.86752</v>
      </c>
      <c r="HN36">
        <v>1.86646</v>
      </c>
      <c r="HO36">
        <v>1.866</v>
      </c>
      <c r="HP36">
        <v>1.86589</v>
      </c>
      <c r="HQ36">
        <v>1.8677</v>
      </c>
      <c r="HR36">
        <v>1.87024</v>
      </c>
      <c r="HS36">
        <v>1.8689</v>
      </c>
      <c r="HT36">
        <v>1.87027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-1.082</v>
      </c>
      <c r="II36">
        <v>0.0054</v>
      </c>
      <c r="IJ36">
        <v>-0.4995723906072</v>
      </c>
      <c r="IK36">
        <v>-0.002077099775823331</v>
      </c>
      <c r="IL36">
        <v>4.593143279902166E-07</v>
      </c>
      <c r="IM36">
        <v>-1.865383991892071E-10</v>
      </c>
      <c r="IN36">
        <v>-0.07605349583632376</v>
      </c>
      <c r="IO36">
        <v>-0.01129461987421345</v>
      </c>
      <c r="IP36">
        <v>0.00116580895745559</v>
      </c>
      <c r="IQ36">
        <v>-1.679085872906199E-05</v>
      </c>
      <c r="IR36">
        <v>2</v>
      </c>
      <c r="IS36">
        <v>2290</v>
      </c>
      <c r="IT36">
        <v>0</v>
      </c>
      <c r="IU36">
        <v>32</v>
      </c>
      <c r="IV36">
        <v>3.1</v>
      </c>
      <c r="IW36">
        <v>2.7</v>
      </c>
      <c r="IX36">
        <v>0.762939</v>
      </c>
      <c r="IY36">
        <v>2.24365</v>
      </c>
      <c r="IZ36">
        <v>1.39648</v>
      </c>
      <c r="JA36">
        <v>2.35962</v>
      </c>
      <c r="JB36">
        <v>1.49536</v>
      </c>
      <c r="JC36">
        <v>2.30713</v>
      </c>
      <c r="JD36">
        <v>38.2568</v>
      </c>
      <c r="JE36">
        <v>24.035</v>
      </c>
      <c r="JF36">
        <v>18</v>
      </c>
      <c r="JG36">
        <v>514.444</v>
      </c>
      <c r="JH36">
        <v>422.655</v>
      </c>
      <c r="JI36">
        <v>22.5584</v>
      </c>
      <c r="JJ36">
        <v>29.2743</v>
      </c>
      <c r="JK36">
        <v>29.9999</v>
      </c>
      <c r="JL36">
        <v>29.207</v>
      </c>
      <c r="JM36">
        <v>29.128</v>
      </c>
      <c r="JN36">
        <v>15.2727</v>
      </c>
      <c r="JO36">
        <v>55.4487</v>
      </c>
      <c r="JP36">
        <v>0</v>
      </c>
      <c r="JQ36">
        <v>22.5685</v>
      </c>
      <c r="JR36">
        <v>279.718</v>
      </c>
      <c r="JS36">
        <v>8.984920000000001</v>
      </c>
      <c r="JT36">
        <v>100.281</v>
      </c>
      <c r="JU36">
        <v>100.197</v>
      </c>
    </row>
    <row r="37" spans="1:281">
      <c r="A37">
        <v>21</v>
      </c>
      <c r="B37">
        <v>1651857205.6</v>
      </c>
      <c r="C37">
        <v>205</v>
      </c>
      <c r="D37" t="s">
        <v>469</v>
      </c>
      <c r="E37" t="s">
        <v>470</v>
      </c>
      <c r="F37">
        <v>2</v>
      </c>
      <c r="G37" t="s">
        <v>413</v>
      </c>
      <c r="H37" t="s">
        <v>414</v>
      </c>
      <c r="I37">
        <v>1651857204.6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304.5872936277133</v>
      </c>
      <c r="AK37">
        <v>297.2110969696969</v>
      </c>
      <c r="AL37">
        <v>-3.113019153315383</v>
      </c>
      <c r="AM37">
        <v>66.38384787954378</v>
      </c>
      <c r="AN37">
        <f>(AP37 - AO37 + DI37*1E3/(8.314*(DK37+273.15)) * AR37/DH37 * AQ37) * DH37/(100*CV37) * 1000/(1000 - AP37)</f>
        <v>0</v>
      </c>
      <c r="AO37">
        <v>8.96761016150996</v>
      </c>
      <c r="AP37">
        <v>18.35030588235293</v>
      </c>
      <c r="AQ37">
        <v>6.957320560393846E-05</v>
      </c>
      <c r="AR37">
        <v>80.44866334591464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417</v>
      </c>
      <c r="AY37" t="s">
        <v>417</v>
      </c>
      <c r="AZ37">
        <v>0</v>
      </c>
      <c r="BA37">
        <v>0</v>
      </c>
      <c r="BB37">
        <f>1-AZ37/BA37</f>
        <v>0</v>
      </c>
      <c r="BC37">
        <v>0</v>
      </c>
      <c r="BD37" t="s">
        <v>417</v>
      </c>
      <c r="BE37" t="s">
        <v>417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1238</v>
      </c>
      <c r="CA37">
        <v>300</v>
      </c>
      <c r="CB37">
        <v>300</v>
      </c>
      <c r="CC37">
        <v>300</v>
      </c>
      <c r="CD37">
        <v>10440.5</v>
      </c>
      <c r="CE37">
        <v>1411.69</v>
      </c>
      <c r="CF37">
        <v>-0.00735121</v>
      </c>
      <c r="CG37">
        <v>-0.77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1651857204.6</v>
      </c>
      <c r="DB37">
        <v>293.2786666666667</v>
      </c>
      <c r="DC37">
        <v>296.0036666666667</v>
      </c>
      <c r="DD37">
        <v>18.35106666666666</v>
      </c>
      <c r="DE37">
        <v>8.965766666666667</v>
      </c>
      <c r="DF37">
        <v>294.3546666666667</v>
      </c>
      <c r="DG37">
        <v>18.3456</v>
      </c>
      <c r="DH37">
        <v>500.0423333333333</v>
      </c>
      <c r="DI37">
        <v>90.09536666666666</v>
      </c>
      <c r="DJ37">
        <v>0.1000062</v>
      </c>
      <c r="DK37">
        <v>25.71686666666666</v>
      </c>
      <c r="DL37">
        <v>24.9899</v>
      </c>
      <c r="DM37">
        <v>999.9</v>
      </c>
      <c r="DN37">
        <v>0</v>
      </c>
      <c r="DO37">
        <v>0</v>
      </c>
      <c r="DP37">
        <v>9991.233333333334</v>
      </c>
      <c r="DQ37">
        <v>0</v>
      </c>
      <c r="DR37">
        <v>3.20383</v>
      </c>
      <c r="DS37">
        <v>-2.724996666666666</v>
      </c>
      <c r="DT37">
        <v>298.7613333333333</v>
      </c>
      <c r="DU37">
        <v>298.6816666666667</v>
      </c>
      <c r="DV37">
        <v>9.385266666666666</v>
      </c>
      <c r="DW37">
        <v>296.0036666666667</v>
      </c>
      <c r="DX37">
        <v>8.965766666666667</v>
      </c>
      <c r="DY37">
        <v>1.653343333333333</v>
      </c>
      <c r="DZ37">
        <v>0.8077740000000001</v>
      </c>
      <c r="EA37">
        <v>14.46516666666667</v>
      </c>
      <c r="EB37">
        <v>3.844656666666667</v>
      </c>
      <c r="EC37">
        <v>1500.02</v>
      </c>
      <c r="ED37">
        <v>0.973007</v>
      </c>
      <c r="EE37">
        <v>0.0269931</v>
      </c>
      <c r="EF37">
        <v>0</v>
      </c>
      <c r="EG37">
        <v>1051.62</v>
      </c>
      <c r="EH37">
        <v>5.00097</v>
      </c>
      <c r="EI37">
        <v>15600</v>
      </c>
      <c r="EJ37">
        <v>12491.8</v>
      </c>
      <c r="EK37">
        <v>37.562</v>
      </c>
      <c r="EL37">
        <v>39.062</v>
      </c>
      <c r="EM37">
        <v>37.937</v>
      </c>
      <c r="EN37">
        <v>38.812</v>
      </c>
      <c r="EO37">
        <v>38.437</v>
      </c>
      <c r="EP37">
        <v>1454.66</v>
      </c>
      <c r="EQ37">
        <v>40.36</v>
      </c>
      <c r="ER37">
        <v>0</v>
      </c>
      <c r="ES37">
        <v>204.6000001430511</v>
      </c>
      <c r="ET37">
        <v>0</v>
      </c>
      <c r="EU37">
        <v>1063.148846153846</v>
      </c>
      <c r="EV37">
        <v>-103.766495807739</v>
      </c>
      <c r="EW37">
        <v>-1548.974360079725</v>
      </c>
      <c r="EX37">
        <v>15773.47307692308</v>
      </c>
      <c r="EY37">
        <v>15</v>
      </c>
      <c r="EZ37">
        <v>1651857041.1</v>
      </c>
      <c r="FA37" t="s">
        <v>419</v>
      </c>
      <c r="FB37">
        <v>1651857019.6</v>
      </c>
      <c r="FC37">
        <v>1651857041.1</v>
      </c>
      <c r="FD37">
        <v>1</v>
      </c>
      <c r="FE37">
        <v>0.545</v>
      </c>
      <c r="FF37">
        <v>-0.002</v>
      </c>
      <c r="FG37">
        <v>-1.271</v>
      </c>
      <c r="FH37">
        <v>-0.09</v>
      </c>
      <c r="FI37">
        <v>400</v>
      </c>
      <c r="FJ37">
        <v>10</v>
      </c>
      <c r="FK37">
        <v>0.1</v>
      </c>
      <c r="FL37">
        <v>0.02</v>
      </c>
      <c r="FM37">
        <v>-5.549899999999999</v>
      </c>
      <c r="FN37">
        <v>20.95215894934336</v>
      </c>
      <c r="FO37">
        <v>2.033807538407949</v>
      </c>
      <c r="FP37">
        <v>-1</v>
      </c>
      <c r="FQ37">
        <v>9.370498250000001</v>
      </c>
      <c r="FR37">
        <v>0.2033487804877702</v>
      </c>
      <c r="FS37">
        <v>0.02731475186483477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432</v>
      </c>
      <c r="GB37">
        <v>2.9797</v>
      </c>
      <c r="GC37">
        <v>2.70613</v>
      </c>
      <c r="GD37">
        <v>0.06987069999999999</v>
      </c>
      <c r="GE37">
        <v>0.0694504</v>
      </c>
      <c r="GF37">
        <v>0.08774940000000001</v>
      </c>
      <c r="GG37">
        <v>0.0509059</v>
      </c>
      <c r="GH37">
        <v>29342.2</v>
      </c>
      <c r="GI37">
        <v>29421.5</v>
      </c>
      <c r="GJ37">
        <v>29336.3</v>
      </c>
      <c r="GK37">
        <v>29251.2</v>
      </c>
      <c r="GL37">
        <v>35439.4</v>
      </c>
      <c r="GM37">
        <v>36972.5</v>
      </c>
      <c r="GN37">
        <v>41295</v>
      </c>
      <c r="GO37">
        <v>41745.5</v>
      </c>
      <c r="GP37">
        <v>1.95333</v>
      </c>
      <c r="GQ37">
        <v>1.83315</v>
      </c>
      <c r="GR37">
        <v>-0.0368953</v>
      </c>
      <c r="GS37">
        <v>0</v>
      </c>
      <c r="GT37">
        <v>25.5951</v>
      </c>
      <c r="GU37">
        <v>999.9</v>
      </c>
      <c r="GV37">
        <v>39.2</v>
      </c>
      <c r="GW37">
        <v>33.7</v>
      </c>
      <c r="GX37">
        <v>22.8596</v>
      </c>
      <c r="GY37">
        <v>62.3876</v>
      </c>
      <c r="GZ37">
        <v>35.4647</v>
      </c>
      <c r="HA37">
        <v>1</v>
      </c>
      <c r="HB37">
        <v>0.14815</v>
      </c>
      <c r="HC37">
        <v>2.27422</v>
      </c>
      <c r="HD37">
        <v>20.3181</v>
      </c>
      <c r="HE37">
        <v>5.21609</v>
      </c>
      <c r="HF37">
        <v>12.0099</v>
      </c>
      <c r="HG37">
        <v>4.98765</v>
      </c>
      <c r="HH37">
        <v>3.28848</v>
      </c>
      <c r="HI37">
        <v>846.2</v>
      </c>
      <c r="HJ37">
        <v>8419.200000000001</v>
      </c>
      <c r="HK37">
        <v>5139.4</v>
      </c>
      <c r="HL37">
        <v>22.8</v>
      </c>
      <c r="HM37">
        <v>1.86752</v>
      </c>
      <c r="HN37">
        <v>1.86646</v>
      </c>
      <c r="HO37">
        <v>1.866</v>
      </c>
      <c r="HP37">
        <v>1.86588</v>
      </c>
      <c r="HQ37">
        <v>1.86771</v>
      </c>
      <c r="HR37">
        <v>1.87026</v>
      </c>
      <c r="HS37">
        <v>1.8689</v>
      </c>
      <c r="HT37">
        <v>1.87027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-1.07</v>
      </c>
      <c r="II37">
        <v>0.0055</v>
      </c>
      <c r="IJ37">
        <v>-0.4995723906072</v>
      </c>
      <c r="IK37">
        <v>-0.002077099775823331</v>
      </c>
      <c r="IL37">
        <v>4.593143279902166E-07</v>
      </c>
      <c r="IM37">
        <v>-1.865383991892071E-10</v>
      </c>
      <c r="IN37">
        <v>-0.07605349583632376</v>
      </c>
      <c r="IO37">
        <v>-0.01129461987421345</v>
      </c>
      <c r="IP37">
        <v>0.00116580895745559</v>
      </c>
      <c r="IQ37">
        <v>-1.679085872906199E-05</v>
      </c>
      <c r="IR37">
        <v>2</v>
      </c>
      <c r="IS37">
        <v>2290</v>
      </c>
      <c r="IT37">
        <v>0</v>
      </c>
      <c r="IU37">
        <v>32</v>
      </c>
      <c r="IV37">
        <v>3.1</v>
      </c>
      <c r="IW37">
        <v>2.7</v>
      </c>
      <c r="IX37">
        <v>0.748291</v>
      </c>
      <c r="IY37">
        <v>2.23755</v>
      </c>
      <c r="IZ37">
        <v>1.39648</v>
      </c>
      <c r="JA37">
        <v>2.35962</v>
      </c>
      <c r="JB37">
        <v>1.49536</v>
      </c>
      <c r="JC37">
        <v>2.35962</v>
      </c>
      <c r="JD37">
        <v>38.2812</v>
      </c>
      <c r="JE37">
        <v>24.0437</v>
      </c>
      <c r="JF37">
        <v>18</v>
      </c>
      <c r="JG37">
        <v>514.494</v>
      </c>
      <c r="JH37">
        <v>422.73</v>
      </c>
      <c r="JI37">
        <v>22.5618</v>
      </c>
      <c r="JJ37">
        <v>29.2725</v>
      </c>
      <c r="JK37">
        <v>29.9999</v>
      </c>
      <c r="JL37">
        <v>29.207</v>
      </c>
      <c r="JM37">
        <v>29.128</v>
      </c>
      <c r="JN37">
        <v>14.994</v>
      </c>
      <c r="JO37">
        <v>55.4487</v>
      </c>
      <c r="JP37">
        <v>0</v>
      </c>
      <c r="JQ37">
        <v>22.5685</v>
      </c>
      <c r="JR37">
        <v>273.04</v>
      </c>
      <c r="JS37">
        <v>8.978339999999999</v>
      </c>
      <c r="JT37">
        <v>100.281</v>
      </c>
      <c r="JU37">
        <v>100.197</v>
      </c>
    </row>
    <row r="38" spans="1:281">
      <c r="A38">
        <v>22</v>
      </c>
      <c r="B38">
        <v>1651857207.6</v>
      </c>
      <c r="C38">
        <v>207</v>
      </c>
      <c r="D38" t="s">
        <v>471</v>
      </c>
      <c r="E38" t="s">
        <v>472</v>
      </c>
      <c r="F38">
        <v>2</v>
      </c>
      <c r="G38" t="s">
        <v>413</v>
      </c>
      <c r="H38" t="s">
        <v>414</v>
      </c>
      <c r="I38">
        <v>1651857206.225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297.9193998731482</v>
      </c>
      <c r="AK38">
        <v>290.979921212121</v>
      </c>
      <c r="AL38">
        <v>-3.111233244396385</v>
      </c>
      <c r="AM38">
        <v>66.38384787954378</v>
      </c>
      <c r="AN38">
        <f>(AP38 - AO38 + DI38*1E3/(8.314*(DK38+273.15)) * AR38/DH38 * AQ38) * DH38/(100*CV38) * 1000/(1000 - AP38)</f>
        <v>0</v>
      </c>
      <c r="AO38">
        <v>8.96662448279023</v>
      </c>
      <c r="AP38">
        <v>18.35573058823528</v>
      </c>
      <c r="AQ38">
        <v>-0.0003949086106986594</v>
      </c>
      <c r="AR38">
        <v>80.44866334591464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417</v>
      </c>
      <c r="AY38" t="s">
        <v>417</v>
      </c>
      <c r="AZ38">
        <v>0</v>
      </c>
      <c r="BA38">
        <v>0</v>
      </c>
      <c r="BB38">
        <f>1-AZ38/BA38</f>
        <v>0</v>
      </c>
      <c r="BC38">
        <v>0</v>
      </c>
      <c r="BD38" t="s">
        <v>417</v>
      </c>
      <c r="BE38" t="s">
        <v>417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1238</v>
      </c>
      <c r="CA38">
        <v>300</v>
      </c>
      <c r="CB38">
        <v>300</v>
      </c>
      <c r="CC38">
        <v>300</v>
      </c>
      <c r="CD38">
        <v>10440.5</v>
      </c>
      <c r="CE38">
        <v>1411.69</v>
      </c>
      <c r="CF38">
        <v>-0.00735121</v>
      </c>
      <c r="CG38">
        <v>-0.77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1651857206.225</v>
      </c>
      <c r="DB38">
        <v>288.3185</v>
      </c>
      <c r="DC38">
        <v>290.6420000000001</v>
      </c>
      <c r="DD38">
        <v>18.3539</v>
      </c>
      <c r="DE38">
        <v>8.964577500000001</v>
      </c>
      <c r="DF38">
        <v>289.3855</v>
      </c>
      <c r="DG38">
        <v>18.348425</v>
      </c>
      <c r="DH38">
        <v>500.04375</v>
      </c>
      <c r="DI38">
        <v>90.09607499999998</v>
      </c>
      <c r="DJ38">
        <v>0.09996627500000001</v>
      </c>
      <c r="DK38">
        <v>25.71725</v>
      </c>
      <c r="DL38">
        <v>24.98875</v>
      </c>
      <c r="DM38">
        <v>999.9</v>
      </c>
      <c r="DN38">
        <v>0</v>
      </c>
      <c r="DO38">
        <v>0</v>
      </c>
      <c r="DP38">
        <v>9992.799999999999</v>
      </c>
      <c r="DQ38">
        <v>0</v>
      </c>
      <c r="DR38">
        <v>3.20383</v>
      </c>
      <c r="DS38">
        <v>-2.3232875</v>
      </c>
      <c r="DT38">
        <v>293.70925</v>
      </c>
      <c r="DU38">
        <v>293.27125</v>
      </c>
      <c r="DV38">
        <v>9.3893325</v>
      </c>
      <c r="DW38">
        <v>290.6420000000001</v>
      </c>
      <c r="DX38">
        <v>8.964577500000001</v>
      </c>
      <c r="DY38">
        <v>1.653615</v>
      </c>
      <c r="DZ38">
        <v>0.80767325</v>
      </c>
      <c r="EA38">
        <v>14.4677</v>
      </c>
      <c r="EB38">
        <v>3.84288</v>
      </c>
      <c r="EC38">
        <v>1500.0175</v>
      </c>
      <c r="ED38">
        <v>0.973007</v>
      </c>
      <c r="EE38">
        <v>0.0269931</v>
      </c>
      <c r="EF38">
        <v>0</v>
      </c>
      <c r="EG38">
        <v>1047.685</v>
      </c>
      <c r="EH38">
        <v>5.00097</v>
      </c>
      <c r="EI38">
        <v>15544.5</v>
      </c>
      <c r="EJ38">
        <v>12491.775</v>
      </c>
      <c r="EK38">
        <v>37.562</v>
      </c>
      <c r="EL38">
        <v>39.062</v>
      </c>
      <c r="EM38">
        <v>37.937</v>
      </c>
      <c r="EN38">
        <v>38.812</v>
      </c>
      <c r="EO38">
        <v>38.437</v>
      </c>
      <c r="EP38">
        <v>1454.6575</v>
      </c>
      <c r="EQ38">
        <v>40.3575</v>
      </c>
      <c r="ER38">
        <v>0</v>
      </c>
      <c r="ES38">
        <v>206.4000000953674</v>
      </c>
      <c r="ET38">
        <v>0</v>
      </c>
      <c r="EU38">
        <v>1059.3992</v>
      </c>
      <c r="EV38">
        <v>-113.5692305977308</v>
      </c>
      <c r="EW38">
        <v>-1693.36153578474</v>
      </c>
      <c r="EX38">
        <v>15717.928</v>
      </c>
      <c r="EY38">
        <v>15</v>
      </c>
      <c r="EZ38">
        <v>1651857041.1</v>
      </c>
      <c r="FA38" t="s">
        <v>419</v>
      </c>
      <c r="FB38">
        <v>1651857019.6</v>
      </c>
      <c r="FC38">
        <v>1651857041.1</v>
      </c>
      <c r="FD38">
        <v>1</v>
      </c>
      <c r="FE38">
        <v>0.545</v>
      </c>
      <c r="FF38">
        <v>-0.002</v>
      </c>
      <c r="FG38">
        <v>-1.271</v>
      </c>
      <c r="FH38">
        <v>-0.09</v>
      </c>
      <c r="FI38">
        <v>400</v>
      </c>
      <c r="FJ38">
        <v>10</v>
      </c>
      <c r="FK38">
        <v>0.1</v>
      </c>
      <c r="FL38">
        <v>0.02</v>
      </c>
      <c r="FM38">
        <v>-5.123985365853659</v>
      </c>
      <c r="FN38">
        <v>19.7097763066202</v>
      </c>
      <c r="FO38">
        <v>1.95905732923136</v>
      </c>
      <c r="FP38">
        <v>-1</v>
      </c>
      <c r="FQ38">
        <v>9.374621951219511</v>
      </c>
      <c r="FR38">
        <v>0.1596175609756154</v>
      </c>
      <c r="FS38">
        <v>0.02403338594736867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432</v>
      </c>
      <c r="GB38">
        <v>2.97968</v>
      </c>
      <c r="GC38">
        <v>2.70621</v>
      </c>
      <c r="GD38">
        <v>0.0686491</v>
      </c>
      <c r="GE38">
        <v>0.068147</v>
      </c>
      <c r="GF38">
        <v>0.087766</v>
      </c>
      <c r="GG38">
        <v>0.0508974</v>
      </c>
      <c r="GH38">
        <v>29381.4</v>
      </c>
      <c r="GI38">
        <v>29462.9</v>
      </c>
      <c r="GJ38">
        <v>29337</v>
      </c>
      <c r="GK38">
        <v>29251.4</v>
      </c>
      <c r="GL38">
        <v>35439.5</v>
      </c>
      <c r="GM38">
        <v>36972.8</v>
      </c>
      <c r="GN38">
        <v>41295.9</v>
      </c>
      <c r="GO38">
        <v>41745.5</v>
      </c>
      <c r="GP38">
        <v>1.9534</v>
      </c>
      <c r="GQ38">
        <v>1.8333</v>
      </c>
      <c r="GR38">
        <v>-0.0371784</v>
      </c>
      <c r="GS38">
        <v>0</v>
      </c>
      <c r="GT38">
        <v>25.5951</v>
      </c>
      <c r="GU38">
        <v>999.9</v>
      </c>
      <c r="GV38">
        <v>39.2</v>
      </c>
      <c r="GW38">
        <v>33.8</v>
      </c>
      <c r="GX38">
        <v>22.9893</v>
      </c>
      <c r="GY38">
        <v>62.6976</v>
      </c>
      <c r="GZ38">
        <v>35.2564</v>
      </c>
      <c r="HA38">
        <v>1</v>
      </c>
      <c r="HB38">
        <v>0.14813</v>
      </c>
      <c r="HC38">
        <v>2.27424</v>
      </c>
      <c r="HD38">
        <v>20.3181</v>
      </c>
      <c r="HE38">
        <v>5.21579</v>
      </c>
      <c r="HF38">
        <v>12.0099</v>
      </c>
      <c r="HG38">
        <v>4.98785</v>
      </c>
      <c r="HH38">
        <v>3.28848</v>
      </c>
      <c r="HI38">
        <v>846.2</v>
      </c>
      <c r="HJ38">
        <v>8419.200000000001</v>
      </c>
      <c r="HK38">
        <v>5139.4</v>
      </c>
      <c r="HL38">
        <v>22.8</v>
      </c>
      <c r="HM38">
        <v>1.86752</v>
      </c>
      <c r="HN38">
        <v>1.86646</v>
      </c>
      <c r="HO38">
        <v>1.866</v>
      </c>
      <c r="HP38">
        <v>1.86588</v>
      </c>
      <c r="HQ38">
        <v>1.8677</v>
      </c>
      <c r="HR38">
        <v>1.87026</v>
      </c>
      <c r="HS38">
        <v>1.8689</v>
      </c>
      <c r="HT38">
        <v>1.87027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-1.059</v>
      </c>
      <c r="II38">
        <v>0.0055</v>
      </c>
      <c r="IJ38">
        <v>-0.4995723906072</v>
      </c>
      <c r="IK38">
        <v>-0.002077099775823331</v>
      </c>
      <c r="IL38">
        <v>4.593143279902166E-07</v>
      </c>
      <c r="IM38">
        <v>-1.865383991892071E-10</v>
      </c>
      <c r="IN38">
        <v>-0.07605349583632376</v>
      </c>
      <c r="IO38">
        <v>-0.01129461987421345</v>
      </c>
      <c r="IP38">
        <v>0.00116580895745559</v>
      </c>
      <c r="IQ38">
        <v>-1.679085872906199E-05</v>
      </c>
      <c r="IR38">
        <v>2</v>
      </c>
      <c r="IS38">
        <v>2290</v>
      </c>
      <c r="IT38">
        <v>0</v>
      </c>
      <c r="IU38">
        <v>32</v>
      </c>
      <c r="IV38">
        <v>3.1</v>
      </c>
      <c r="IW38">
        <v>2.8</v>
      </c>
      <c r="IX38">
        <v>0.734863</v>
      </c>
      <c r="IY38">
        <v>2.24365</v>
      </c>
      <c r="IZ38">
        <v>1.39648</v>
      </c>
      <c r="JA38">
        <v>2.35962</v>
      </c>
      <c r="JB38">
        <v>1.49536</v>
      </c>
      <c r="JC38">
        <v>2.29492</v>
      </c>
      <c r="JD38">
        <v>38.2812</v>
      </c>
      <c r="JE38">
        <v>24.035</v>
      </c>
      <c r="JF38">
        <v>18</v>
      </c>
      <c r="JG38">
        <v>514.543</v>
      </c>
      <c r="JH38">
        <v>422.819</v>
      </c>
      <c r="JI38">
        <v>22.5665</v>
      </c>
      <c r="JJ38">
        <v>29.2713</v>
      </c>
      <c r="JK38">
        <v>29.9999</v>
      </c>
      <c r="JL38">
        <v>29.207</v>
      </c>
      <c r="JM38">
        <v>29.128</v>
      </c>
      <c r="JN38">
        <v>14.7161</v>
      </c>
      <c r="JO38">
        <v>55.4487</v>
      </c>
      <c r="JP38">
        <v>0</v>
      </c>
      <c r="JQ38">
        <v>22.5685</v>
      </c>
      <c r="JR38">
        <v>266.362</v>
      </c>
      <c r="JS38">
        <v>8.97636</v>
      </c>
      <c r="JT38">
        <v>100.284</v>
      </c>
      <c r="JU38">
        <v>100.197</v>
      </c>
    </row>
    <row r="39" spans="1:281">
      <c r="A39">
        <v>23</v>
      </c>
      <c r="B39">
        <v>1651857209.6</v>
      </c>
      <c r="C39">
        <v>209</v>
      </c>
      <c r="D39" t="s">
        <v>473</v>
      </c>
      <c r="E39" t="s">
        <v>474</v>
      </c>
      <c r="F39">
        <v>2</v>
      </c>
      <c r="G39" t="s">
        <v>413</v>
      </c>
      <c r="H39" t="s">
        <v>414</v>
      </c>
      <c r="I39">
        <v>1651857208.6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291.2523971995116</v>
      </c>
      <c r="AK39">
        <v>284.72343030303</v>
      </c>
      <c r="AL39">
        <v>-3.124693731413533</v>
      </c>
      <c r="AM39">
        <v>66.38384787954378</v>
      </c>
      <c r="AN39">
        <f>(AP39 - AO39 + DI39*1E3/(8.314*(DK39+273.15)) * AR39/DH39 * AQ39) * DH39/(100*CV39) * 1000/(1000 - AP39)</f>
        <v>0</v>
      </c>
      <c r="AO39">
        <v>8.965364632116721</v>
      </c>
      <c r="AP39">
        <v>18.35665705882353</v>
      </c>
      <c r="AQ39">
        <v>0.0001792014980801244</v>
      </c>
      <c r="AR39">
        <v>80.44866334591464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417</v>
      </c>
      <c r="AY39" t="s">
        <v>417</v>
      </c>
      <c r="AZ39">
        <v>0</v>
      </c>
      <c r="BA39">
        <v>0</v>
      </c>
      <c r="BB39">
        <f>1-AZ39/BA39</f>
        <v>0</v>
      </c>
      <c r="BC39">
        <v>0</v>
      </c>
      <c r="BD39" t="s">
        <v>417</v>
      </c>
      <c r="BE39" t="s">
        <v>417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1238</v>
      </c>
      <c r="CA39">
        <v>300</v>
      </c>
      <c r="CB39">
        <v>300</v>
      </c>
      <c r="CC39">
        <v>300</v>
      </c>
      <c r="CD39">
        <v>10440.5</v>
      </c>
      <c r="CE39">
        <v>1411.69</v>
      </c>
      <c r="CF39">
        <v>-0.00735121</v>
      </c>
      <c r="CG39">
        <v>-0.77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1651857208.6</v>
      </c>
      <c r="DB39">
        <v>281.0346666666667</v>
      </c>
      <c r="DC39">
        <v>282.7796666666666</v>
      </c>
      <c r="DD39">
        <v>18.35543333333333</v>
      </c>
      <c r="DE39">
        <v>8.962636666666667</v>
      </c>
      <c r="DF39">
        <v>282.088</v>
      </c>
      <c r="DG39">
        <v>18.34996666666666</v>
      </c>
      <c r="DH39">
        <v>500.0353333333333</v>
      </c>
      <c r="DI39">
        <v>90.09713333333332</v>
      </c>
      <c r="DJ39">
        <v>0.100167</v>
      </c>
      <c r="DK39">
        <v>25.72023333333334</v>
      </c>
      <c r="DL39">
        <v>24.98346666666667</v>
      </c>
      <c r="DM39">
        <v>999.9</v>
      </c>
      <c r="DN39">
        <v>0</v>
      </c>
      <c r="DO39">
        <v>0</v>
      </c>
      <c r="DP39">
        <v>9976.25</v>
      </c>
      <c r="DQ39">
        <v>0</v>
      </c>
      <c r="DR39">
        <v>3.20383</v>
      </c>
      <c r="DS39">
        <v>-1.74474</v>
      </c>
      <c r="DT39">
        <v>286.2896666666666</v>
      </c>
      <c r="DU39">
        <v>285.3366666666666</v>
      </c>
      <c r="DV39">
        <v>9.392803333333333</v>
      </c>
      <c r="DW39">
        <v>282.7796666666666</v>
      </c>
      <c r="DX39">
        <v>8.962636666666667</v>
      </c>
      <c r="DY39">
        <v>1.653773333333333</v>
      </c>
      <c r="DZ39">
        <v>0.8075076666666666</v>
      </c>
      <c r="EA39">
        <v>14.4692</v>
      </c>
      <c r="EB39">
        <v>3.839973333333333</v>
      </c>
      <c r="EC39">
        <v>1500.01</v>
      </c>
      <c r="ED39">
        <v>0.973007</v>
      </c>
      <c r="EE39">
        <v>0.0269931</v>
      </c>
      <c r="EF39">
        <v>0</v>
      </c>
      <c r="EG39">
        <v>1041.616666666667</v>
      </c>
      <c r="EH39">
        <v>5.00097</v>
      </c>
      <c r="EI39">
        <v>15453.6</v>
      </c>
      <c r="EJ39">
        <v>12491.7</v>
      </c>
      <c r="EK39">
        <v>37.562</v>
      </c>
      <c r="EL39">
        <v>39.062</v>
      </c>
      <c r="EM39">
        <v>37.937</v>
      </c>
      <c r="EN39">
        <v>38.812</v>
      </c>
      <c r="EO39">
        <v>38.437</v>
      </c>
      <c r="EP39">
        <v>1454.65</v>
      </c>
      <c r="EQ39">
        <v>40.35</v>
      </c>
      <c r="ER39">
        <v>0</v>
      </c>
      <c r="ES39">
        <v>208.2000000476837</v>
      </c>
      <c r="ET39">
        <v>0</v>
      </c>
      <c r="EU39">
        <v>1056.434615384615</v>
      </c>
      <c r="EV39">
        <v>-120.3664958141873</v>
      </c>
      <c r="EW39">
        <v>-1787.046154900763</v>
      </c>
      <c r="EX39">
        <v>15673.59615384615</v>
      </c>
      <c r="EY39">
        <v>15</v>
      </c>
      <c r="EZ39">
        <v>1651857041.1</v>
      </c>
      <c r="FA39" t="s">
        <v>419</v>
      </c>
      <c r="FB39">
        <v>1651857019.6</v>
      </c>
      <c r="FC39">
        <v>1651857041.1</v>
      </c>
      <c r="FD39">
        <v>1</v>
      </c>
      <c r="FE39">
        <v>0.545</v>
      </c>
      <c r="FF39">
        <v>-0.002</v>
      </c>
      <c r="FG39">
        <v>-1.271</v>
      </c>
      <c r="FH39">
        <v>-0.09</v>
      </c>
      <c r="FI39">
        <v>400</v>
      </c>
      <c r="FJ39">
        <v>10</v>
      </c>
      <c r="FK39">
        <v>0.1</v>
      </c>
      <c r="FL39">
        <v>0.02</v>
      </c>
      <c r="FM39">
        <v>-4.23265875</v>
      </c>
      <c r="FN39">
        <v>17.54899666041277</v>
      </c>
      <c r="FO39">
        <v>1.697270210402851</v>
      </c>
      <c r="FP39">
        <v>-1</v>
      </c>
      <c r="FQ39">
        <v>9.384880000000001</v>
      </c>
      <c r="FR39">
        <v>0.04021575984988082</v>
      </c>
      <c r="FS39">
        <v>0.009630116821721291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432</v>
      </c>
      <c r="GB39">
        <v>2.97971</v>
      </c>
      <c r="GC39">
        <v>2.70611</v>
      </c>
      <c r="GD39">
        <v>0.067413</v>
      </c>
      <c r="GE39">
        <v>0.0668314</v>
      </c>
      <c r="GF39">
        <v>0.0877627</v>
      </c>
      <c r="GG39">
        <v>0.0508947</v>
      </c>
      <c r="GH39">
        <v>29420.9</v>
      </c>
      <c r="GI39">
        <v>29504.6</v>
      </c>
      <c r="GJ39">
        <v>29337.4</v>
      </c>
      <c r="GK39">
        <v>29251.5</v>
      </c>
      <c r="GL39">
        <v>35440.4</v>
      </c>
      <c r="GM39">
        <v>36973</v>
      </c>
      <c r="GN39">
        <v>41296.8</v>
      </c>
      <c r="GO39">
        <v>41745.6</v>
      </c>
      <c r="GP39">
        <v>1.95338</v>
      </c>
      <c r="GQ39">
        <v>1.83323</v>
      </c>
      <c r="GR39">
        <v>-0.0372529</v>
      </c>
      <c r="GS39">
        <v>0</v>
      </c>
      <c r="GT39">
        <v>25.5951</v>
      </c>
      <c r="GU39">
        <v>999.9</v>
      </c>
      <c r="GV39">
        <v>39.2</v>
      </c>
      <c r="GW39">
        <v>33.8</v>
      </c>
      <c r="GX39">
        <v>22.9897</v>
      </c>
      <c r="GY39">
        <v>62.5576</v>
      </c>
      <c r="GZ39">
        <v>35.601</v>
      </c>
      <c r="HA39">
        <v>1</v>
      </c>
      <c r="HB39">
        <v>0.148031</v>
      </c>
      <c r="HC39">
        <v>2.2766</v>
      </c>
      <c r="HD39">
        <v>20.318</v>
      </c>
      <c r="HE39">
        <v>5.21609</v>
      </c>
      <c r="HF39">
        <v>12.0099</v>
      </c>
      <c r="HG39">
        <v>4.9879</v>
      </c>
      <c r="HH39">
        <v>3.2885</v>
      </c>
      <c r="HI39">
        <v>846.2</v>
      </c>
      <c r="HJ39">
        <v>8419.200000000001</v>
      </c>
      <c r="HK39">
        <v>5139.4</v>
      </c>
      <c r="HL39">
        <v>22.8</v>
      </c>
      <c r="HM39">
        <v>1.86752</v>
      </c>
      <c r="HN39">
        <v>1.86647</v>
      </c>
      <c r="HO39">
        <v>1.866</v>
      </c>
      <c r="HP39">
        <v>1.86588</v>
      </c>
      <c r="HQ39">
        <v>1.8677</v>
      </c>
      <c r="HR39">
        <v>1.87026</v>
      </c>
      <c r="HS39">
        <v>1.8689</v>
      </c>
      <c r="HT39">
        <v>1.87027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-1.047</v>
      </c>
      <c r="II39">
        <v>0.0054</v>
      </c>
      <c r="IJ39">
        <v>-0.4995723906072</v>
      </c>
      <c r="IK39">
        <v>-0.002077099775823331</v>
      </c>
      <c r="IL39">
        <v>4.593143279902166E-07</v>
      </c>
      <c r="IM39">
        <v>-1.865383991892071E-10</v>
      </c>
      <c r="IN39">
        <v>-0.07605349583632376</v>
      </c>
      <c r="IO39">
        <v>-0.01129461987421345</v>
      </c>
      <c r="IP39">
        <v>0.00116580895745559</v>
      </c>
      <c r="IQ39">
        <v>-1.679085872906199E-05</v>
      </c>
      <c r="IR39">
        <v>2</v>
      </c>
      <c r="IS39">
        <v>2290</v>
      </c>
      <c r="IT39">
        <v>0</v>
      </c>
      <c r="IU39">
        <v>32</v>
      </c>
      <c r="IV39">
        <v>3.2</v>
      </c>
      <c r="IW39">
        <v>2.8</v>
      </c>
      <c r="IX39">
        <v>0.721436</v>
      </c>
      <c r="IY39">
        <v>2.24121</v>
      </c>
      <c r="IZ39">
        <v>1.39648</v>
      </c>
      <c r="JA39">
        <v>2.35962</v>
      </c>
      <c r="JB39">
        <v>1.49536</v>
      </c>
      <c r="JC39">
        <v>2.34985</v>
      </c>
      <c r="JD39">
        <v>38.2812</v>
      </c>
      <c r="JE39">
        <v>24.0437</v>
      </c>
      <c r="JF39">
        <v>18</v>
      </c>
      <c r="JG39">
        <v>514.527</v>
      </c>
      <c r="JH39">
        <v>422.774</v>
      </c>
      <c r="JI39">
        <v>22.5704</v>
      </c>
      <c r="JJ39">
        <v>29.27</v>
      </c>
      <c r="JK39">
        <v>29.9998</v>
      </c>
      <c r="JL39">
        <v>29.207</v>
      </c>
      <c r="JM39">
        <v>29.128</v>
      </c>
      <c r="JN39">
        <v>14.4355</v>
      </c>
      <c r="JO39">
        <v>55.4487</v>
      </c>
      <c r="JP39">
        <v>0</v>
      </c>
      <c r="JQ39">
        <v>22.5766</v>
      </c>
      <c r="JR39">
        <v>259.679</v>
      </c>
      <c r="JS39">
        <v>8.97279</v>
      </c>
      <c r="JT39">
        <v>100.286</v>
      </c>
      <c r="JU39">
        <v>100.198</v>
      </c>
    </row>
    <row r="40" spans="1:281">
      <c r="A40">
        <v>24</v>
      </c>
      <c r="B40">
        <v>1651857211.6</v>
      </c>
      <c r="C40">
        <v>211</v>
      </c>
      <c r="D40" t="s">
        <v>475</v>
      </c>
      <c r="E40" t="s">
        <v>476</v>
      </c>
      <c r="F40">
        <v>2</v>
      </c>
      <c r="G40" t="s">
        <v>413</v>
      </c>
      <c r="H40" t="s">
        <v>414</v>
      </c>
      <c r="I40">
        <v>1651857210.225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284.564441947833</v>
      </c>
      <c r="AK40">
        <v>278.4636242424242</v>
      </c>
      <c r="AL40">
        <v>-3.129272791754627</v>
      </c>
      <c r="AM40">
        <v>66.38384787954378</v>
      </c>
      <c r="AN40">
        <f>(AP40 - AO40 + DI40*1E3/(8.314*(DK40+273.15)) * AR40/DH40 * AQ40) * DH40/(100*CV40) * 1000/(1000 - AP40)</f>
        <v>0</v>
      </c>
      <c r="AO40">
        <v>8.963705930402227</v>
      </c>
      <c r="AP40">
        <v>18.3528144117647</v>
      </c>
      <c r="AQ40">
        <v>0.0004300704851997544</v>
      </c>
      <c r="AR40">
        <v>80.44866334591464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1238</v>
      </c>
      <c r="CA40">
        <v>300</v>
      </c>
      <c r="CB40">
        <v>300</v>
      </c>
      <c r="CC40">
        <v>300</v>
      </c>
      <c r="CD40">
        <v>10440.5</v>
      </c>
      <c r="CE40">
        <v>1411.69</v>
      </c>
      <c r="CF40">
        <v>-0.00735121</v>
      </c>
      <c r="CG40">
        <v>-0.77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1651857210.225</v>
      </c>
      <c r="DB40">
        <v>276.03875</v>
      </c>
      <c r="DC40">
        <v>277.38375</v>
      </c>
      <c r="DD40">
        <v>18.353925</v>
      </c>
      <c r="DE40">
        <v>8.9620125</v>
      </c>
      <c r="DF40">
        <v>277.08225</v>
      </c>
      <c r="DG40">
        <v>18.348425</v>
      </c>
      <c r="DH40">
        <v>500.03275</v>
      </c>
      <c r="DI40">
        <v>90.097075</v>
      </c>
      <c r="DJ40">
        <v>0.0999004</v>
      </c>
      <c r="DK40">
        <v>25.72170000000001</v>
      </c>
      <c r="DL40">
        <v>24.985175</v>
      </c>
      <c r="DM40">
        <v>999.9</v>
      </c>
      <c r="DN40">
        <v>0</v>
      </c>
      <c r="DO40">
        <v>0</v>
      </c>
      <c r="DP40">
        <v>10004.0625</v>
      </c>
      <c r="DQ40">
        <v>0</v>
      </c>
      <c r="DR40">
        <v>3.20383</v>
      </c>
      <c r="DS40">
        <v>-1.3449025</v>
      </c>
      <c r="DT40">
        <v>281.19975</v>
      </c>
      <c r="DU40">
        <v>279.892</v>
      </c>
      <c r="DV40">
        <v>9.3919075</v>
      </c>
      <c r="DW40">
        <v>277.38375</v>
      </c>
      <c r="DX40">
        <v>8.9620125</v>
      </c>
      <c r="DY40">
        <v>1.653635</v>
      </c>
      <c r="DZ40">
        <v>0.8074509999999999</v>
      </c>
      <c r="EA40">
        <v>14.4679</v>
      </c>
      <c r="EB40">
        <v>3.8389725</v>
      </c>
      <c r="EC40">
        <v>1500.0075</v>
      </c>
      <c r="ED40">
        <v>0.973007</v>
      </c>
      <c r="EE40">
        <v>0.0269931</v>
      </c>
      <c r="EF40">
        <v>0</v>
      </c>
      <c r="EG40">
        <v>1037.9575</v>
      </c>
      <c r="EH40">
        <v>5.00097</v>
      </c>
      <c r="EI40">
        <v>15397.25</v>
      </c>
      <c r="EJ40">
        <v>12491.675</v>
      </c>
      <c r="EK40">
        <v>37.562</v>
      </c>
      <c r="EL40">
        <v>39.062</v>
      </c>
      <c r="EM40">
        <v>37.937</v>
      </c>
      <c r="EN40">
        <v>38.812</v>
      </c>
      <c r="EO40">
        <v>38.437</v>
      </c>
      <c r="EP40">
        <v>1454.6475</v>
      </c>
      <c r="EQ40">
        <v>40.35</v>
      </c>
      <c r="ER40">
        <v>0</v>
      </c>
      <c r="ES40">
        <v>210.6000001430511</v>
      </c>
      <c r="ET40">
        <v>0</v>
      </c>
      <c r="EU40">
        <v>1051.427307692308</v>
      </c>
      <c r="EV40">
        <v>-129.9709402747832</v>
      </c>
      <c r="EW40">
        <v>-1939.258121063049</v>
      </c>
      <c r="EX40">
        <v>15599.31923076923</v>
      </c>
      <c r="EY40">
        <v>15</v>
      </c>
      <c r="EZ40">
        <v>1651857041.1</v>
      </c>
      <c r="FA40" t="s">
        <v>419</v>
      </c>
      <c r="FB40">
        <v>1651857019.6</v>
      </c>
      <c r="FC40">
        <v>1651857041.1</v>
      </c>
      <c r="FD40">
        <v>1</v>
      </c>
      <c r="FE40">
        <v>0.545</v>
      </c>
      <c r="FF40">
        <v>-0.002</v>
      </c>
      <c r="FG40">
        <v>-1.271</v>
      </c>
      <c r="FH40">
        <v>-0.09</v>
      </c>
      <c r="FI40">
        <v>400</v>
      </c>
      <c r="FJ40">
        <v>10</v>
      </c>
      <c r="FK40">
        <v>0.1</v>
      </c>
      <c r="FL40">
        <v>0.02</v>
      </c>
      <c r="FM40">
        <v>-3.869021951219512</v>
      </c>
      <c r="FN40">
        <v>16.85821777003486</v>
      </c>
      <c r="FO40">
        <v>1.669482396800116</v>
      </c>
      <c r="FP40">
        <v>-1</v>
      </c>
      <c r="FQ40">
        <v>9.38705292682927</v>
      </c>
      <c r="FR40">
        <v>0.01568195121951086</v>
      </c>
      <c r="FS40">
        <v>0.005743032785907848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432</v>
      </c>
      <c r="GB40">
        <v>2.97957</v>
      </c>
      <c r="GC40">
        <v>2.7058</v>
      </c>
      <c r="GD40">
        <v>0.066167</v>
      </c>
      <c r="GE40">
        <v>0.0655018</v>
      </c>
      <c r="GF40">
        <v>0.087757</v>
      </c>
      <c r="GG40">
        <v>0.0508927</v>
      </c>
      <c r="GH40">
        <v>29460.3</v>
      </c>
      <c r="GI40">
        <v>29546.6</v>
      </c>
      <c r="GJ40">
        <v>29337.5</v>
      </c>
      <c r="GK40">
        <v>29251.4</v>
      </c>
      <c r="GL40">
        <v>35441</v>
      </c>
      <c r="GM40">
        <v>36973</v>
      </c>
      <c r="GN40">
        <v>41297.3</v>
      </c>
      <c r="GO40">
        <v>41745.6</v>
      </c>
      <c r="GP40">
        <v>1.9532</v>
      </c>
      <c r="GQ40">
        <v>1.83337</v>
      </c>
      <c r="GR40">
        <v>-0.037007</v>
      </c>
      <c r="GS40">
        <v>0</v>
      </c>
      <c r="GT40">
        <v>25.594</v>
      </c>
      <c r="GU40">
        <v>999.9</v>
      </c>
      <c r="GV40">
        <v>39.2</v>
      </c>
      <c r="GW40">
        <v>33.8</v>
      </c>
      <c r="GX40">
        <v>22.9906</v>
      </c>
      <c r="GY40">
        <v>62.5376</v>
      </c>
      <c r="GZ40">
        <v>35.3085</v>
      </c>
      <c r="HA40">
        <v>1</v>
      </c>
      <c r="HB40">
        <v>0.147734</v>
      </c>
      <c r="HC40">
        <v>2.27112</v>
      </c>
      <c r="HD40">
        <v>20.3178</v>
      </c>
      <c r="HE40">
        <v>5.21474</v>
      </c>
      <c r="HF40">
        <v>12.0099</v>
      </c>
      <c r="HG40">
        <v>4.98745</v>
      </c>
      <c r="HH40">
        <v>3.28823</v>
      </c>
      <c r="HI40">
        <v>846.2</v>
      </c>
      <c r="HJ40">
        <v>8419.200000000001</v>
      </c>
      <c r="HK40">
        <v>5139.4</v>
      </c>
      <c r="HL40">
        <v>22.8</v>
      </c>
      <c r="HM40">
        <v>1.86752</v>
      </c>
      <c r="HN40">
        <v>1.86647</v>
      </c>
      <c r="HO40">
        <v>1.866</v>
      </c>
      <c r="HP40">
        <v>1.86589</v>
      </c>
      <c r="HQ40">
        <v>1.86771</v>
      </c>
      <c r="HR40">
        <v>1.87026</v>
      </c>
      <c r="HS40">
        <v>1.8689</v>
      </c>
      <c r="HT40">
        <v>1.87027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-1.036</v>
      </c>
      <c r="II40">
        <v>0.0055</v>
      </c>
      <c r="IJ40">
        <v>-0.4995723906072</v>
      </c>
      <c r="IK40">
        <v>-0.002077099775823331</v>
      </c>
      <c r="IL40">
        <v>4.593143279902166E-07</v>
      </c>
      <c r="IM40">
        <v>-1.865383991892071E-10</v>
      </c>
      <c r="IN40">
        <v>-0.07605349583632376</v>
      </c>
      <c r="IO40">
        <v>-0.01129461987421345</v>
      </c>
      <c r="IP40">
        <v>0.00116580895745559</v>
      </c>
      <c r="IQ40">
        <v>-1.679085872906199E-05</v>
      </c>
      <c r="IR40">
        <v>2</v>
      </c>
      <c r="IS40">
        <v>2290</v>
      </c>
      <c r="IT40">
        <v>0</v>
      </c>
      <c r="IU40">
        <v>32</v>
      </c>
      <c r="IV40">
        <v>3.2</v>
      </c>
      <c r="IW40">
        <v>2.8</v>
      </c>
      <c r="IX40">
        <v>0.709229</v>
      </c>
      <c r="IY40">
        <v>2.24121</v>
      </c>
      <c r="IZ40">
        <v>1.39648</v>
      </c>
      <c r="JA40">
        <v>2.35962</v>
      </c>
      <c r="JB40">
        <v>1.49536</v>
      </c>
      <c r="JC40">
        <v>2.31079</v>
      </c>
      <c r="JD40">
        <v>38.2812</v>
      </c>
      <c r="JE40">
        <v>24.035</v>
      </c>
      <c r="JF40">
        <v>18</v>
      </c>
      <c r="JG40">
        <v>514.4059999999999</v>
      </c>
      <c r="JH40">
        <v>422.864</v>
      </c>
      <c r="JI40">
        <v>22.5739</v>
      </c>
      <c r="JJ40">
        <v>29.2688</v>
      </c>
      <c r="JK40">
        <v>29.9998</v>
      </c>
      <c r="JL40">
        <v>29.2062</v>
      </c>
      <c r="JM40">
        <v>29.128</v>
      </c>
      <c r="JN40">
        <v>14.1568</v>
      </c>
      <c r="JO40">
        <v>55.4487</v>
      </c>
      <c r="JP40">
        <v>0</v>
      </c>
      <c r="JQ40">
        <v>22.5766</v>
      </c>
      <c r="JR40">
        <v>253</v>
      </c>
      <c r="JS40">
        <v>8.99503</v>
      </c>
      <c r="JT40">
        <v>100.287</v>
      </c>
      <c r="JU40">
        <v>100.198</v>
      </c>
    </row>
    <row r="41" spans="1:281">
      <c r="A41">
        <v>25</v>
      </c>
      <c r="B41">
        <v>1651857213.6</v>
      </c>
      <c r="C41">
        <v>213</v>
      </c>
      <c r="D41" t="s">
        <v>477</v>
      </c>
      <c r="E41" t="s">
        <v>478</v>
      </c>
      <c r="F41">
        <v>2</v>
      </c>
      <c r="G41" t="s">
        <v>413</v>
      </c>
      <c r="H41" t="s">
        <v>414</v>
      </c>
      <c r="I41">
        <v>1651857212.6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277.8604460181341</v>
      </c>
      <c r="AK41">
        <v>272.2322242424242</v>
      </c>
      <c r="AL41">
        <v>-3.120536839464632</v>
      </c>
      <c r="AM41">
        <v>66.38384787954378</v>
      </c>
      <c r="AN41">
        <f>(AP41 - AO41 + DI41*1E3/(8.314*(DK41+273.15)) * AR41/DH41 * AQ41) * DH41/(100*CV41) * 1000/(1000 - AP41)</f>
        <v>0</v>
      </c>
      <c r="AO41">
        <v>8.962450392196455</v>
      </c>
      <c r="AP41">
        <v>18.35453441176471</v>
      </c>
      <c r="AQ41">
        <v>-3.190866992450143E-05</v>
      </c>
      <c r="AR41">
        <v>80.44866334591464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1238</v>
      </c>
      <c r="CA41">
        <v>300</v>
      </c>
      <c r="CB41">
        <v>300</v>
      </c>
      <c r="CC41">
        <v>300</v>
      </c>
      <c r="CD41">
        <v>10440.5</v>
      </c>
      <c r="CE41">
        <v>1411.69</v>
      </c>
      <c r="CF41">
        <v>-0.00735121</v>
      </c>
      <c r="CG41">
        <v>-0.77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1651857212.6</v>
      </c>
      <c r="DB41">
        <v>268.765</v>
      </c>
      <c r="DC41">
        <v>269.492</v>
      </c>
      <c r="DD41">
        <v>18.35516666666667</v>
      </c>
      <c r="DE41">
        <v>8.961626666666668</v>
      </c>
      <c r="DF41">
        <v>269.7953333333334</v>
      </c>
      <c r="DG41">
        <v>18.34966666666667</v>
      </c>
      <c r="DH41">
        <v>499.977</v>
      </c>
      <c r="DI41">
        <v>90.09713333333333</v>
      </c>
      <c r="DJ41">
        <v>0.09965156666666668</v>
      </c>
      <c r="DK41">
        <v>25.7235</v>
      </c>
      <c r="DL41">
        <v>24.9926</v>
      </c>
      <c r="DM41">
        <v>999.9</v>
      </c>
      <c r="DN41">
        <v>0</v>
      </c>
      <c r="DO41">
        <v>0</v>
      </c>
      <c r="DP41">
        <v>10023.76666666667</v>
      </c>
      <c r="DQ41">
        <v>0</v>
      </c>
      <c r="DR41">
        <v>3.20383</v>
      </c>
      <c r="DS41">
        <v>-0.7269593333333333</v>
      </c>
      <c r="DT41">
        <v>273.7906666666667</v>
      </c>
      <c r="DU41">
        <v>271.929</v>
      </c>
      <c r="DV41">
        <v>9.39353</v>
      </c>
      <c r="DW41">
        <v>269.492</v>
      </c>
      <c r="DX41">
        <v>8.961626666666668</v>
      </c>
      <c r="DY41">
        <v>1.653746666666667</v>
      </c>
      <c r="DZ41">
        <v>0.8074170000000001</v>
      </c>
      <c r="EA41">
        <v>14.46896666666667</v>
      </c>
      <c r="EB41">
        <v>3.838373333333333</v>
      </c>
      <c r="EC41">
        <v>1499.986666666667</v>
      </c>
      <c r="ED41">
        <v>0.973007</v>
      </c>
      <c r="EE41">
        <v>0.0269931</v>
      </c>
      <c r="EF41">
        <v>0</v>
      </c>
      <c r="EG41">
        <v>1031.79</v>
      </c>
      <c r="EH41">
        <v>5.00097</v>
      </c>
      <c r="EI41">
        <v>15306.66666666667</v>
      </c>
      <c r="EJ41">
        <v>12491.56666666667</v>
      </c>
      <c r="EK41">
        <v>37.562</v>
      </c>
      <c r="EL41">
        <v>39.062</v>
      </c>
      <c r="EM41">
        <v>38</v>
      </c>
      <c r="EN41">
        <v>38.812</v>
      </c>
      <c r="EO41">
        <v>38.437</v>
      </c>
      <c r="EP41">
        <v>1454.63</v>
      </c>
      <c r="EQ41">
        <v>40.35</v>
      </c>
      <c r="ER41">
        <v>0</v>
      </c>
      <c r="ES41">
        <v>212.4000000953674</v>
      </c>
      <c r="ET41">
        <v>0</v>
      </c>
      <c r="EU41">
        <v>1046.778</v>
      </c>
      <c r="EV41">
        <v>-138.2630767147965</v>
      </c>
      <c r="EW41">
        <v>-2065.938458346959</v>
      </c>
      <c r="EX41">
        <v>15529.972</v>
      </c>
      <c r="EY41">
        <v>15</v>
      </c>
      <c r="EZ41">
        <v>1651857041.1</v>
      </c>
      <c r="FA41" t="s">
        <v>419</v>
      </c>
      <c r="FB41">
        <v>1651857019.6</v>
      </c>
      <c r="FC41">
        <v>1651857041.1</v>
      </c>
      <c r="FD41">
        <v>1</v>
      </c>
      <c r="FE41">
        <v>0.545</v>
      </c>
      <c r="FF41">
        <v>-0.002</v>
      </c>
      <c r="FG41">
        <v>-1.271</v>
      </c>
      <c r="FH41">
        <v>-0.09</v>
      </c>
      <c r="FI41">
        <v>400</v>
      </c>
      <c r="FJ41">
        <v>10</v>
      </c>
      <c r="FK41">
        <v>0.1</v>
      </c>
      <c r="FL41">
        <v>0.02</v>
      </c>
      <c r="FM41">
        <v>-3.088224725</v>
      </c>
      <c r="FN41">
        <v>15.65857899061915</v>
      </c>
      <c r="FO41">
        <v>1.508861260739485</v>
      </c>
      <c r="FP41">
        <v>-1</v>
      </c>
      <c r="FQ41">
        <v>9.387953</v>
      </c>
      <c r="FR41">
        <v>0.02183144465289481</v>
      </c>
      <c r="FS41">
        <v>0.004616961230073445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432</v>
      </c>
      <c r="GB41">
        <v>2.97966</v>
      </c>
      <c r="GC41">
        <v>2.70613</v>
      </c>
      <c r="GD41">
        <v>0.0649111</v>
      </c>
      <c r="GE41">
        <v>0.06416379999999999</v>
      </c>
      <c r="GF41">
        <v>0.0877637</v>
      </c>
      <c r="GG41">
        <v>0.0508893</v>
      </c>
      <c r="GH41">
        <v>29499.8</v>
      </c>
      <c r="GI41">
        <v>29588.9</v>
      </c>
      <c r="GJ41">
        <v>29337.4</v>
      </c>
      <c r="GK41">
        <v>29251.3</v>
      </c>
      <c r="GL41">
        <v>35440.6</v>
      </c>
      <c r="GM41">
        <v>36973.2</v>
      </c>
      <c r="GN41">
        <v>41297.2</v>
      </c>
      <c r="GO41">
        <v>41745.6</v>
      </c>
      <c r="GP41">
        <v>1.95317</v>
      </c>
      <c r="GQ41">
        <v>1.83345</v>
      </c>
      <c r="GR41">
        <v>-0.0366047</v>
      </c>
      <c r="GS41">
        <v>0</v>
      </c>
      <c r="GT41">
        <v>25.5929</v>
      </c>
      <c r="GU41">
        <v>999.9</v>
      </c>
      <c r="GV41">
        <v>39.2</v>
      </c>
      <c r="GW41">
        <v>33.8</v>
      </c>
      <c r="GX41">
        <v>22.9876</v>
      </c>
      <c r="GY41">
        <v>62.6376</v>
      </c>
      <c r="GZ41">
        <v>35.633</v>
      </c>
      <c r="HA41">
        <v>1</v>
      </c>
      <c r="HB41">
        <v>0.147541</v>
      </c>
      <c r="HC41">
        <v>2.27747</v>
      </c>
      <c r="HD41">
        <v>20.3175</v>
      </c>
      <c r="HE41">
        <v>5.2134</v>
      </c>
      <c r="HF41">
        <v>12.0099</v>
      </c>
      <c r="HG41">
        <v>4.98705</v>
      </c>
      <c r="HH41">
        <v>3.28793</v>
      </c>
      <c r="HI41">
        <v>846.2</v>
      </c>
      <c r="HJ41">
        <v>8419.200000000001</v>
      </c>
      <c r="HK41">
        <v>5139.4</v>
      </c>
      <c r="HL41">
        <v>22.8</v>
      </c>
      <c r="HM41">
        <v>1.86752</v>
      </c>
      <c r="HN41">
        <v>1.86647</v>
      </c>
      <c r="HO41">
        <v>1.866</v>
      </c>
      <c r="HP41">
        <v>1.8659</v>
      </c>
      <c r="HQ41">
        <v>1.8677</v>
      </c>
      <c r="HR41">
        <v>1.87027</v>
      </c>
      <c r="HS41">
        <v>1.8689</v>
      </c>
      <c r="HT41">
        <v>1.87027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-1.025</v>
      </c>
      <c r="II41">
        <v>0.0054</v>
      </c>
      <c r="IJ41">
        <v>-0.4995723906072</v>
      </c>
      <c r="IK41">
        <v>-0.002077099775823331</v>
      </c>
      <c r="IL41">
        <v>4.593143279902166E-07</v>
      </c>
      <c r="IM41">
        <v>-1.865383991892071E-10</v>
      </c>
      <c r="IN41">
        <v>-0.07605349583632376</v>
      </c>
      <c r="IO41">
        <v>-0.01129461987421345</v>
      </c>
      <c r="IP41">
        <v>0.00116580895745559</v>
      </c>
      <c r="IQ41">
        <v>-1.679085872906199E-05</v>
      </c>
      <c r="IR41">
        <v>2</v>
      </c>
      <c r="IS41">
        <v>2290</v>
      </c>
      <c r="IT41">
        <v>0</v>
      </c>
      <c r="IU41">
        <v>32</v>
      </c>
      <c r="IV41">
        <v>3.2</v>
      </c>
      <c r="IW41">
        <v>2.9</v>
      </c>
      <c r="IX41">
        <v>0.69458</v>
      </c>
      <c r="IY41">
        <v>2.24854</v>
      </c>
      <c r="IZ41">
        <v>1.39648</v>
      </c>
      <c r="JA41">
        <v>2.35962</v>
      </c>
      <c r="JB41">
        <v>1.49536</v>
      </c>
      <c r="JC41">
        <v>2.29126</v>
      </c>
      <c r="JD41">
        <v>38.2812</v>
      </c>
      <c r="JE41">
        <v>24.035</v>
      </c>
      <c r="JF41">
        <v>18</v>
      </c>
      <c r="JG41">
        <v>514.379</v>
      </c>
      <c r="JH41">
        <v>422.908</v>
      </c>
      <c r="JI41">
        <v>22.5777</v>
      </c>
      <c r="JJ41">
        <v>29.2675</v>
      </c>
      <c r="JK41">
        <v>29.9999</v>
      </c>
      <c r="JL41">
        <v>29.205</v>
      </c>
      <c r="JM41">
        <v>29.128</v>
      </c>
      <c r="JN41">
        <v>13.8995</v>
      </c>
      <c r="JO41">
        <v>55.4487</v>
      </c>
      <c r="JP41">
        <v>0</v>
      </c>
      <c r="JQ41">
        <v>22.5855</v>
      </c>
      <c r="JR41">
        <v>246.322</v>
      </c>
      <c r="JS41">
        <v>8.996359999999999</v>
      </c>
      <c r="JT41">
        <v>100.286</v>
      </c>
      <c r="JU41">
        <v>100.198</v>
      </c>
    </row>
    <row r="42" spans="1:281">
      <c r="A42">
        <v>26</v>
      </c>
      <c r="B42">
        <v>1651857215.6</v>
      </c>
      <c r="C42">
        <v>215</v>
      </c>
      <c r="D42" t="s">
        <v>479</v>
      </c>
      <c r="E42" t="s">
        <v>480</v>
      </c>
      <c r="F42">
        <v>2</v>
      </c>
      <c r="G42" t="s">
        <v>413</v>
      </c>
      <c r="H42" t="s">
        <v>414</v>
      </c>
      <c r="I42">
        <v>1651857214.225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271.1518884837449</v>
      </c>
      <c r="AK42">
        <v>265.958587878788</v>
      </c>
      <c r="AL42">
        <v>-3.129700129309441</v>
      </c>
      <c r="AM42">
        <v>66.38384787954378</v>
      </c>
      <c r="AN42">
        <f>(AP42 - AO42 + DI42*1E3/(8.314*(DK42+273.15)) * AR42/DH42 * AQ42) * DH42/(100*CV42) * 1000/(1000 - AP42)</f>
        <v>0</v>
      </c>
      <c r="AO42">
        <v>8.961839036247929</v>
      </c>
      <c r="AP42">
        <v>18.35774088235293</v>
      </c>
      <c r="AQ42">
        <v>-0.0001435428402312327</v>
      </c>
      <c r="AR42">
        <v>80.44866334591464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1238</v>
      </c>
      <c r="CA42">
        <v>300</v>
      </c>
      <c r="CB42">
        <v>300</v>
      </c>
      <c r="CC42">
        <v>300</v>
      </c>
      <c r="CD42">
        <v>10440.5</v>
      </c>
      <c r="CE42">
        <v>1411.69</v>
      </c>
      <c r="CF42">
        <v>-0.00735121</v>
      </c>
      <c r="CG42">
        <v>-0.77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1651857214.225</v>
      </c>
      <c r="DB42">
        <v>263.76825</v>
      </c>
      <c r="DC42">
        <v>264.223</v>
      </c>
      <c r="DD42">
        <v>18.356475</v>
      </c>
      <c r="DE42">
        <v>8.96115</v>
      </c>
      <c r="DF42">
        <v>264.78875</v>
      </c>
      <c r="DG42">
        <v>18.350975</v>
      </c>
      <c r="DH42">
        <v>500.0085</v>
      </c>
      <c r="DI42">
        <v>90.098775</v>
      </c>
      <c r="DJ42">
        <v>0.09985194999999999</v>
      </c>
      <c r="DK42">
        <v>25.724225</v>
      </c>
      <c r="DL42">
        <v>24.99165</v>
      </c>
      <c r="DM42">
        <v>999.9</v>
      </c>
      <c r="DN42">
        <v>0</v>
      </c>
      <c r="DO42">
        <v>0</v>
      </c>
      <c r="DP42">
        <v>10031.25</v>
      </c>
      <c r="DQ42">
        <v>0</v>
      </c>
      <c r="DR42">
        <v>3.20383</v>
      </c>
      <c r="DS42">
        <v>-0.4547655</v>
      </c>
      <c r="DT42">
        <v>268.70075</v>
      </c>
      <c r="DU42">
        <v>266.612</v>
      </c>
      <c r="DV42">
        <v>9.395319999999998</v>
      </c>
      <c r="DW42">
        <v>264.223</v>
      </c>
      <c r="DX42">
        <v>8.96115</v>
      </c>
      <c r="DY42">
        <v>1.653895</v>
      </c>
      <c r="DZ42">
        <v>0.807389</v>
      </c>
      <c r="EA42">
        <v>14.47035</v>
      </c>
      <c r="EB42">
        <v>3.83788</v>
      </c>
      <c r="EC42">
        <v>1499.9875</v>
      </c>
      <c r="ED42">
        <v>0.973007</v>
      </c>
      <c r="EE42">
        <v>0.0269931</v>
      </c>
      <c r="EF42">
        <v>0</v>
      </c>
      <c r="EG42">
        <v>1026.7375</v>
      </c>
      <c r="EH42">
        <v>5.00097</v>
      </c>
      <c r="EI42">
        <v>15233.35</v>
      </c>
      <c r="EJ42">
        <v>12491.525</v>
      </c>
      <c r="EK42">
        <v>37.562</v>
      </c>
      <c r="EL42">
        <v>39.062</v>
      </c>
      <c r="EM42">
        <v>37.95274999999999</v>
      </c>
      <c r="EN42">
        <v>38.812</v>
      </c>
      <c r="EO42">
        <v>38.437</v>
      </c>
      <c r="EP42">
        <v>1454.63</v>
      </c>
      <c r="EQ42">
        <v>40.35</v>
      </c>
      <c r="ER42">
        <v>0</v>
      </c>
      <c r="ES42">
        <v>214.2000000476837</v>
      </c>
      <c r="ET42">
        <v>0</v>
      </c>
      <c r="EU42">
        <v>1043.163846153846</v>
      </c>
      <c r="EV42">
        <v>-145.3545300031864</v>
      </c>
      <c r="EW42">
        <v>-2156.348719317494</v>
      </c>
      <c r="EX42">
        <v>15476.4</v>
      </c>
      <c r="EY42">
        <v>15</v>
      </c>
      <c r="EZ42">
        <v>1651857041.1</v>
      </c>
      <c r="FA42" t="s">
        <v>419</v>
      </c>
      <c r="FB42">
        <v>1651857019.6</v>
      </c>
      <c r="FC42">
        <v>1651857041.1</v>
      </c>
      <c r="FD42">
        <v>1</v>
      </c>
      <c r="FE42">
        <v>0.545</v>
      </c>
      <c r="FF42">
        <v>-0.002</v>
      </c>
      <c r="FG42">
        <v>-1.271</v>
      </c>
      <c r="FH42">
        <v>-0.09</v>
      </c>
      <c r="FI42">
        <v>400</v>
      </c>
      <c r="FJ42">
        <v>10</v>
      </c>
      <c r="FK42">
        <v>0.1</v>
      </c>
      <c r="FL42">
        <v>0.02</v>
      </c>
      <c r="FM42">
        <v>-2.82132945</v>
      </c>
      <c r="FN42">
        <v>15.31959840900562</v>
      </c>
      <c r="FO42">
        <v>1.475205934488096</v>
      </c>
      <c r="FP42">
        <v>-1</v>
      </c>
      <c r="FQ42">
        <v>9.387915749999999</v>
      </c>
      <c r="FR42">
        <v>0.03430390243901946</v>
      </c>
      <c r="FS42">
        <v>0.004559281131658934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432</v>
      </c>
      <c r="GB42">
        <v>2.97989</v>
      </c>
      <c r="GC42">
        <v>2.70667</v>
      </c>
      <c r="GD42">
        <v>0.06364350000000001</v>
      </c>
      <c r="GE42">
        <v>0.062874</v>
      </c>
      <c r="GF42">
        <v>0.08777799999999999</v>
      </c>
      <c r="GG42">
        <v>0.0508894</v>
      </c>
      <c r="GH42">
        <v>29539.3</v>
      </c>
      <c r="GI42">
        <v>29629.6</v>
      </c>
      <c r="GJ42">
        <v>29336.9</v>
      </c>
      <c r="GK42">
        <v>29251.3</v>
      </c>
      <c r="GL42">
        <v>35439.4</v>
      </c>
      <c r="GM42">
        <v>36973.2</v>
      </c>
      <c r="GN42">
        <v>41296.4</v>
      </c>
      <c r="GO42">
        <v>41745.7</v>
      </c>
      <c r="GP42">
        <v>1.95345</v>
      </c>
      <c r="GQ42">
        <v>1.83312</v>
      </c>
      <c r="GR42">
        <v>-0.0367612</v>
      </c>
      <c r="GS42">
        <v>0</v>
      </c>
      <c r="GT42">
        <v>25.5929</v>
      </c>
      <c r="GU42">
        <v>999.9</v>
      </c>
      <c r="GV42">
        <v>39.2</v>
      </c>
      <c r="GW42">
        <v>33.8</v>
      </c>
      <c r="GX42">
        <v>22.9878</v>
      </c>
      <c r="GY42">
        <v>62.5576</v>
      </c>
      <c r="GZ42">
        <v>35.3045</v>
      </c>
      <c r="HA42">
        <v>1</v>
      </c>
      <c r="HB42">
        <v>0.147581</v>
      </c>
      <c r="HC42">
        <v>2.26861</v>
      </c>
      <c r="HD42">
        <v>20.3179</v>
      </c>
      <c r="HE42">
        <v>5.21504</v>
      </c>
      <c r="HF42">
        <v>12.0099</v>
      </c>
      <c r="HG42">
        <v>4.98745</v>
      </c>
      <c r="HH42">
        <v>3.2882</v>
      </c>
      <c r="HI42">
        <v>846.4</v>
      </c>
      <c r="HJ42">
        <v>8421.4</v>
      </c>
      <c r="HK42">
        <v>5139.4</v>
      </c>
      <c r="HL42">
        <v>22.8</v>
      </c>
      <c r="HM42">
        <v>1.86752</v>
      </c>
      <c r="HN42">
        <v>1.86647</v>
      </c>
      <c r="HO42">
        <v>1.866</v>
      </c>
      <c r="HP42">
        <v>1.86591</v>
      </c>
      <c r="HQ42">
        <v>1.8677</v>
      </c>
      <c r="HR42">
        <v>1.87027</v>
      </c>
      <c r="HS42">
        <v>1.8689</v>
      </c>
      <c r="HT42">
        <v>1.87027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-1.013</v>
      </c>
      <c r="II42">
        <v>0.0056</v>
      </c>
      <c r="IJ42">
        <v>-0.4995723906072</v>
      </c>
      <c r="IK42">
        <v>-0.002077099775823331</v>
      </c>
      <c r="IL42">
        <v>4.593143279902166E-07</v>
      </c>
      <c r="IM42">
        <v>-1.865383991892071E-10</v>
      </c>
      <c r="IN42">
        <v>-0.07605349583632376</v>
      </c>
      <c r="IO42">
        <v>-0.01129461987421345</v>
      </c>
      <c r="IP42">
        <v>0.00116580895745559</v>
      </c>
      <c r="IQ42">
        <v>-1.679085872906199E-05</v>
      </c>
      <c r="IR42">
        <v>2</v>
      </c>
      <c r="IS42">
        <v>2290</v>
      </c>
      <c r="IT42">
        <v>0</v>
      </c>
      <c r="IU42">
        <v>32</v>
      </c>
      <c r="IV42">
        <v>3.3</v>
      </c>
      <c r="IW42">
        <v>2.9</v>
      </c>
      <c r="IX42">
        <v>0.681152</v>
      </c>
      <c r="IY42">
        <v>2.24243</v>
      </c>
      <c r="IZ42">
        <v>1.39648</v>
      </c>
      <c r="JA42">
        <v>2.35962</v>
      </c>
      <c r="JB42">
        <v>1.49536</v>
      </c>
      <c r="JC42">
        <v>2.34253</v>
      </c>
      <c r="JD42">
        <v>38.2812</v>
      </c>
      <c r="JE42">
        <v>24.0437</v>
      </c>
      <c r="JF42">
        <v>18</v>
      </c>
      <c r="JG42">
        <v>514.5549999999999</v>
      </c>
      <c r="JH42">
        <v>422.715</v>
      </c>
      <c r="JI42">
        <v>22.5806</v>
      </c>
      <c r="JJ42">
        <v>29.2662</v>
      </c>
      <c r="JK42">
        <v>29.9999</v>
      </c>
      <c r="JL42">
        <v>29.2045</v>
      </c>
      <c r="JM42">
        <v>29.128</v>
      </c>
      <c r="JN42">
        <v>13.6324</v>
      </c>
      <c r="JO42">
        <v>55.4487</v>
      </c>
      <c r="JP42">
        <v>0</v>
      </c>
      <c r="JQ42">
        <v>22.5855</v>
      </c>
      <c r="JR42">
        <v>239.633</v>
      </c>
      <c r="JS42">
        <v>8.993399999999999</v>
      </c>
      <c r="JT42">
        <v>100.284</v>
      </c>
      <c r="JU42">
        <v>100.198</v>
      </c>
    </row>
    <row r="43" spans="1:281">
      <c r="A43">
        <v>27</v>
      </c>
      <c r="B43">
        <v>1651857217.6</v>
      </c>
      <c r="C43">
        <v>217</v>
      </c>
      <c r="D43" t="s">
        <v>481</v>
      </c>
      <c r="E43" t="s">
        <v>482</v>
      </c>
      <c r="F43">
        <v>2</v>
      </c>
      <c r="G43" t="s">
        <v>413</v>
      </c>
      <c r="H43" t="s">
        <v>414</v>
      </c>
      <c r="I43">
        <v>1651857216.6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264.6582690496522</v>
      </c>
      <c r="AK43">
        <v>259.7564666666665</v>
      </c>
      <c r="AL43">
        <v>-3.112456627332948</v>
      </c>
      <c r="AM43">
        <v>66.38384787954378</v>
      </c>
      <c r="AN43">
        <f>(AP43 - AO43 + DI43*1E3/(8.314*(DK43+273.15)) * AR43/DH43 * AQ43) * DH43/(100*CV43) * 1000/(1000 - AP43)</f>
        <v>0</v>
      </c>
      <c r="AO43">
        <v>8.961470235146132</v>
      </c>
      <c r="AP43">
        <v>18.36159088235294</v>
      </c>
      <c r="AQ43">
        <v>1.98037662552051E-05</v>
      </c>
      <c r="AR43">
        <v>80.44866334591464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1238</v>
      </c>
      <c r="CA43">
        <v>300</v>
      </c>
      <c r="CB43">
        <v>300</v>
      </c>
      <c r="CC43">
        <v>300</v>
      </c>
      <c r="CD43">
        <v>10440.5</v>
      </c>
      <c r="CE43">
        <v>1411.69</v>
      </c>
      <c r="CF43">
        <v>-0.00735121</v>
      </c>
      <c r="CG43">
        <v>-0.77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1651857216.6</v>
      </c>
      <c r="DB43">
        <v>256.5016666666667</v>
      </c>
      <c r="DC43">
        <v>256.7733333333333</v>
      </c>
      <c r="DD43">
        <v>18.36043333333333</v>
      </c>
      <c r="DE43">
        <v>8.960476666666667</v>
      </c>
      <c r="DF43">
        <v>257.509</v>
      </c>
      <c r="DG43">
        <v>18.35486666666667</v>
      </c>
      <c r="DH43">
        <v>500.084</v>
      </c>
      <c r="DI43">
        <v>90.10216666666668</v>
      </c>
      <c r="DJ43">
        <v>0.1003093333333333</v>
      </c>
      <c r="DK43">
        <v>25.7242</v>
      </c>
      <c r="DL43">
        <v>24.98866666666667</v>
      </c>
      <c r="DM43">
        <v>999.9</v>
      </c>
      <c r="DN43">
        <v>0</v>
      </c>
      <c r="DO43">
        <v>0</v>
      </c>
      <c r="DP43">
        <v>10023.13333333333</v>
      </c>
      <c r="DQ43">
        <v>0</v>
      </c>
      <c r="DR43">
        <v>3.20383</v>
      </c>
      <c r="DS43">
        <v>-0.2717286666666667</v>
      </c>
      <c r="DT43">
        <v>261.2993333333333</v>
      </c>
      <c r="DU43">
        <v>259.0953333333334</v>
      </c>
      <c r="DV43">
        <v>9.399940000000001</v>
      </c>
      <c r="DW43">
        <v>256.7733333333333</v>
      </c>
      <c r="DX43">
        <v>8.960476666666667</v>
      </c>
      <c r="DY43">
        <v>1.654313333333333</v>
      </c>
      <c r="DZ43">
        <v>0.8073583333333333</v>
      </c>
      <c r="EA43">
        <v>14.47423333333333</v>
      </c>
      <c r="EB43">
        <v>3.837336666666667</v>
      </c>
      <c r="EC43">
        <v>1499.983333333333</v>
      </c>
      <c r="ED43">
        <v>0.973007</v>
      </c>
      <c r="EE43">
        <v>0.0269931</v>
      </c>
      <c r="EF43">
        <v>0</v>
      </c>
      <c r="EG43">
        <v>1019.636666666667</v>
      </c>
      <c r="EH43">
        <v>5.00097</v>
      </c>
      <c r="EI43">
        <v>15127.6</v>
      </c>
      <c r="EJ43">
        <v>12491.46666666667</v>
      </c>
      <c r="EK43">
        <v>37.562</v>
      </c>
      <c r="EL43">
        <v>39.062</v>
      </c>
      <c r="EM43">
        <v>37.958</v>
      </c>
      <c r="EN43">
        <v>38.812</v>
      </c>
      <c r="EO43">
        <v>38.437</v>
      </c>
      <c r="EP43">
        <v>1454.626666666667</v>
      </c>
      <c r="EQ43">
        <v>40.35</v>
      </c>
      <c r="ER43">
        <v>0</v>
      </c>
      <c r="ES43">
        <v>216.6000001430511</v>
      </c>
      <c r="ET43">
        <v>0</v>
      </c>
      <c r="EU43">
        <v>1037.173461538461</v>
      </c>
      <c r="EV43">
        <v>-155.1237607923017</v>
      </c>
      <c r="EW43">
        <v>-2299.562394823325</v>
      </c>
      <c r="EX43">
        <v>15387.46153846154</v>
      </c>
      <c r="EY43">
        <v>15</v>
      </c>
      <c r="EZ43">
        <v>1651857041.1</v>
      </c>
      <c r="FA43" t="s">
        <v>419</v>
      </c>
      <c r="FB43">
        <v>1651857019.6</v>
      </c>
      <c r="FC43">
        <v>1651857041.1</v>
      </c>
      <c r="FD43">
        <v>1</v>
      </c>
      <c r="FE43">
        <v>0.545</v>
      </c>
      <c r="FF43">
        <v>-0.002</v>
      </c>
      <c r="FG43">
        <v>-1.271</v>
      </c>
      <c r="FH43">
        <v>-0.09</v>
      </c>
      <c r="FI43">
        <v>400</v>
      </c>
      <c r="FJ43">
        <v>10</v>
      </c>
      <c r="FK43">
        <v>0.1</v>
      </c>
      <c r="FL43">
        <v>0.02</v>
      </c>
      <c r="FM43">
        <v>-2.1050624</v>
      </c>
      <c r="FN43">
        <v>13.95205566979362</v>
      </c>
      <c r="FO43">
        <v>1.347393468913624</v>
      </c>
      <c r="FP43">
        <v>-1</v>
      </c>
      <c r="FQ43">
        <v>9.389596000000001</v>
      </c>
      <c r="FR43">
        <v>0.05710784240150332</v>
      </c>
      <c r="FS43">
        <v>0.005721777171474051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432</v>
      </c>
      <c r="GB43">
        <v>2.97983</v>
      </c>
      <c r="GC43">
        <v>2.70651</v>
      </c>
      <c r="GD43">
        <v>0.0623866</v>
      </c>
      <c r="GE43">
        <v>0.0616011</v>
      </c>
      <c r="GF43">
        <v>0.0877922</v>
      </c>
      <c r="GG43">
        <v>0.0508867</v>
      </c>
      <c r="GH43">
        <v>29578.7</v>
      </c>
      <c r="GI43">
        <v>29669.9</v>
      </c>
      <c r="GJ43">
        <v>29336.6</v>
      </c>
      <c r="GK43">
        <v>29251.4</v>
      </c>
      <c r="GL43">
        <v>35438.4</v>
      </c>
      <c r="GM43">
        <v>36973.2</v>
      </c>
      <c r="GN43">
        <v>41296</v>
      </c>
      <c r="GO43">
        <v>41745.6</v>
      </c>
      <c r="GP43">
        <v>1.9536</v>
      </c>
      <c r="GQ43">
        <v>1.83315</v>
      </c>
      <c r="GR43">
        <v>-0.0368282</v>
      </c>
      <c r="GS43">
        <v>0</v>
      </c>
      <c r="GT43">
        <v>25.5929</v>
      </c>
      <c r="GU43">
        <v>999.9</v>
      </c>
      <c r="GV43">
        <v>39.2</v>
      </c>
      <c r="GW43">
        <v>33.8</v>
      </c>
      <c r="GX43">
        <v>22.9874</v>
      </c>
      <c r="GY43">
        <v>62.6876</v>
      </c>
      <c r="GZ43">
        <v>35.4247</v>
      </c>
      <c r="HA43">
        <v>1</v>
      </c>
      <c r="HB43">
        <v>0.147556</v>
      </c>
      <c r="HC43">
        <v>2.26719</v>
      </c>
      <c r="HD43">
        <v>20.3182</v>
      </c>
      <c r="HE43">
        <v>5.21669</v>
      </c>
      <c r="HF43">
        <v>12.0099</v>
      </c>
      <c r="HG43">
        <v>4.98785</v>
      </c>
      <c r="HH43">
        <v>3.28848</v>
      </c>
      <c r="HI43">
        <v>846.4</v>
      </c>
      <c r="HJ43">
        <v>8421.4</v>
      </c>
      <c r="HK43">
        <v>5139.4</v>
      </c>
      <c r="HL43">
        <v>22.8</v>
      </c>
      <c r="HM43">
        <v>1.86752</v>
      </c>
      <c r="HN43">
        <v>1.86646</v>
      </c>
      <c r="HO43">
        <v>1.866</v>
      </c>
      <c r="HP43">
        <v>1.86591</v>
      </c>
      <c r="HQ43">
        <v>1.86768</v>
      </c>
      <c r="HR43">
        <v>1.87026</v>
      </c>
      <c r="HS43">
        <v>1.8689</v>
      </c>
      <c r="HT43">
        <v>1.87027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-1.001</v>
      </c>
      <c r="II43">
        <v>0.0056</v>
      </c>
      <c r="IJ43">
        <v>-0.4995723906072</v>
      </c>
      <c r="IK43">
        <v>-0.002077099775823331</v>
      </c>
      <c r="IL43">
        <v>4.593143279902166E-07</v>
      </c>
      <c r="IM43">
        <v>-1.865383991892071E-10</v>
      </c>
      <c r="IN43">
        <v>-0.07605349583632376</v>
      </c>
      <c r="IO43">
        <v>-0.01129461987421345</v>
      </c>
      <c r="IP43">
        <v>0.00116580895745559</v>
      </c>
      <c r="IQ43">
        <v>-1.679085872906199E-05</v>
      </c>
      <c r="IR43">
        <v>2</v>
      </c>
      <c r="IS43">
        <v>2290</v>
      </c>
      <c r="IT43">
        <v>0</v>
      </c>
      <c r="IU43">
        <v>32</v>
      </c>
      <c r="IV43">
        <v>3.3</v>
      </c>
      <c r="IW43">
        <v>2.9</v>
      </c>
      <c r="IX43">
        <v>0.666504</v>
      </c>
      <c r="IY43">
        <v>2.25098</v>
      </c>
      <c r="IZ43">
        <v>1.39648</v>
      </c>
      <c r="JA43">
        <v>2.35962</v>
      </c>
      <c r="JB43">
        <v>1.49536</v>
      </c>
      <c r="JC43">
        <v>2.27783</v>
      </c>
      <c r="JD43">
        <v>38.2812</v>
      </c>
      <c r="JE43">
        <v>24.035</v>
      </c>
      <c r="JF43">
        <v>18</v>
      </c>
      <c r="JG43">
        <v>514.654</v>
      </c>
      <c r="JH43">
        <v>422.73</v>
      </c>
      <c r="JI43">
        <v>22.5843</v>
      </c>
      <c r="JJ43">
        <v>29.265</v>
      </c>
      <c r="JK43">
        <v>29.9999</v>
      </c>
      <c r="JL43">
        <v>29.2045</v>
      </c>
      <c r="JM43">
        <v>29.128</v>
      </c>
      <c r="JN43">
        <v>13.3589</v>
      </c>
      <c r="JO43">
        <v>55.4487</v>
      </c>
      <c r="JP43">
        <v>0</v>
      </c>
      <c r="JQ43">
        <v>22.5855</v>
      </c>
      <c r="JR43">
        <v>232.948</v>
      </c>
      <c r="JS43">
        <v>8.99011</v>
      </c>
      <c r="JT43">
        <v>100.283</v>
      </c>
      <c r="JU43">
        <v>100.198</v>
      </c>
    </row>
    <row r="44" spans="1:281">
      <c r="A44">
        <v>28</v>
      </c>
      <c r="B44">
        <v>1651857219.6</v>
      </c>
      <c r="C44">
        <v>219</v>
      </c>
      <c r="D44" t="s">
        <v>483</v>
      </c>
      <c r="E44" t="s">
        <v>484</v>
      </c>
      <c r="F44">
        <v>2</v>
      </c>
      <c r="G44" t="s">
        <v>413</v>
      </c>
      <c r="H44" t="s">
        <v>414</v>
      </c>
      <c r="I44">
        <v>1651857218.225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258.3824439640915</v>
      </c>
      <c r="AK44">
        <v>253.7334787878787</v>
      </c>
      <c r="AL44">
        <v>-3.042880446762248</v>
      </c>
      <c r="AM44">
        <v>66.38384787954378</v>
      </c>
      <c r="AN44">
        <f>(AP44 - AO44 + DI44*1E3/(8.314*(DK44+273.15)) * AR44/DH44 * AQ44) * DH44/(100*CV44) * 1000/(1000 - AP44)</f>
        <v>0</v>
      </c>
      <c r="AO44">
        <v>8.960894447280124</v>
      </c>
      <c r="AP44">
        <v>18.36575323529412</v>
      </c>
      <c r="AQ44">
        <v>8.004073661802179E-05</v>
      </c>
      <c r="AR44">
        <v>80.44866334591464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1238</v>
      </c>
      <c r="CA44">
        <v>300</v>
      </c>
      <c r="CB44">
        <v>300</v>
      </c>
      <c r="CC44">
        <v>300</v>
      </c>
      <c r="CD44">
        <v>10440.5</v>
      </c>
      <c r="CE44">
        <v>1411.69</v>
      </c>
      <c r="CF44">
        <v>-0.00735121</v>
      </c>
      <c r="CG44">
        <v>-0.77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1651857218.225</v>
      </c>
      <c r="DB44">
        <v>251.6585</v>
      </c>
      <c r="DC44">
        <v>251.72875</v>
      </c>
      <c r="DD44">
        <v>18.3637</v>
      </c>
      <c r="DE44">
        <v>8.960345</v>
      </c>
      <c r="DF44">
        <v>252.65625</v>
      </c>
      <c r="DG44">
        <v>18.358075</v>
      </c>
      <c r="DH44">
        <v>500.06625</v>
      </c>
      <c r="DI44">
        <v>90.1019</v>
      </c>
      <c r="DJ44">
        <v>0.1002055</v>
      </c>
      <c r="DK44">
        <v>25.7252</v>
      </c>
      <c r="DL44">
        <v>24.989875</v>
      </c>
      <c r="DM44">
        <v>999.9</v>
      </c>
      <c r="DN44">
        <v>0</v>
      </c>
      <c r="DO44">
        <v>0</v>
      </c>
      <c r="DP44">
        <v>10014.375</v>
      </c>
      <c r="DQ44">
        <v>0</v>
      </c>
      <c r="DR44">
        <v>3.20383</v>
      </c>
      <c r="DS44">
        <v>-0.07051094999999999</v>
      </c>
      <c r="DT44">
        <v>256.366</v>
      </c>
      <c r="DU44">
        <v>254.00475</v>
      </c>
      <c r="DV44">
        <v>9.403345000000002</v>
      </c>
      <c r="DW44">
        <v>251.72875</v>
      </c>
      <c r="DX44">
        <v>8.960345</v>
      </c>
      <c r="DY44">
        <v>1.6546025</v>
      </c>
      <c r="DZ44">
        <v>0.8073442500000001</v>
      </c>
      <c r="EA44">
        <v>14.47695</v>
      </c>
      <c r="EB44">
        <v>3.83709</v>
      </c>
      <c r="EC44">
        <v>1499.97</v>
      </c>
      <c r="ED44">
        <v>0.973007</v>
      </c>
      <c r="EE44">
        <v>0.0269931</v>
      </c>
      <c r="EF44">
        <v>0</v>
      </c>
      <c r="EG44">
        <v>1015.5175</v>
      </c>
      <c r="EH44">
        <v>5.00097</v>
      </c>
      <c r="EI44">
        <v>15062.875</v>
      </c>
      <c r="EJ44">
        <v>12491.375</v>
      </c>
      <c r="EK44">
        <v>37.562</v>
      </c>
      <c r="EL44">
        <v>39.062</v>
      </c>
      <c r="EM44">
        <v>38</v>
      </c>
      <c r="EN44">
        <v>38.812</v>
      </c>
      <c r="EO44">
        <v>38.437</v>
      </c>
      <c r="EP44">
        <v>1454.62</v>
      </c>
      <c r="EQ44">
        <v>40.35</v>
      </c>
      <c r="ER44">
        <v>0</v>
      </c>
      <c r="ES44">
        <v>218.4000000953674</v>
      </c>
      <c r="ET44">
        <v>0</v>
      </c>
      <c r="EU44">
        <v>1031.6592</v>
      </c>
      <c r="EV44">
        <v>-163.3823074334069</v>
      </c>
      <c r="EW44">
        <v>-2416.93076550865</v>
      </c>
      <c r="EX44">
        <v>15305.832</v>
      </c>
      <c r="EY44">
        <v>15</v>
      </c>
      <c r="EZ44">
        <v>1651857041.1</v>
      </c>
      <c r="FA44" t="s">
        <v>419</v>
      </c>
      <c r="FB44">
        <v>1651857019.6</v>
      </c>
      <c r="FC44">
        <v>1651857041.1</v>
      </c>
      <c r="FD44">
        <v>1</v>
      </c>
      <c r="FE44">
        <v>0.545</v>
      </c>
      <c r="FF44">
        <v>-0.002</v>
      </c>
      <c r="FG44">
        <v>-1.271</v>
      </c>
      <c r="FH44">
        <v>-0.09</v>
      </c>
      <c r="FI44">
        <v>400</v>
      </c>
      <c r="FJ44">
        <v>10</v>
      </c>
      <c r="FK44">
        <v>0.1</v>
      </c>
      <c r="FL44">
        <v>0.02</v>
      </c>
      <c r="FM44">
        <v>-1.890806125</v>
      </c>
      <c r="FN44">
        <v>13.43810963977486</v>
      </c>
      <c r="FO44">
        <v>1.301227437024312</v>
      </c>
      <c r="FP44">
        <v>-1</v>
      </c>
      <c r="FQ44">
        <v>9.39067225</v>
      </c>
      <c r="FR44">
        <v>0.06045354596622505</v>
      </c>
      <c r="FS44">
        <v>0.006058560261110056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432</v>
      </c>
      <c r="GB44">
        <v>2.97988</v>
      </c>
      <c r="GC44">
        <v>2.70638</v>
      </c>
      <c r="GD44">
        <v>0.0611433</v>
      </c>
      <c r="GE44">
        <v>0.0602966</v>
      </c>
      <c r="GF44">
        <v>0.08780159999999999</v>
      </c>
      <c r="GG44">
        <v>0.0508876</v>
      </c>
      <c r="GH44">
        <v>29618.2</v>
      </c>
      <c r="GI44">
        <v>29711.1</v>
      </c>
      <c r="GJ44">
        <v>29336.9</v>
      </c>
      <c r="GK44">
        <v>29251.3</v>
      </c>
      <c r="GL44">
        <v>35438.4</v>
      </c>
      <c r="GM44">
        <v>36973</v>
      </c>
      <c r="GN44">
        <v>41296.4</v>
      </c>
      <c r="GO44">
        <v>41745.4</v>
      </c>
      <c r="GP44">
        <v>1.95368</v>
      </c>
      <c r="GQ44">
        <v>1.83328</v>
      </c>
      <c r="GR44">
        <v>-0.0366196</v>
      </c>
      <c r="GS44">
        <v>0</v>
      </c>
      <c r="GT44">
        <v>25.5929</v>
      </c>
      <c r="GU44">
        <v>999.9</v>
      </c>
      <c r="GV44">
        <v>39.2</v>
      </c>
      <c r="GW44">
        <v>33.7</v>
      </c>
      <c r="GX44">
        <v>22.8621</v>
      </c>
      <c r="GY44">
        <v>62.1876</v>
      </c>
      <c r="GZ44">
        <v>35.4247</v>
      </c>
      <c r="HA44">
        <v>1</v>
      </c>
      <c r="HB44">
        <v>0.147538</v>
      </c>
      <c r="HC44">
        <v>2.27099</v>
      </c>
      <c r="HD44">
        <v>20.3182</v>
      </c>
      <c r="HE44">
        <v>5.21714</v>
      </c>
      <c r="HF44">
        <v>12.0099</v>
      </c>
      <c r="HG44">
        <v>4.9879</v>
      </c>
      <c r="HH44">
        <v>3.28853</v>
      </c>
      <c r="HI44">
        <v>846.4</v>
      </c>
      <c r="HJ44">
        <v>8421.4</v>
      </c>
      <c r="HK44">
        <v>5139.4</v>
      </c>
      <c r="HL44">
        <v>22.8</v>
      </c>
      <c r="HM44">
        <v>1.86752</v>
      </c>
      <c r="HN44">
        <v>1.86647</v>
      </c>
      <c r="HO44">
        <v>1.866</v>
      </c>
      <c r="HP44">
        <v>1.8659</v>
      </c>
      <c r="HQ44">
        <v>1.86768</v>
      </c>
      <c r="HR44">
        <v>1.87027</v>
      </c>
      <c r="HS44">
        <v>1.8689</v>
      </c>
      <c r="HT44">
        <v>1.87027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-0.99</v>
      </c>
      <c r="II44">
        <v>0.0057</v>
      </c>
      <c r="IJ44">
        <v>-0.4995723906072</v>
      </c>
      <c r="IK44">
        <v>-0.002077099775823331</v>
      </c>
      <c r="IL44">
        <v>4.593143279902166E-07</v>
      </c>
      <c r="IM44">
        <v>-1.865383991892071E-10</v>
      </c>
      <c r="IN44">
        <v>-0.07605349583632376</v>
      </c>
      <c r="IO44">
        <v>-0.01129461987421345</v>
      </c>
      <c r="IP44">
        <v>0.00116580895745559</v>
      </c>
      <c r="IQ44">
        <v>-1.679085872906199E-05</v>
      </c>
      <c r="IR44">
        <v>2</v>
      </c>
      <c r="IS44">
        <v>2290</v>
      </c>
      <c r="IT44">
        <v>0</v>
      </c>
      <c r="IU44">
        <v>32</v>
      </c>
      <c r="IV44">
        <v>3.3</v>
      </c>
      <c r="IW44">
        <v>3</v>
      </c>
      <c r="IX44">
        <v>0.653076</v>
      </c>
      <c r="IY44">
        <v>2.25098</v>
      </c>
      <c r="IZ44">
        <v>1.39648</v>
      </c>
      <c r="JA44">
        <v>2.35962</v>
      </c>
      <c r="JB44">
        <v>1.49536</v>
      </c>
      <c r="JC44">
        <v>2.35596</v>
      </c>
      <c r="JD44">
        <v>38.2812</v>
      </c>
      <c r="JE44">
        <v>24.0437</v>
      </c>
      <c r="JF44">
        <v>18</v>
      </c>
      <c r="JG44">
        <v>514.703</v>
      </c>
      <c r="JH44">
        <v>422.804</v>
      </c>
      <c r="JI44">
        <v>22.5876</v>
      </c>
      <c r="JJ44">
        <v>29.2631</v>
      </c>
      <c r="JK44">
        <v>29.9999</v>
      </c>
      <c r="JL44">
        <v>29.2045</v>
      </c>
      <c r="JM44">
        <v>29.128</v>
      </c>
      <c r="JN44">
        <v>13.0742</v>
      </c>
      <c r="JO44">
        <v>55.4487</v>
      </c>
      <c r="JP44">
        <v>0</v>
      </c>
      <c r="JQ44">
        <v>22.5925</v>
      </c>
      <c r="JR44">
        <v>225.957</v>
      </c>
      <c r="JS44">
        <v>8.98926</v>
      </c>
      <c r="JT44">
        <v>100.284</v>
      </c>
      <c r="JU44">
        <v>100.197</v>
      </c>
    </row>
    <row r="45" spans="1:281">
      <c r="A45">
        <v>29</v>
      </c>
      <c r="B45">
        <v>1651857221.6</v>
      </c>
      <c r="C45">
        <v>221</v>
      </c>
      <c r="D45" t="s">
        <v>485</v>
      </c>
      <c r="E45" t="s">
        <v>486</v>
      </c>
      <c r="F45">
        <v>2</v>
      </c>
      <c r="G45" t="s">
        <v>413</v>
      </c>
      <c r="H45" t="s">
        <v>414</v>
      </c>
      <c r="I45">
        <v>1651857220.6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252.0990803599216</v>
      </c>
      <c r="AK45">
        <v>247.7336787878787</v>
      </c>
      <c r="AL45">
        <v>-3.003896706117968</v>
      </c>
      <c r="AM45">
        <v>66.38384787954378</v>
      </c>
      <c r="AN45">
        <f>(AP45 - AO45 + DI45*1E3/(8.314*(DK45+273.15)) * AR45/DH45 * AQ45) * DH45/(100*CV45) * 1000/(1000 - AP45)</f>
        <v>0</v>
      </c>
      <c r="AO45">
        <v>8.960346472956148</v>
      </c>
      <c r="AP45">
        <v>18.3672938235294</v>
      </c>
      <c r="AQ45">
        <v>0.0002065711726025171</v>
      </c>
      <c r="AR45">
        <v>80.44866334591464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1238</v>
      </c>
      <c r="CA45">
        <v>300</v>
      </c>
      <c r="CB45">
        <v>300</v>
      </c>
      <c r="CC45">
        <v>300</v>
      </c>
      <c r="CD45">
        <v>10440.5</v>
      </c>
      <c r="CE45">
        <v>1411.69</v>
      </c>
      <c r="CF45">
        <v>-0.00735121</v>
      </c>
      <c r="CG45">
        <v>-0.77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1651857220.6</v>
      </c>
      <c r="DB45">
        <v>244.6513333333333</v>
      </c>
      <c r="DC45">
        <v>244.2343333333333</v>
      </c>
      <c r="DD45">
        <v>18.36663333333333</v>
      </c>
      <c r="DE45">
        <v>8.9604</v>
      </c>
      <c r="DF45">
        <v>245.636</v>
      </c>
      <c r="DG45">
        <v>18.361</v>
      </c>
      <c r="DH45">
        <v>500.0726666666667</v>
      </c>
      <c r="DI45">
        <v>90.09953333333333</v>
      </c>
      <c r="DJ45">
        <v>0.1000460333333333</v>
      </c>
      <c r="DK45">
        <v>25.72483333333333</v>
      </c>
      <c r="DL45">
        <v>24.99436666666667</v>
      </c>
      <c r="DM45">
        <v>999.9</v>
      </c>
      <c r="DN45">
        <v>0</v>
      </c>
      <c r="DO45">
        <v>0</v>
      </c>
      <c r="DP45">
        <v>10010.86666666667</v>
      </c>
      <c r="DQ45">
        <v>0</v>
      </c>
      <c r="DR45">
        <v>3.20383</v>
      </c>
      <c r="DS45">
        <v>0.416977</v>
      </c>
      <c r="DT45">
        <v>249.229</v>
      </c>
      <c r="DU45">
        <v>246.4423333333333</v>
      </c>
      <c r="DV45">
        <v>9.406239999999999</v>
      </c>
      <c r="DW45">
        <v>244.2343333333333</v>
      </c>
      <c r="DX45">
        <v>8.9604</v>
      </c>
      <c r="DY45">
        <v>1.654823333333334</v>
      </c>
      <c r="DZ45">
        <v>0.807328</v>
      </c>
      <c r="EA45">
        <v>14.47903333333333</v>
      </c>
      <c r="EB45">
        <v>3.836806666666666</v>
      </c>
      <c r="EC45">
        <v>1499.96</v>
      </c>
      <c r="ED45">
        <v>0.973007</v>
      </c>
      <c r="EE45">
        <v>0.0269931</v>
      </c>
      <c r="EF45">
        <v>0</v>
      </c>
      <c r="EG45">
        <v>1007.623333333333</v>
      </c>
      <c r="EH45">
        <v>5.00097</v>
      </c>
      <c r="EI45">
        <v>14946.56666666667</v>
      </c>
      <c r="EJ45">
        <v>12491.26666666667</v>
      </c>
      <c r="EK45">
        <v>37.562</v>
      </c>
      <c r="EL45">
        <v>39.062</v>
      </c>
      <c r="EM45">
        <v>38</v>
      </c>
      <c r="EN45">
        <v>38.812</v>
      </c>
      <c r="EO45">
        <v>38.437</v>
      </c>
      <c r="EP45">
        <v>1454.61</v>
      </c>
      <c r="EQ45">
        <v>40.35</v>
      </c>
      <c r="ER45">
        <v>0</v>
      </c>
      <c r="ES45">
        <v>220.2000000476837</v>
      </c>
      <c r="ET45">
        <v>0</v>
      </c>
      <c r="EU45">
        <v>1027.505</v>
      </c>
      <c r="EV45">
        <v>-167.7528206146739</v>
      </c>
      <c r="EW45">
        <v>-2493.32649735447</v>
      </c>
      <c r="EX45">
        <v>15244.06153846154</v>
      </c>
      <c r="EY45">
        <v>15</v>
      </c>
      <c r="EZ45">
        <v>1651857041.1</v>
      </c>
      <c r="FA45" t="s">
        <v>419</v>
      </c>
      <c r="FB45">
        <v>1651857019.6</v>
      </c>
      <c r="FC45">
        <v>1651857041.1</v>
      </c>
      <c r="FD45">
        <v>1</v>
      </c>
      <c r="FE45">
        <v>0.545</v>
      </c>
      <c r="FF45">
        <v>-0.002</v>
      </c>
      <c r="FG45">
        <v>-1.271</v>
      </c>
      <c r="FH45">
        <v>-0.09</v>
      </c>
      <c r="FI45">
        <v>400</v>
      </c>
      <c r="FJ45">
        <v>10</v>
      </c>
      <c r="FK45">
        <v>0.1</v>
      </c>
      <c r="FL45">
        <v>0.02</v>
      </c>
      <c r="FM45">
        <v>-1.26905647</v>
      </c>
      <c r="FN45">
        <v>12.11561358348969</v>
      </c>
      <c r="FO45">
        <v>1.178435804674025</v>
      </c>
      <c r="FP45">
        <v>-1</v>
      </c>
      <c r="FQ45">
        <v>9.394022249999999</v>
      </c>
      <c r="FR45">
        <v>0.07115380863038333</v>
      </c>
      <c r="FS45">
        <v>0.00706914792867577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432</v>
      </c>
      <c r="GB45">
        <v>2.97983</v>
      </c>
      <c r="GC45">
        <v>2.70629</v>
      </c>
      <c r="GD45">
        <v>0.0598946</v>
      </c>
      <c r="GE45">
        <v>0.0589562</v>
      </c>
      <c r="GF45">
        <v>0.0878076</v>
      </c>
      <c r="GG45">
        <v>0.0508887</v>
      </c>
      <c r="GH45">
        <v>29657.9</v>
      </c>
      <c r="GI45">
        <v>29753.1</v>
      </c>
      <c r="GJ45">
        <v>29337.2</v>
      </c>
      <c r="GK45">
        <v>29250.9</v>
      </c>
      <c r="GL45">
        <v>35438.5</v>
      </c>
      <c r="GM45">
        <v>36972.8</v>
      </c>
      <c r="GN45">
        <v>41296.8</v>
      </c>
      <c r="GO45">
        <v>41745.2</v>
      </c>
      <c r="GP45">
        <v>1.9535</v>
      </c>
      <c r="GQ45">
        <v>1.8332</v>
      </c>
      <c r="GR45">
        <v>-0.0364184</v>
      </c>
      <c r="GS45">
        <v>0</v>
      </c>
      <c r="GT45">
        <v>25.5929</v>
      </c>
      <c r="GU45">
        <v>999.9</v>
      </c>
      <c r="GV45">
        <v>39.2</v>
      </c>
      <c r="GW45">
        <v>33.8</v>
      </c>
      <c r="GX45">
        <v>22.986</v>
      </c>
      <c r="GY45">
        <v>62.4676</v>
      </c>
      <c r="GZ45">
        <v>35.2484</v>
      </c>
      <c r="HA45">
        <v>1</v>
      </c>
      <c r="HB45">
        <v>0.147538</v>
      </c>
      <c r="HC45">
        <v>2.26579</v>
      </c>
      <c r="HD45">
        <v>20.3181</v>
      </c>
      <c r="HE45">
        <v>5.21669</v>
      </c>
      <c r="HF45">
        <v>12.0099</v>
      </c>
      <c r="HG45">
        <v>4.9877</v>
      </c>
      <c r="HH45">
        <v>3.28855</v>
      </c>
      <c r="HI45">
        <v>846.4</v>
      </c>
      <c r="HJ45">
        <v>8421.4</v>
      </c>
      <c r="HK45">
        <v>5139.4</v>
      </c>
      <c r="HL45">
        <v>22.8</v>
      </c>
      <c r="HM45">
        <v>1.86752</v>
      </c>
      <c r="HN45">
        <v>1.86647</v>
      </c>
      <c r="HO45">
        <v>1.866</v>
      </c>
      <c r="HP45">
        <v>1.86589</v>
      </c>
      <c r="HQ45">
        <v>1.86769</v>
      </c>
      <c r="HR45">
        <v>1.87027</v>
      </c>
      <c r="HS45">
        <v>1.8689</v>
      </c>
      <c r="HT45">
        <v>1.87027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-0.98</v>
      </c>
      <c r="II45">
        <v>0.0057</v>
      </c>
      <c r="IJ45">
        <v>-0.4995723906072</v>
      </c>
      <c r="IK45">
        <v>-0.002077099775823331</v>
      </c>
      <c r="IL45">
        <v>4.593143279902166E-07</v>
      </c>
      <c r="IM45">
        <v>-1.865383991892071E-10</v>
      </c>
      <c r="IN45">
        <v>-0.07605349583632376</v>
      </c>
      <c r="IO45">
        <v>-0.01129461987421345</v>
      </c>
      <c r="IP45">
        <v>0.00116580895745559</v>
      </c>
      <c r="IQ45">
        <v>-1.679085872906199E-05</v>
      </c>
      <c r="IR45">
        <v>2</v>
      </c>
      <c r="IS45">
        <v>2290</v>
      </c>
      <c r="IT45">
        <v>0</v>
      </c>
      <c r="IU45">
        <v>32</v>
      </c>
      <c r="IV45">
        <v>3.4</v>
      </c>
      <c r="IW45">
        <v>3</v>
      </c>
      <c r="IX45">
        <v>0.638428</v>
      </c>
      <c r="IY45">
        <v>2.25464</v>
      </c>
      <c r="IZ45">
        <v>1.39648</v>
      </c>
      <c r="JA45">
        <v>2.3584</v>
      </c>
      <c r="JB45">
        <v>1.49536</v>
      </c>
      <c r="JC45">
        <v>2.28027</v>
      </c>
      <c r="JD45">
        <v>38.2812</v>
      </c>
      <c r="JE45">
        <v>24.035</v>
      </c>
      <c r="JF45">
        <v>18</v>
      </c>
      <c r="JG45">
        <v>514.588</v>
      </c>
      <c r="JH45">
        <v>422.751</v>
      </c>
      <c r="JI45">
        <v>22.5903</v>
      </c>
      <c r="JJ45">
        <v>29.2619</v>
      </c>
      <c r="JK45">
        <v>29.9999</v>
      </c>
      <c r="JL45">
        <v>29.2044</v>
      </c>
      <c r="JM45">
        <v>29.1267</v>
      </c>
      <c r="JN45">
        <v>12.7868</v>
      </c>
      <c r="JO45">
        <v>55.4487</v>
      </c>
      <c r="JP45">
        <v>0</v>
      </c>
      <c r="JQ45">
        <v>22.5925</v>
      </c>
      <c r="JR45">
        <v>219.262</v>
      </c>
      <c r="JS45">
        <v>8.98978</v>
      </c>
      <c r="JT45">
        <v>100.285</v>
      </c>
      <c r="JU45">
        <v>100.196</v>
      </c>
    </row>
    <row r="46" spans="1:281">
      <c r="A46">
        <v>30</v>
      </c>
      <c r="B46">
        <v>1651857223.6</v>
      </c>
      <c r="C46">
        <v>223</v>
      </c>
      <c r="D46" t="s">
        <v>487</v>
      </c>
      <c r="E46" t="s">
        <v>488</v>
      </c>
      <c r="F46">
        <v>2</v>
      </c>
      <c r="G46" t="s">
        <v>413</v>
      </c>
      <c r="H46" t="s">
        <v>414</v>
      </c>
      <c r="I46">
        <v>1651857222.225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245.7003039463626</v>
      </c>
      <c r="AK46">
        <v>241.7221575757574</v>
      </c>
      <c r="AL46">
        <v>-3.001607380004676</v>
      </c>
      <c r="AM46">
        <v>66.38384787954378</v>
      </c>
      <c r="AN46">
        <f>(AP46 - AO46 + DI46*1E3/(8.314*(DK46+273.15)) * AR46/DH46 * AQ46) * DH46/(100*CV46) * 1000/(1000 - AP46)</f>
        <v>0</v>
      </c>
      <c r="AO46">
        <v>8.960386006857542</v>
      </c>
      <c r="AP46">
        <v>18.36806999999999</v>
      </c>
      <c r="AQ46">
        <v>0.0001909786245756022</v>
      </c>
      <c r="AR46">
        <v>80.44866334591464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1238</v>
      </c>
      <c r="CA46">
        <v>300</v>
      </c>
      <c r="CB46">
        <v>300</v>
      </c>
      <c r="CC46">
        <v>300</v>
      </c>
      <c r="CD46">
        <v>10440.5</v>
      </c>
      <c r="CE46">
        <v>1411.69</v>
      </c>
      <c r="CF46">
        <v>-0.00735121</v>
      </c>
      <c r="CG46">
        <v>-0.77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1651857222.225</v>
      </c>
      <c r="DB46">
        <v>239.8625</v>
      </c>
      <c r="DC46">
        <v>238.9715</v>
      </c>
      <c r="DD46">
        <v>18.367675</v>
      </c>
      <c r="DE46">
        <v>8.960295</v>
      </c>
      <c r="DF46">
        <v>240.8385</v>
      </c>
      <c r="DG46">
        <v>18.362025</v>
      </c>
      <c r="DH46">
        <v>500.0312499999999</v>
      </c>
      <c r="DI46">
        <v>90.100725</v>
      </c>
      <c r="DJ46">
        <v>0.10004035</v>
      </c>
      <c r="DK46">
        <v>25.72345</v>
      </c>
      <c r="DL46">
        <v>24.99795</v>
      </c>
      <c r="DM46">
        <v>999.9</v>
      </c>
      <c r="DN46">
        <v>0</v>
      </c>
      <c r="DO46">
        <v>0</v>
      </c>
      <c r="DP46">
        <v>10000.475</v>
      </c>
      <c r="DQ46">
        <v>0</v>
      </c>
      <c r="DR46">
        <v>3.20383</v>
      </c>
      <c r="DS46">
        <v>0.8911255</v>
      </c>
      <c r="DT46">
        <v>244.3505</v>
      </c>
      <c r="DU46">
        <v>241.132</v>
      </c>
      <c r="DV46">
        <v>9.4073925</v>
      </c>
      <c r="DW46">
        <v>238.9715</v>
      </c>
      <c r="DX46">
        <v>8.960295</v>
      </c>
      <c r="DY46">
        <v>1.65494</v>
      </c>
      <c r="DZ46">
        <v>0.807329</v>
      </c>
      <c r="EA46">
        <v>14.480125</v>
      </c>
      <c r="EB46">
        <v>3.836825</v>
      </c>
      <c r="EC46">
        <v>1499.96</v>
      </c>
      <c r="ED46">
        <v>0.973007</v>
      </c>
      <c r="EE46">
        <v>0.0269931</v>
      </c>
      <c r="EF46">
        <v>0</v>
      </c>
      <c r="EG46">
        <v>1002.15775</v>
      </c>
      <c r="EH46">
        <v>5.00097</v>
      </c>
      <c r="EI46">
        <v>14869.575</v>
      </c>
      <c r="EJ46">
        <v>12491.3</v>
      </c>
      <c r="EK46">
        <v>37.562</v>
      </c>
      <c r="EL46">
        <v>39.062</v>
      </c>
      <c r="EM46">
        <v>37.95274999999999</v>
      </c>
      <c r="EN46">
        <v>38.812</v>
      </c>
      <c r="EO46">
        <v>38.437</v>
      </c>
      <c r="EP46">
        <v>1454.61</v>
      </c>
      <c r="EQ46">
        <v>40.35</v>
      </c>
      <c r="ER46">
        <v>0</v>
      </c>
      <c r="ES46">
        <v>222.6000001430511</v>
      </c>
      <c r="ET46">
        <v>0</v>
      </c>
      <c r="EU46">
        <v>1020.673038461538</v>
      </c>
      <c r="EV46">
        <v>-175.473059945266</v>
      </c>
      <c r="EW46">
        <v>-2603.976070231876</v>
      </c>
      <c r="EX46">
        <v>15142.62692307692</v>
      </c>
      <c r="EY46">
        <v>15</v>
      </c>
      <c r="EZ46">
        <v>1651857041.1</v>
      </c>
      <c r="FA46" t="s">
        <v>419</v>
      </c>
      <c r="FB46">
        <v>1651857019.6</v>
      </c>
      <c r="FC46">
        <v>1651857041.1</v>
      </c>
      <c r="FD46">
        <v>1</v>
      </c>
      <c r="FE46">
        <v>0.545</v>
      </c>
      <c r="FF46">
        <v>-0.002</v>
      </c>
      <c r="FG46">
        <v>-1.271</v>
      </c>
      <c r="FH46">
        <v>-0.09</v>
      </c>
      <c r="FI46">
        <v>400</v>
      </c>
      <c r="FJ46">
        <v>10</v>
      </c>
      <c r="FK46">
        <v>0.1</v>
      </c>
      <c r="FL46">
        <v>0.02</v>
      </c>
      <c r="FM46">
        <v>-1.060658995</v>
      </c>
      <c r="FN46">
        <v>11.83728211857411</v>
      </c>
      <c r="FO46">
        <v>1.150793728657179</v>
      </c>
      <c r="FP46">
        <v>-1</v>
      </c>
      <c r="FQ46">
        <v>9.395181249999998</v>
      </c>
      <c r="FR46">
        <v>0.07299771106938165</v>
      </c>
      <c r="FS46">
        <v>0.007234409162986293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432</v>
      </c>
      <c r="GB46">
        <v>2.97958</v>
      </c>
      <c r="GC46">
        <v>2.70621</v>
      </c>
      <c r="GD46">
        <v>0.0586354</v>
      </c>
      <c r="GE46">
        <v>0.0575667</v>
      </c>
      <c r="GF46">
        <v>0.08781600000000001</v>
      </c>
      <c r="GG46">
        <v>0.0508853</v>
      </c>
      <c r="GH46">
        <v>29697.9</v>
      </c>
      <c r="GI46">
        <v>29797</v>
      </c>
      <c r="GJ46">
        <v>29337.5</v>
      </c>
      <c r="GK46">
        <v>29250.9</v>
      </c>
      <c r="GL46">
        <v>35438.5</v>
      </c>
      <c r="GM46">
        <v>36972.7</v>
      </c>
      <c r="GN46">
        <v>41297.3</v>
      </c>
      <c r="GO46">
        <v>41745</v>
      </c>
      <c r="GP46">
        <v>1.95315</v>
      </c>
      <c r="GQ46">
        <v>1.83317</v>
      </c>
      <c r="GR46">
        <v>-0.0361949</v>
      </c>
      <c r="GS46">
        <v>0</v>
      </c>
      <c r="GT46">
        <v>25.5929</v>
      </c>
      <c r="GU46">
        <v>999.9</v>
      </c>
      <c r="GV46">
        <v>39.2</v>
      </c>
      <c r="GW46">
        <v>33.8</v>
      </c>
      <c r="GX46">
        <v>22.9854</v>
      </c>
      <c r="GY46">
        <v>62.4476</v>
      </c>
      <c r="GZ46">
        <v>35.601</v>
      </c>
      <c r="HA46">
        <v>1</v>
      </c>
      <c r="HB46">
        <v>0.14733</v>
      </c>
      <c r="HC46">
        <v>2.27181</v>
      </c>
      <c r="HD46">
        <v>20.3179</v>
      </c>
      <c r="HE46">
        <v>5.21639</v>
      </c>
      <c r="HF46">
        <v>12.0099</v>
      </c>
      <c r="HG46">
        <v>4.9875</v>
      </c>
      <c r="HH46">
        <v>3.2885</v>
      </c>
      <c r="HI46">
        <v>846.4</v>
      </c>
      <c r="HJ46">
        <v>8421.4</v>
      </c>
      <c r="HK46">
        <v>5139.4</v>
      </c>
      <c r="HL46">
        <v>22.8</v>
      </c>
      <c r="HM46">
        <v>1.86752</v>
      </c>
      <c r="HN46">
        <v>1.86647</v>
      </c>
      <c r="HO46">
        <v>1.866</v>
      </c>
      <c r="HP46">
        <v>1.86592</v>
      </c>
      <c r="HQ46">
        <v>1.8677</v>
      </c>
      <c r="HR46">
        <v>1.87027</v>
      </c>
      <c r="HS46">
        <v>1.8689</v>
      </c>
      <c r="HT46">
        <v>1.87027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-0.968</v>
      </c>
      <c r="II46">
        <v>0.0057</v>
      </c>
      <c r="IJ46">
        <v>-0.4995723906072</v>
      </c>
      <c r="IK46">
        <v>-0.002077099775823331</v>
      </c>
      <c r="IL46">
        <v>4.593143279902166E-07</v>
      </c>
      <c r="IM46">
        <v>-1.865383991892071E-10</v>
      </c>
      <c r="IN46">
        <v>-0.07605349583632376</v>
      </c>
      <c r="IO46">
        <v>-0.01129461987421345</v>
      </c>
      <c r="IP46">
        <v>0.00116580895745559</v>
      </c>
      <c r="IQ46">
        <v>-1.679085872906199E-05</v>
      </c>
      <c r="IR46">
        <v>2</v>
      </c>
      <c r="IS46">
        <v>2290</v>
      </c>
      <c r="IT46">
        <v>0</v>
      </c>
      <c r="IU46">
        <v>32</v>
      </c>
      <c r="IV46">
        <v>3.4</v>
      </c>
      <c r="IW46">
        <v>3</v>
      </c>
      <c r="IX46">
        <v>0.625</v>
      </c>
      <c r="IY46">
        <v>2.24731</v>
      </c>
      <c r="IZ46">
        <v>1.39648</v>
      </c>
      <c r="JA46">
        <v>2.35962</v>
      </c>
      <c r="JB46">
        <v>1.49536</v>
      </c>
      <c r="JC46">
        <v>2.34863</v>
      </c>
      <c r="JD46">
        <v>38.2812</v>
      </c>
      <c r="JE46">
        <v>24.0437</v>
      </c>
      <c r="JF46">
        <v>18</v>
      </c>
      <c r="JG46">
        <v>514.346</v>
      </c>
      <c r="JH46">
        <v>422.728</v>
      </c>
      <c r="JI46">
        <v>22.5934</v>
      </c>
      <c r="JJ46">
        <v>29.2606</v>
      </c>
      <c r="JK46">
        <v>29.9999</v>
      </c>
      <c r="JL46">
        <v>29.2031</v>
      </c>
      <c r="JM46">
        <v>29.1255</v>
      </c>
      <c r="JN46">
        <v>12.5014</v>
      </c>
      <c r="JO46">
        <v>55.4487</v>
      </c>
      <c r="JP46">
        <v>0</v>
      </c>
      <c r="JQ46">
        <v>22.596</v>
      </c>
      <c r="JR46">
        <v>212.561</v>
      </c>
      <c r="JS46">
        <v>8.988630000000001</v>
      </c>
      <c r="JT46">
        <v>100.286</v>
      </c>
      <c r="JU46">
        <v>100.196</v>
      </c>
    </row>
    <row r="47" spans="1:281">
      <c r="A47">
        <v>31</v>
      </c>
      <c r="B47">
        <v>1651857225.6</v>
      </c>
      <c r="C47">
        <v>225</v>
      </c>
      <c r="D47" t="s">
        <v>489</v>
      </c>
      <c r="E47" t="s">
        <v>490</v>
      </c>
      <c r="F47">
        <v>2</v>
      </c>
      <c r="G47" t="s">
        <v>413</v>
      </c>
      <c r="H47" t="s">
        <v>414</v>
      </c>
      <c r="I47">
        <v>1651857224.6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239.1358067338543</v>
      </c>
      <c r="AK47">
        <v>235.6874666666667</v>
      </c>
      <c r="AL47">
        <v>-3.012338625808224</v>
      </c>
      <c r="AM47">
        <v>66.38384787954378</v>
      </c>
      <c r="AN47">
        <f>(AP47 - AO47 + DI47*1E3/(8.314*(DK47+273.15)) * AR47/DH47 * AQ47) * DH47/(100*CV47) * 1000/(1000 - AP47)</f>
        <v>0</v>
      </c>
      <c r="AO47">
        <v>8.960427624312578</v>
      </c>
      <c r="AP47">
        <v>18.36999735294118</v>
      </c>
      <c r="AQ47">
        <v>9.453134393145805E-05</v>
      </c>
      <c r="AR47">
        <v>80.44866334591464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1238</v>
      </c>
      <c r="CA47">
        <v>300</v>
      </c>
      <c r="CB47">
        <v>300</v>
      </c>
      <c r="CC47">
        <v>300</v>
      </c>
      <c r="CD47">
        <v>10440.5</v>
      </c>
      <c r="CE47">
        <v>1411.69</v>
      </c>
      <c r="CF47">
        <v>-0.00735121</v>
      </c>
      <c r="CG47">
        <v>-0.77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1651857224.6</v>
      </c>
      <c r="DB47">
        <v>232.845</v>
      </c>
      <c r="DC47">
        <v>231.0836666666667</v>
      </c>
      <c r="DD47">
        <v>18.36983333333334</v>
      </c>
      <c r="DE47">
        <v>8.959443333333333</v>
      </c>
      <c r="DF47">
        <v>233.8076666666667</v>
      </c>
      <c r="DG47">
        <v>18.36413333333333</v>
      </c>
      <c r="DH47">
        <v>500.0309999999999</v>
      </c>
      <c r="DI47">
        <v>90.10386666666666</v>
      </c>
      <c r="DJ47">
        <v>0.1000723333333333</v>
      </c>
      <c r="DK47">
        <v>25.72476666666667</v>
      </c>
      <c r="DL47">
        <v>24.99433333333333</v>
      </c>
      <c r="DM47">
        <v>999.9</v>
      </c>
      <c r="DN47">
        <v>0</v>
      </c>
      <c r="DO47">
        <v>0</v>
      </c>
      <c r="DP47">
        <v>9996.879999999999</v>
      </c>
      <c r="DQ47">
        <v>0</v>
      </c>
      <c r="DR47">
        <v>3.20383</v>
      </c>
      <c r="DS47">
        <v>1.76126</v>
      </c>
      <c r="DT47">
        <v>237.2023333333333</v>
      </c>
      <c r="DU47">
        <v>233.1726666666667</v>
      </c>
      <c r="DV47">
        <v>9.41042</v>
      </c>
      <c r="DW47">
        <v>231.0836666666667</v>
      </c>
      <c r="DX47">
        <v>8.959443333333333</v>
      </c>
      <c r="DY47">
        <v>1.655196666666667</v>
      </c>
      <c r="DZ47">
        <v>0.8072806666666666</v>
      </c>
      <c r="EA47">
        <v>14.4825</v>
      </c>
      <c r="EB47">
        <v>3.835976666666667</v>
      </c>
      <c r="EC47">
        <v>1499.943333333333</v>
      </c>
      <c r="ED47">
        <v>0.973007</v>
      </c>
      <c r="EE47">
        <v>0.0269931</v>
      </c>
      <c r="EF47">
        <v>0</v>
      </c>
      <c r="EG47">
        <v>994.9556666666667</v>
      </c>
      <c r="EH47">
        <v>5.00097</v>
      </c>
      <c r="EI47">
        <v>14759.2</v>
      </c>
      <c r="EJ47">
        <v>12491.13333333333</v>
      </c>
      <c r="EK47">
        <v>37.562</v>
      </c>
      <c r="EL47">
        <v>39.062</v>
      </c>
      <c r="EM47">
        <v>38</v>
      </c>
      <c r="EN47">
        <v>38.812</v>
      </c>
      <c r="EO47">
        <v>38.437</v>
      </c>
      <c r="EP47">
        <v>1454.593333333333</v>
      </c>
      <c r="EQ47">
        <v>40.35</v>
      </c>
      <c r="ER47">
        <v>0</v>
      </c>
      <c r="ES47">
        <v>224.4000000953674</v>
      </c>
      <c r="ET47">
        <v>0</v>
      </c>
      <c r="EU47">
        <v>1014.51008</v>
      </c>
      <c r="EV47">
        <v>-180.3426920185114</v>
      </c>
      <c r="EW47">
        <v>-2681.592303568958</v>
      </c>
      <c r="EX47">
        <v>15051.228</v>
      </c>
      <c r="EY47">
        <v>15</v>
      </c>
      <c r="EZ47">
        <v>1651857041.1</v>
      </c>
      <c r="FA47" t="s">
        <v>419</v>
      </c>
      <c r="FB47">
        <v>1651857019.6</v>
      </c>
      <c r="FC47">
        <v>1651857041.1</v>
      </c>
      <c r="FD47">
        <v>1</v>
      </c>
      <c r="FE47">
        <v>0.545</v>
      </c>
      <c r="FF47">
        <v>-0.002</v>
      </c>
      <c r="FG47">
        <v>-1.271</v>
      </c>
      <c r="FH47">
        <v>-0.09</v>
      </c>
      <c r="FI47">
        <v>400</v>
      </c>
      <c r="FJ47">
        <v>10</v>
      </c>
      <c r="FK47">
        <v>0.1</v>
      </c>
      <c r="FL47">
        <v>0.02</v>
      </c>
      <c r="FM47">
        <v>-0.402716495</v>
      </c>
      <c r="FN47">
        <v>11.91708051557223</v>
      </c>
      <c r="FO47">
        <v>1.160387780164897</v>
      </c>
      <c r="FP47">
        <v>-1</v>
      </c>
      <c r="FQ47">
        <v>9.39898075</v>
      </c>
      <c r="FR47">
        <v>0.07177699812381708</v>
      </c>
      <c r="FS47">
        <v>0.007113273644216207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432</v>
      </c>
      <c r="GB47">
        <v>2.97972</v>
      </c>
      <c r="GC47">
        <v>2.70619</v>
      </c>
      <c r="GD47">
        <v>0.0573565</v>
      </c>
      <c r="GE47">
        <v>0.0561337</v>
      </c>
      <c r="GF47">
        <v>0.0878177</v>
      </c>
      <c r="GG47">
        <v>0.050884</v>
      </c>
      <c r="GH47">
        <v>29738.4</v>
      </c>
      <c r="GI47">
        <v>29842.5</v>
      </c>
      <c r="GJ47">
        <v>29337.6</v>
      </c>
      <c r="GK47">
        <v>29251.1</v>
      </c>
      <c r="GL47">
        <v>35438.7</v>
      </c>
      <c r="GM47">
        <v>36972.8</v>
      </c>
      <c r="GN47">
        <v>41297.6</v>
      </c>
      <c r="GO47">
        <v>41745.1</v>
      </c>
      <c r="GP47">
        <v>1.9534</v>
      </c>
      <c r="GQ47">
        <v>1.83307</v>
      </c>
      <c r="GR47">
        <v>-0.0366122</v>
      </c>
      <c r="GS47">
        <v>0</v>
      </c>
      <c r="GT47">
        <v>25.5929</v>
      </c>
      <c r="GU47">
        <v>999.9</v>
      </c>
      <c r="GV47">
        <v>39.2</v>
      </c>
      <c r="GW47">
        <v>33.8</v>
      </c>
      <c r="GX47">
        <v>22.9847</v>
      </c>
      <c r="GY47">
        <v>62.6376</v>
      </c>
      <c r="GZ47">
        <v>35.2284</v>
      </c>
      <c r="HA47">
        <v>1</v>
      </c>
      <c r="HB47">
        <v>0.147038</v>
      </c>
      <c r="HC47">
        <v>2.27396</v>
      </c>
      <c r="HD47">
        <v>20.3178</v>
      </c>
      <c r="HE47">
        <v>5.21654</v>
      </c>
      <c r="HF47">
        <v>12.0099</v>
      </c>
      <c r="HG47">
        <v>4.9878</v>
      </c>
      <c r="HH47">
        <v>3.2885</v>
      </c>
      <c r="HI47">
        <v>846.6</v>
      </c>
      <c r="HJ47">
        <v>8423.6</v>
      </c>
      <c r="HK47">
        <v>5139.4</v>
      </c>
      <c r="HL47">
        <v>22.8</v>
      </c>
      <c r="HM47">
        <v>1.86752</v>
      </c>
      <c r="HN47">
        <v>1.86647</v>
      </c>
      <c r="HO47">
        <v>1.866</v>
      </c>
      <c r="HP47">
        <v>1.86592</v>
      </c>
      <c r="HQ47">
        <v>1.8677</v>
      </c>
      <c r="HR47">
        <v>1.87026</v>
      </c>
      <c r="HS47">
        <v>1.8689</v>
      </c>
      <c r="HT47">
        <v>1.87027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-0.957</v>
      </c>
      <c r="II47">
        <v>0.0057</v>
      </c>
      <c r="IJ47">
        <v>-0.4995723906072</v>
      </c>
      <c r="IK47">
        <v>-0.002077099775823331</v>
      </c>
      <c r="IL47">
        <v>4.593143279902166E-07</v>
      </c>
      <c r="IM47">
        <v>-1.865383991892071E-10</v>
      </c>
      <c r="IN47">
        <v>-0.07605349583632376</v>
      </c>
      <c r="IO47">
        <v>-0.01129461987421345</v>
      </c>
      <c r="IP47">
        <v>0.00116580895745559</v>
      </c>
      <c r="IQ47">
        <v>-1.679085872906199E-05</v>
      </c>
      <c r="IR47">
        <v>2</v>
      </c>
      <c r="IS47">
        <v>2290</v>
      </c>
      <c r="IT47">
        <v>0</v>
      </c>
      <c r="IU47">
        <v>32</v>
      </c>
      <c r="IV47">
        <v>3.4</v>
      </c>
      <c r="IW47">
        <v>3.1</v>
      </c>
      <c r="IX47">
        <v>0.610352</v>
      </c>
      <c r="IY47">
        <v>2.24609</v>
      </c>
      <c r="IZ47">
        <v>1.39648</v>
      </c>
      <c r="JA47">
        <v>2.35962</v>
      </c>
      <c r="JB47">
        <v>1.49536</v>
      </c>
      <c r="JC47">
        <v>2.32178</v>
      </c>
      <c r="JD47">
        <v>38.2812</v>
      </c>
      <c r="JE47">
        <v>24.0437</v>
      </c>
      <c r="JF47">
        <v>18</v>
      </c>
      <c r="JG47">
        <v>514.501</v>
      </c>
      <c r="JH47">
        <v>422.668</v>
      </c>
      <c r="JI47">
        <v>22.5954</v>
      </c>
      <c r="JJ47">
        <v>29.2593</v>
      </c>
      <c r="JK47">
        <v>29.9999</v>
      </c>
      <c r="JL47">
        <v>29.202</v>
      </c>
      <c r="JM47">
        <v>29.1255</v>
      </c>
      <c r="JN47">
        <v>12.2164</v>
      </c>
      <c r="JO47">
        <v>55.4487</v>
      </c>
      <c r="JP47">
        <v>0</v>
      </c>
      <c r="JQ47">
        <v>22.596</v>
      </c>
      <c r="JR47">
        <v>205.866</v>
      </c>
      <c r="JS47">
        <v>8.990970000000001</v>
      </c>
      <c r="JT47">
        <v>100.287</v>
      </c>
      <c r="JU47">
        <v>100.196</v>
      </c>
    </row>
    <row r="48" spans="1:281">
      <c r="A48">
        <v>32</v>
      </c>
      <c r="B48">
        <v>1651857227.6</v>
      </c>
      <c r="C48">
        <v>227</v>
      </c>
      <c r="D48" t="s">
        <v>491</v>
      </c>
      <c r="E48" t="s">
        <v>492</v>
      </c>
      <c r="F48">
        <v>2</v>
      </c>
      <c r="G48" t="s">
        <v>413</v>
      </c>
      <c r="H48" t="s">
        <v>414</v>
      </c>
      <c r="I48">
        <v>1651857226.225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232.3903537763208</v>
      </c>
      <c r="AK48">
        <v>229.5984909090908</v>
      </c>
      <c r="AL48">
        <v>-3.035613927396267</v>
      </c>
      <c r="AM48">
        <v>66.38384787954378</v>
      </c>
      <c r="AN48">
        <f>(AP48 - AO48 + DI48*1E3/(8.314*(DK48+273.15)) * AR48/DH48 * AQ48) * DH48/(100*CV48) * 1000/(1000 - AP48)</f>
        <v>0</v>
      </c>
      <c r="AO48">
        <v>8.959955377886812</v>
      </c>
      <c r="AP48">
        <v>18.37051705882351</v>
      </c>
      <c r="AQ48">
        <v>6.680330779730803E-05</v>
      </c>
      <c r="AR48">
        <v>80.44866334591464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1238</v>
      </c>
      <c r="CA48">
        <v>300</v>
      </c>
      <c r="CB48">
        <v>300</v>
      </c>
      <c r="CC48">
        <v>300</v>
      </c>
      <c r="CD48">
        <v>10440.5</v>
      </c>
      <c r="CE48">
        <v>1411.69</v>
      </c>
      <c r="CF48">
        <v>-0.00735121</v>
      </c>
      <c r="CG48">
        <v>-0.77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1651857226.225</v>
      </c>
      <c r="DB48">
        <v>227.99725</v>
      </c>
      <c r="DC48">
        <v>225.657</v>
      </c>
      <c r="DD48">
        <v>18.370225</v>
      </c>
      <c r="DE48">
        <v>8.958974999999999</v>
      </c>
      <c r="DF48">
        <v>228.9505</v>
      </c>
      <c r="DG48">
        <v>18.364525</v>
      </c>
      <c r="DH48">
        <v>500.03325</v>
      </c>
      <c r="DI48">
        <v>90.104125</v>
      </c>
      <c r="DJ48">
        <v>0.10019125</v>
      </c>
      <c r="DK48">
        <v>25.725475</v>
      </c>
      <c r="DL48">
        <v>24.991325</v>
      </c>
      <c r="DM48">
        <v>999.9</v>
      </c>
      <c r="DN48">
        <v>0</v>
      </c>
      <c r="DO48">
        <v>0</v>
      </c>
      <c r="DP48">
        <v>9980</v>
      </c>
      <c r="DQ48">
        <v>0</v>
      </c>
      <c r="DR48">
        <v>3.20383</v>
      </c>
      <c r="DS48">
        <v>2.3400375</v>
      </c>
      <c r="DT48">
        <v>232.264</v>
      </c>
      <c r="DU48">
        <v>227.697</v>
      </c>
      <c r="DV48">
        <v>9.411237499999999</v>
      </c>
      <c r="DW48">
        <v>225.657</v>
      </c>
      <c r="DX48">
        <v>8.958974999999999</v>
      </c>
      <c r="DY48">
        <v>1.6552325</v>
      </c>
      <c r="DZ48">
        <v>0.80724075</v>
      </c>
      <c r="EA48">
        <v>14.482825</v>
      </c>
      <c r="EB48">
        <v>3.8352675</v>
      </c>
      <c r="EC48">
        <v>1499.9425</v>
      </c>
      <c r="ED48">
        <v>0.973007</v>
      </c>
      <c r="EE48">
        <v>0.0269931</v>
      </c>
      <c r="EF48">
        <v>0</v>
      </c>
      <c r="EG48">
        <v>989.8415000000001</v>
      </c>
      <c r="EH48">
        <v>5.00097</v>
      </c>
      <c r="EI48">
        <v>14685.875</v>
      </c>
      <c r="EJ48">
        <v>12491.125</v>
      </c>
      <c r="EK48">
        <v>37.562</v>
      </c>
      <c r="EL48">
        <v>39.062</v>
      </c>
      <c r="EM48">
        <v>37.9685</v>
      </c>
      <c r="EN48">
        <v>38.812</v>
      </c>
      <c r="EO48">
        <v>38.437</v>
      </c>
      <c r="EP48">
        <v>1454.5925</v>
      </c>
      <c r="EQ48">
        <v>40.35</v>
      </c>
      <c r="ER48">
        <v>0</v>
      </c>
      <c r="ES48">
        <v>226.2000000476837</v>
      </c>
      <c r="ET48">
        <v>0</v>
      </c>
      <c r="EU48">
        <v>1009.942961538462</v>
      </c>
      <c r="EV48">
        <v>-183.6663590854048</v>
      </c>
      <c r="EW48">
        <v>-2725.470087294881</v>
      </c>
      <c r="EX48">
        <v>14983.57692307693</v>
      </c>
      <c r="EY48">
        <v>15</v>
      </c>
      <c r="EZ48">
        <v>1651857041.1</v>
      </c>
      <c r="FA48" t="s">
        <v>419</v>
      </c>
      <c r="FB48">
        <v>1651857019.6</v>
      </c>
      <c r="FC48">
        <v>1651857041.1</v>
      </c>
      <c r="FD48">
        <v>1</v>
      </c>
      <c r="FE48">
        <v>0.545</v>
      </c>
      <c r="FF48">
        <v>-0.002</v>
      </c>
      <c r="FG48">
        <v>-1.271</v>
      </c>
      <c r="FH48">
        <v>-0.09</v>
      </c>
      <c r="FI48">
        <v>400</v>
      </c>
      <c r="FJ48">
        <v>10</v>
      </c>
      <c r="FK48">
        <v>0.1</v>
      </c>
      <c r="FL48">
        <v>0.02</v>
      </c>
      <c r="FM48">
        <v>-0.170561995</v>
      </c>
      <c r="FN48">
        <v>12.25912981238274</v>
      </c>
      <c r="FO48">
        <v>1.197797144070198</v>
      </c>
      <c r="FP48">
        <v>-1</v>
      </c>
      <c r="FQ48">
        <v>9.400124</v>
      </c>
      <c r="FR48">
        <v>0.07098101313317456</v>
      </c>
      <c r="FS48">
        <v>0.007039339741765575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432</v>
      </c>
      <c r="GB48">
        <v>2.97983</v>
      </c>
      <c r="GC48">
        <v>2.70604</v>
      </c>
      <c r="GD48">
        <v>0.0560532</v>
      </c>
      <c r="GE48">
        <v>0.0547065</v>
      </c>
      <c r="GF48">
        <v>0.0878208</v>
      </c>
      <c r="GG48">
        <v>0.0508815</v>
      </c>
      <c r="GH48">
        <v>29779.6</v>
      </c>
      <c r="GI48">
        <v>29887.8</v>
      </c>
      <c r="GJ48">
        <v>29337.6</v>
      </c>
      <c r="GK48">
        <v>29251.2</v>
      </c>
      <c r="GL48">
        <v>35438.4</v>
      </c>
      <c r="GM48">
        <v>36973.1</v>
      </c>
      <c r="GN48">
        <v>41297.4</v>
      </c>
      <c r="GO48">
        <v>41745.3</v>
      </c>
      <c r="GP48">
        <v>1.95373</v>
      </c>
      <c r="GQ48">
        <v>1.833</v>
      </c>
      <c r="GR48">
        <v>-0.0366643</v>
      </c>
      <c r="GS48">
        <v>0</v>
      </c>
      <c r="GT48">
        <v>25.5929</v>
      </c>
      <c r="GU48">
        <v>999.9</v>
      </c>
      <c r="GV48">
        <v>39.2</v>
      </c>
      <c r="GW48">
        <v>33.8</v>
      </c>
      <c r="GX48">
        <v>22.9851</v>
      </c>
      <c r="GY48">
        <v>62.5276</v>
      </c>
      <c r="GZ48">
        <v>35.4647</v>
      </c>
      <c r="HA48">
        <v>1</v>
      </c>
      <c r="HB48">
        <v>0.146972</v>
      </c>
      <c r="HC48">
        <v>2.2765</v>
      </c>
      <c r="HD48">
        <v>20.318</v>
      </c>
      <c r="HE48">
        <v>5.21639</v>
      </c>
      <c r="HF48">
        <v>12.0099</v>
      </c>
      <c r="HG48">
        <v>4.9881</v>
      </c>
      <c r="HH48">
        <v>3.2885</v>
      </c>
      <c r="HI48">
        <v>846.6</v>
      </c>
      <c r="HJ48">
        <v>8423.6</v>
      </c>
      <c r="HK48">
        <v>5139.4</v>
      </c>
      <c r="HL48">
        <v>22.8</v>
      </c>
      <c r="HM48">
        <v>1.86752</v>
      </c>
      <c r="HN48">
        <v>1.86647</v>
      </c>
      <c r="HO48">
        <v>1.866</v>
      </c>
      <c r="HP48">
        <v>1.86591</v>
      </c>
      <c r="HQ48">
        <v>1.86768</v>
      </c>
      <c r="HR48">
        <v>1.87025</v>
      </c>
      <c r="HS48">
        <v>1.8689</v>
      </c>
      <c r="HT48">
        <v>1.87027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-0.945</v>
      </c>
      <c r="II48">
        <v>0.0057</v>
      </c>
      <c r="IJ48">
        <v>-0.4995723906072</v>
      </c>
      <c r="IK48">
        <v>-0.002077099775823331</v>
      </c>
      <c r="IL48">
        <v>4.593143279902166E-07</v>
      </c>
      <c r="IM48">
        <v>-1.865383991892071E-10</v>
      </c>
      <c r="IN48">
        <v>-0.07605349583632376</v>
      </c>
      <c r="IO48">
        <v>-0.01129461987421345</v>
      </c>
      <c r="IP48">
        <v>0.00116580895745559</v>
      </c>
      <c r="IQ48">
        <v>-1.679085872906199E-05</v>
      </c>
      <c r="IR48">
        <v>2</v>
      </c>
      <c r="IS48">
        <v>2290</v>
      </c>
      <c r="IT48">
        <v>0</v>
      </c>
      <c r="IU48">
        <v>32</v>
      </c>
      <c r="IV48">
        <v>3.5</v>
      </c>
      <c r="IW48">
        <v>3.1</v>
      </c>
      <c r="IX48">
        <v>0.595703</v>
      </c>
      <c r="IY48">
        <v>2.25342</v>
      </c>
      <c r="IZ48">
        <v>1.39648</v>
      </c>
      <c r="JA48">
        <v>2.35962</v>
      </c>
      <c r="JB48">
        <v>1.49536</v>
      </c>
      <c r="JC48">
        <v>2.30957</v>
      </c>
      <c r="JD48">
        <v>38.2812</v>
      </c>
      <c r="JE48">
        <v>24.035</v>
      </c>
      <c r="JF48">
        <v>18</v>
      </c>
      <c r="JG48">
        <v>514.716</v>
      </c>
      <c r="JH48">
        <v>422.623</v>
      </c>
      <c r="JI48">
        <v>22.597</v>
      </c>
      <c r="JJ48">
        <v>29.2581</v>
      </c>
      <c r="JK48">
        <v>29.9999</v>
      </c>
      <c r="JL48">
        <v>29.202</v>
      </c>
      <c r="JM48">
        <v>29.1255</v>
      </c>
      <c r="JN48">
        <v>11.9267</v>
      </c>
      <c r="JO48">
        <v>55.4487</v>
      </c>
      <c r="JP48">
        <v>0</v>
      </c>
      <c r="JQ48">
        <v>22.596</v>
      </c>
      <c r="JR48">
        <v>199.153</v>
      </c>
      <c r="JS48">
        <v>8.98901</v>
      </c>
      <c r="JT48">
        <v>100.287</v>
      </c>
      <c r="JU48">
        <v>100.197</v>
      </c>
    </row>
    <row r="49" spans="1:281">
      <c r="A49">
        <v>33</v>
      </c>
      <c r="B49">
        <v>1651857229.6</v>
      </c>
      <c r="C49">
        <v>229</v>
      </c>
      <c r="D49" t="s">
        <v>493</v>
      </c>
      <c r="E49" t="s">
        <v>494</v>
      </c>
      <c r="F49">
        <v>2</v>
      </c>
      <c r="G49" t="s">
        <v>413</v>
      </c>
      <c r="H49" t="s">
        <v>414</v>
      </c>
      <c r="I49">
        <v>1651857228.6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225.6699345845769</v>
      </c>
      <c r="AK49">
        <v>223.4433757575757</v>
      </c>
      <c r="AL49">
        <v>-3.065202277397924</v>
      </c>
      <c r="AM49">
        <v>66.38384787954378</v>
      </c>
      <c r="AN49">
        <f>(AP49 - AO49 + DI49*1E3/(8.314*(DK49+273.15)) * AR49/DH49 * AQ49) * DH49/(100*CV49) * 1000/(1000 - AP49)</f>
        <v>0</v>
      </c>
      <c r="AO49">
        <v>8.959394841488875</v>
      </c>
      <c r="AP49">
        <v>18.37246705882352</v>
      </c>
      <c r="AQ49">
        <v>2.608092408532785E-05</v>
      </c>
      <c r="AR49">
        <v>80.44866334591464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1238</v>
      </c>
      <c r="CA49">
        <v>300</v>
      </c>
      <c r="CB49">
        <v>300</v>
      </c>
      <c r="CC49">
        <v>300</v>
      </c>
      <c r="CD49">
        <v>10440.5</v>
      </c>
      <c r="CE49">
        <v>1411.69</v>
      </c>
      <c r="CF49">
        <v>-0.00735121</v>
      </c>
      <c r="CG49">
        <v>-0.77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1651857228.6</v>
      </c>
      <c r="DB49">
        <v>220.849</v>
      </c>
      <c r="DC49">
        <v>217.7946666666667</v>
      </c>
      <c r="DD49">
        <v>18.3722</v>
      </c>
      <c r="DE49">
        <v>8.95792</v>
      </c>
      <c r="DF49">
        <v>221.789</v>
      </c>
      <c r="DG49">
        <v>18.36643333333333</v>
      </c>
      <c r="DH49">
        <v>500.0503333333334</v>
      </c>
      <c r="DI49">
        <v>90.10449999999999</v>
      </c>
      <c r="DJ49">
        <v>0.0999196</v>
      </c>
      <c r="DK49">
        <v>25.72556666666667</v>
      </c>
      <c r="DL49">
        <v>24.9948</v>
      </c>
      <c r="DM49">
        <v>999.9</v>
      </c>
      <c r="DN49">
        <v>0</v>
      </c>
      <c r="DO49">
        <v>0</v>
      </c>
      <c r="DP49">
        <v>9989.790000000001</v>
      </c>
      <c r="DQ49">
        <v>0</v>
      </c>
      <c r="DR49">
        <v>3.20383</v>
      </c>
      <c r="DS49">
        <v>3.054143333333334</v>
      </c>
      <c r="DT49">
        <v>224.9826666666667</v>
      </c>
      <c r="DU49">
        <v>219.7636666666666</v>
      </c>
      <c r="DV49">
        <v>9.414273333333334</v>
      </c>
      <c r="DW49">
        <v>217.7946666666667</v>
      </c>
      <c r="DX49">
        <v>8.95792</v>
      </c>
      <c r="DY49">
        <v>1.655416666666667</v>
      </c>
      <c r="DZ49">
        <v>0.8071486666666666</v>
      </c>
      <c r="EA49">
        <v>14.48453333333333</v>
      </c>
      <c r="EB49">
        <v>3.833656666666666</v>
      </c>
      <c r="EC49">
        <v>1500.033333333334</v>
      </c>
      <c r="ED49">
        <v>0.973007</v>
      </c>
      <c r="EE49">
        <v>0.0269931</v>
      </c>
      <c r="EF49">
        <v>0</v>
      </c>
      <c r="EG49">
        <v>981.5736666666667</v>
      </c>
      <c r="EH49">
        <v>5.00097</v>
      </c>
      <c r="EI49">
        <v>14571.03333333333</v>
      </c>
      <c r="EJ49">
        <v>12491.86666666667</v>
      </c>
      <c r="EK49">
        <v>37.562</v>
      </c>
      <c r="EL49">
        <v>39.062</v>
      </c>
      <c r="EM49">
        <v>37.958</v>
      </c>
      <c r="EN49">
        <v>38.812</v>
      </c>
      <c r="EO49">
        <v>38.437</v>
      </c>
      <c r="EP49">
        <v>1454.68</v>
      </c>
      <c r="EQ49">
        <v>40.35333333333333</v>
      </c>
      <c r="ER49">
        <v>0</v>
      </c>
      <c r="ES49">
        <v>228.6000001430511</v>
      </c>
      <c r="ET49">
        <v>0</v>
      </c>
      <c r="EU49">
        <v>1002.552423076923</v>
      </c>
      <c r="EV49">
        <v>-187.6629402906196</v>
      </c>
      <c r="EW49">
        <v>-2773.904275454006</v>
      </c>
      <c r="EX49">
        <v>14874.21923076923</v>
      </c>
      <c r="EY49">
        <v>15</v>
      </c>
      <c r="EZ49">
        <v>1651857041.1</v>
      </c>
      <c r="FA49" t="s">
        <v>419</v>
      </c>
      <c r="FB49">
        <v>1651857019.6</v>
      </c>
      <c r="FC49">
        <v>1651857041.1</v>
      </c>
      <c r="FD49">
        <v>1</v>
      </c>
      <c r="FE49">
        <v>0.545</v>
      </c>
      <c r="FF49">
        <v>-0.002</v>
      </c>
      <c r="FG49">
        <v>-1.271</v>
      </c>
      <c r="FH49">
        <v>-0.09</v>
      </c>
      <c r="FI49">
        <v>400</v>
      </c>
      <c r="FJ49">
        <v>10</v>
      </c>
      <c r="FK49">
        <v>0.1</v>
      </c>
      <c r="FL49">
        <v>0.02</v>
      </c>
      <c r="FM49">
        <v>0.544082255</v>
      </c>
      <c r="FN49">
        <v>13.71327819061914</v>
      </c>
      <c r="FO49">
        <v>1.348944388319147</v>
      </c>
      <c r="FP49">
        <v>-1</v>
      </c>
      <c r="FQ49">
        <v>9.4032015</v>
      </c>
      <c r="FR49">
        <v>0.07694454033771454</v>
      </c>
      <c r="FS49">
        <v>0.007511148231129462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432</v>
      </c>
      <c r="GB49">
        <v>2.97972</v>
      </c>
      <c r="GC49">
        <v>2.70598</v>
      </c>
      <c r="GD49">
        <v>0.0547328</v>
      </c>
      <c r="GE49">
        <v>0.0532633</v>
      </c>
      <c r="GF49">
        <v>0.08783879999999999</v>
      </c>
      <c r="GG49">
        <v>0.0508814</v>
      </c>
      <c r="GH49">
        <v>29821.1</v>
      </c>
      <c r="GI49">
        <v>29933.3</v>
      </c>
      <c r="GJ49">
        <v>29337.5</v>
      </c>
      <c r="GK49">
        <v>29251.1</v>
      </c>
      <c r="GL49">
        <v>35437.2</v>
      </c>
      <c r="GM49">
        <v>36972.9</v>
      </c>
      <c r="GN49">
        <v>41296.9</v>
      </c>
      <c r="GO49">
        <v>41745.1</v>
      </c>
      <c r="GP49">
        <v>1.95355</v>
      </c>
      <c r="GQ49">
        <v>1.83298</v>
      </c>
      <c r="GR49">
        <v>-0.0365004</v>
      </c>
      <c r="GS49">
        <v>0</v>
      </c>
      <c r="GT49">
        <v>25.5929</v>
      </c>
      <c r="GU49">
        <v>999.9</v>
      </c>
      <c r="GV49">
        <v>39.2</v>
      </c>
      <c r="GW49">
        <v>33.8</v>
      </c>
      <c r="GX49">
        <v>22.9866</v>
      </c>
      <c r="GY49">
        <v>62.5676</v>
      </c>
      <c r="GZ49">
        <v>35.4647</v>
      </c>
      <c r="HA49">
        <v>1</v>
      </c>
      <c r="HB49">
        <v>0.147035</v>
      </c>
      <c r="HC49">
        <v>2.27696</v>
      </c>
      <c r="HD49">
        <v>20.3181</v>
      </c>
      <c r="HE49">
        <v>5.21654</v>
      </c>
      <c r="HF49">
        <v>12.0099</v>
      </c>
      <c r="HG49">
        <v>4.9882</v>
      </c>
      <c r="HH49">
        <v>3.2885</v>
      </c>
      <c r="HI49">
        <v>846.6</v>
      </c>
      <c r="HJ49">
        <v>8423.6</v>
      </c>
      <c r="HK49">
        <v>5139.4</v>
      </c>
      <c r="HL49">
        <v>22.8</v>
      </c>
      <c r="HM49">
        <v>1.86751</v>
      </c>
      <c r="HN49">
        <v>1.86647</v>
      </c>
      <c r="HO49">
        <v>1.866</v>
      </c>
      <c r="HP49">
        <v>1.86589</v>
      </c>
      <c r="HQ49">
        <v>1.8677</v>
      </c>
      <c r="HR49">
        <v>1.87024</v>
      </c>
      <c r="HS49">
        <v>1.8689</v>
      </c>
      <c r="HT49">
        <v>1.87027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-0.9340000000000001</v>
      </c>
      <c r="II49">
        <v>0.0058</v>
      </c>
      <c r="IJ49">
        <v>-0.4995723906072</v>
      </c>
      <c r="IK49">
        <v>-0.002077099775823331</v>
      </c>
      <c r="IL49">
        <v>4.593143279902166E-07</v>
      </c>
      <c r="IM49">
        <v>-1.865383991892071E-10</v>
      </c>
      <c r="IN49">
        <v>-0.07605349583632376</v>
      </c>
      <c r="IO49">
        <v>-0.01129461987421345</v>
      </c>
      <c r="IP49">
        <v>0.00116580895745559</v>
      </c>
      <c r="IQ49">
        <v>-1.679085872906199E-05</v>
      </c>
      <c r="IR49">
        <v>2</v>
      </c>
      <c r="IS49">
        <v>2290</v>
      </c>
      <c r="IT49">
        <v>0</v>
      </c>
      <c r="IU49">
        <v>32</v>
      </c>
      <c r="IV49">
        <v>3.5</v>
      </c>
      <c r="IW49">
        <v>3.1</v>
      </c>
      <c r="IX49">
        <v>0.581055</v>
      </c>
      <c r="IY49">
        <v>2.24976</v>
      </c>
      <c r="IZ49">
        <v>1.39648</v>
      </c>
      <c r="JA49">
        <v>2.35962</v>
      </c>
      <c r="JB49">
        <v>1.49536</v>
      </c>
      <c r="JC49">
        <v>2.36572</v>
      </c>
      <c r="JD49">
        <v>38.2812</v>
      </c>
      <c r="JE49">
        <v>24.0437</v>
      </c>
      <c r="JF49">
        <v>18</v>
      </c>
      <c r="JG49">
        <v>514.6</v>
      </c>
      <c r="JH49">
        <v>422.608</v>
      </c>
      <c r="JI49">
        <v>22.5982</v>
      </c>
      <c r="JJ49">
        <v>29.2568</v>
      </c>
      <c r="JK49">
        <v>30</v>
      </c>
      <c r="JL49">
        <v>29.202</v>
      </c>
      <c r="JM49">
        <v>29.1255</v>
      </c>
      <c r="JN49">
        <v>11.6387</v>
      </c>
      <c r="JO49">
        <v>55.4487</v>
      </c>
      <c r="JP49">
        <v>0</v>
      </c>
      <c r="JQ49">
        <v>22.6007</v>
      </c>
      <c r="JR49">
        <v>192.471</v>
      </c>
      <c r="JS49">
        <v>8.98901</v>
      </c>
      <c r="JT49">
        <v>100.286</v>
      </c>
      <c r="JU49">
        <v>100.196</v>
      </c>
    </row>
    <row r="50" spans="1:281">
      <c r="A50">
        <v>34</v>
      </c>
      <c r="B50">
        <v>1651857231.6</v>
      </c>
      <c r="C50">
        <v>231</v>
      </c>
      <c r="D50" t="s">
        <v>495</v>
      </c>
      <c r="E50" t="s">
        <v>496</v>
      </c>
      <c r="F50">
        <v>2</v>
      </c>
      <c r="G50" t="s">
        <v>413</v>
      </c>
      <c r="H50" t="s">
        <v>414</v>
      </c>
      <c r="I50">
        <v>1651857230.225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218.992077827763</v>
      </c>
      <c r="AK50">
        <v>217.2929272727273</v>
      </c>
      <c r="AL50">
        <v>-3.076117140533377</v>
      </c>
      <c r="AM50">
        <v>66.38384787954378</v>
      </c>
      <c r="AN50">
        <f>(AP50 - AO50 + DI50*1E3/(8.314*(DK50+273.15)) * AR50/DH50 * AQ50) * DH50/(100*CV50) * 1000/(1000 - AP50)</f>
        <v>0</v>
      </c>
      <c r="AO50">
        <v>8.958521499589629</v>
      </c>
      <c r="AP50">
        <v>18.37683</v>
      </c>
      <c r="AQ50">
        <v>-1.189376214704519E-06</v>
      </c>
      <c r="AR50">
        <v>80.44866334591464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1238</v>
      </c>
      <c r="CA50">
        <v>300</v>
      </c>
      <c r="CB50">
        <v>300</v>
      </c>
      <c r="CC50">
        <v>300</v>
      </c>
      <c r="CD50">
        <v>10440.5</v>
      </c>
      <c r="CE50">
        <v>1411.69</v>
      </c>
      <c r="CF50">
        <v>-0.00735121</v>
      </c>
      <c r="CG50">
        <v>-0.77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1651857230.225</v>
      </c>
      <c r="DB50">
        <v>215.9465</v>
      </c>
      <c r="DC50">
        <v>212.35725</v>
      </c>
      <c r="DD50">
        <v>18.375225</v>
      </c>
      <c r="DE50">
        <v>8.958637499999998</v>
      </c>
      <c r="DF50">
        <v>216.877</v>
      </c>
      <c r="DG50">
        <v>18.36945</v>
      </c>
      <c r="DH50">
        <v>500.025</v>
      </c>
      <c r="DI50">
        <v>90.10589999999999</v>
      </c>
      <c r="DJ50">
        <v>0.09980209999999999</v>
      </c>
      <c r="DK50">
        <v>25.72645</v>
      </c>
      <c r="DL50">
        <v>24.994925</v>
      </c>
      <c r="DM50">
        <v>999.9</v>
      </c>
      <c r="DN50">
        <v>0</v>
      </c>
      <c r="DO50">
        <v>0</v>
      </c>
      <c r="DP50">
        <v>10005.4575</v>
      </c>
      <c r="DQ50">
        <v>0</v>
      </c>
      <c r="DR50">
        <v>3.20383</v>
      </c>
      <c r="DS50">
        <v>3.58957</v>
      </c>
      <c r="DT50">
        <v>219.98925</v>
      </c>
      <c r="DU50">
        <v>214.27675</v>
      </c>
      <c r="DV50">
        <v>9.416595000000001</v>
      </c>
      <c r="DW50">
        <v>212.35725</v>
      </c>
      <c r="DX50">
        <v>8.958637499999998</v>
      </c>
      <c r="DY50">
        <v>1.655715</v>
      </c>
      <c r="DZ50">
        <v>0.80722625</v>
      </c>
      <c r="EA50">
        <v>14.487375</v>
      </c>
      <c r="EB50">
        <v>3.8350175</v>
      </c>
      <c r="EC50">
        <v>1499.9925</v>
      </c>
      <c r="ED50">
        <v>0.973007</v>
      </c>
      <c r="EE50">
        <v>0.0269931</v>
      </c>
      <c r="EF50">
        <v>0</v>
      </c>
      <c r="EG50">
        <v>977.1075</v>
      </c>
      <c r="EH50">
        <v>5.00097</v>
      </c>
      <c r="EI50">
        <v>14502.25</v>
      </c>
      <c r="EJ50">
        <v>12491.575</v>
      </c>
      <c r="EK50">
        <v>37.562</v>
      </c>
      <c r="EL50">
        <v>39.062</v>
      </c>
      <c r="EM50">
        <v>37.95274999999999</v>
      </c>
      <c r="EN50">
        <v>38.812</v>
      </c>
      <c r="EO50">
        <v>38.437</v>
      </c>
      <c r="EP50">
        <v>1454.64</v>
      </c>
      <c r="EQ50">
        <v>40.3525</v>
      </c>
      <c r="ER50">
        <v>0</v>
      </c>
      <c r="ES50">
        <v>230.4000000953674</v>
      </c>
      <c r="ET50">
        <v>0</v>
      </c>
      <c r="EU50">
        <v>995.9638</v>
      </c>
      <c r="EV50">
        <v>-190.9838458535832</v>
      </c>
      <c r="EW50">
        <v>-2807.09999572595</v>
      </c>
      <c r="EX50">
        <v>14777</v>
      </c>
      <c r="EY50">
        <v>15</v>
      </c>
      <c r="EZ50">
        <v>1651857041.1</v>
      </c>
      <c r="FA50" t="s">
        <v>419</v>
      </c>
      <c r="FB50">
        <v>1651857019.6</v>
      </c>
      <c r="FC50">
        <v>1651857041.1</v>
      </c>
      <c r="FD50">
        <v>1</v>
      </c>
      <c r="FE50">
        <v>0.545</v>
      </c>
      <c r="FF50">
        <v>-0.002</v>
      </c>
      <c r="FG50">
        <v>-1.271</v>
      </c>
      <c r="FH50">
        <v>-0.09</v>
      </c>
      <c r="FI50">
        <v>400</v>
      </c>
      <c r="FJ50">
        <v>10</v>
      </c>
      <c r="FK50">
        <v>0.1</v>
      </c>
      <c r="FL50">
        <v>0.02</v>
      </c>
      <c r="FM50">
        <v>0.789165505</v>
      </c>
      <c r="FN50">
        <v>14.33456895084428</v>
      </c>
      <c r="FO50">
        <v>1.410244326868291</v>
      </c>
      <c r="FP50">
        <v>-1</v>
      </c>
      <c r="FQ50">
        <v>9.40443675</v>
      </c>
      <c r="FR50">
        <v>0.07891305816133802</v>
      </c>
      <c r="FS50">
        <v>0.007687412564543347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432</v>
      </c>
      <c r="GB50">
        <v>2.97969</v>
      </c>
      <c r="GC50">
        <v>2.70611</v>
      </c>
      <c r="GD50">
        <v>0.0533943</v>
      </c>
      <c r="GE50">
        <v>0.0517858</v>
      </c>
      <c r="GF50">
        <v>0.08784359999999999</v>
      </c>
      <c r="GG50">
        <v>0.0508876</v>
      </c>
      <c r="GH50">
        <v>29863.2</v>
      </c>
      <c r="GI50">
        <v>29979.7</v>
      </c>
      <c r="GJ50">
        <v>29337.4</v>
      </c>
      <c r="GK50">
        <v>29250.8</v>
      </c>
      <c r="GL50">
        <v>35436.7</v>
      </c>
      <c r="GM50">
        <v>36972.7</v>
      </c>
      <c r="GN50">
        <v>41296.5</v>
      </c>
      <c r="GO50">
        <v>41745.2</v>
      </c>
      <c r="GP50">
        <v>1.95355</v>
      </c>
      <c r="GQ50">
        <v>1.833</v>
      </c>
      <c r="GR50">
        <v>-0.0363514</v>
      </c>
      <c r="GS50">
        <v>0</v>
      </c>
      <c r="GT50">
        <v>25.5929</v>
      </c>
      <c r="GU50">
        <v>999.9</v>
      </c>
      <c r="GV50">
        <v>39.2</v>
      </c>
      <c r="GW50">
        <v>33.8</v>
      </c>
      <c r="GX50">
        <v>22.9862</v>
      </c>
      <c r="GY50">
        <v>62.3376</v>
      </c>
      <c r="GZ50">
        <v>35.2724</v>
      </c>
      <c r="HA50">
        <v>1</v>
      </c>
      <c r="HB50">
        <v>0.14705</v>
      </c>
      <c r="HC50">
        <v>2.27276</v>
      </c>
      <c r="HD50">
        <v>20.3182</v>
      </c>
      <c r="HE50">
        <v>5.21699</v>
      </c>
      <c r="HF50">
        <v>12.0099</v>
      </c>
      <c r="HG50">
        <v>4.98825</v>
      </c>
      <c r="HH50">
        <v>3.28858</v>
      </c>
      <c r="HI50">
        <v>846.6</v>
      </c>
      <c r="HJ50">
        <v>8423.6</v>
      </c>
      <c r="HK50">
        <v>5139.4</v>
      </c>
      <c r="HL50">
        <v>22.8</v>
      </c>
      <c r="HM50">
        <v>1.86751</v>
      </c>
      <c r="HN50">
        <v>1.86647</v>
      </c>
      <c r="HO50">
        <v>1.866</v>
      </c>
      <c r="HP50">
        <v>1.86589</v>
      </c>
      <c r="HQ50">
        <v>1.86771</v>
      </c>
      <c r="HR50">
        <v>1.87023</v>
      </c>
      <c r="HS50">
        <v>1.8689</v>
      </c>
      <c r="HT50">
        <v>1.87027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-0.922</v>
      </c>
      <c r="II50">
        <v>0.0058</v>
      </c>
      <c r="IJ50">
        <v>-0.4995723906072</v>
      </c>
      <c r="IK50">
        <v>-0.002077099775823331</v>
      </c>
      <c r="IL50">
        <v>4.593143279902166E-07</v>
      </c>
      <c r="IM50">
        <v>-1.865383991892071E-10</v>
      </c>
      <c r="IN50">
        <v>-0.07605349583632376</v>
      </c>
      <c r="IO50">
        <v>-0.01129461987421345</v>
      </c>
      <c r="IP50">
        <v>0.00116580895745559</v>
      </c>
      <c r="IQ50">
        <v>-1.679085872906199E-05</v>
      </c>
      <c r="IR50">
        <v>2</v>
      </c>
      <c r="IS50">
        <v>2290</v>
      </c>
      <c r="IT50">
        <v>0</v>
      </c>
      <c r="IU50">
        <v>32</v>
      </c>
      <c r="IV50">
        <v>3.5</v>
      </c>
      <c r="IW50">
        <v>3.2</v>
      </c>
      <c r="IX50">
        <v>0.567627</v>
      </c>
      <c r="IY50">
        <v>2.25952</v>
      </c>
      <c r="IZ50">
        <v>1.39648</v>
      </c>
      <c r="JA50">
        <v>2.35962</v>
      </c>
      <c r="JB50">
        <v>1.49536</v>
      </c>
      <c r="JC50">
        <v>2.26807</v>
      </c>
      <c r="JD50">
        <v>38.2812</v>
      </c>
      <c r="JE50">
        <v>24.035</v>
      </c>
      <c r="JF50">
        <v>18</v>
      </c>
      <c r="JG50">
        <v>514.6</v>
      </c>
      <c r="JH50">
        <v>422.623</v>
      </c>
      <c r="JI50">
        <v>22.5997</v>
      </c>
      <c r="JJ50">
        <v>29.2556</v>
      </c>
      <c r="JK50">
        <v>30</v>
      </c>
      <c r="JL50">
        <v>29.202</v>
      </c>
      <c r="JM50">
        <v>29.1255</v>
      </c>
      <c r="JN50">
        <v>11.3498</v>
      </c>
      <c r="JO50">
        <v>55.4487</v>
      </c>
      <c r="JP50">
        <v>0</v>
      </c>
      <c r="JQ50">
        <v>22.6007</v>
      </c>
      <c r="JR50">
        <v>185.72</v>
      </c>
      <c r="JS50">
        <v>8.98901</v>
      </c>
      <c r="JT50">
        <v>100.285</v>
      </c>
      <c r="JU50">
        <v>100.196</v>
      </c>
    </row>
    <row r="51" spans="1:281">
      <c r="A51">
        <v>35</v>
      </c>
      <c r="B51">
        <v>1651857233.6</v>
      </c>
      <c r="C51">
        <v>233</v>
      </c>
      <c r="D51" t="s">
        <v>497</v>
      </c>
      <c r="E51" t="s">
        <v>498</v>
      </c>
      <c r="F51">
        <v>2</v>
      </c>
      <c r="G51" t="s">
        <v>413</v>
      </c>
      <c r="H51" t="s">
        <v>414</v>
      </c>
      <c r="I51">
        <v>1651857232.6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212.2238230038809</v>
      </c>
      <c r="AK51">
        <v>211.0819939393938</v>
      </c>
      <c r="AL51">
        <v>-3.097188335812568</v>
      </c>
      <c r="AM51">
        <v>66.38384787954378</v>
      </c>
      <c r="AN51">
        <f>(AP51 - AO51 + DI51*1E3/(8.314*(DK51+273.15)) * AR51/DH51 * AQ51) * DH51/(100*CV51) * 1000/(1000 - AP51)</f>
        <v>0</v>
      </c>
      <c r="AO51">
        <v>8.958274468687106</v>
      </c>
      <c r="AP51">
        <v>18.3777161764706</v>
      </c>
      <c r="AQ51">
        <v>9.022614626443604E-05</v>
      </c>
      <c r="AR51">
        <v>80.44866334591464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1238</v>
      </c>
      <c r="CA51">
        <v>300</v>
      </c>
      <c r="CB51">
        <v>300</v>
      </c>
      <c r="CC51">
        <v>300</v>
      </c>
      <c r="CD51">
        <v>10440.5</v>
      </c>
      <c r="CE51">
        <v>1411.69</v>
      </c>
      <c r="CF51">
        <v>-0.00735121</v>
      </c>
      <c r="CG51">
        <v>-0.77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1651857232.6</v>
      </c>
      <c r="DB51">
        <v>208.7296666666666</v>
      </c>
      <c r="DC51">
        <v>204.455</v>
      </c>
      <c r="DD51">
        <v>18.37706666666666</v>
      </c>
      <c r="DE51">
        <v>8.958889999999998</v>
      </c>
      <c r="DF51">
        <v>209.6463333333333</v>
      </c>
      <c r="DG51">
        <v>18.37123333333333</v>
      </c>
      <c r="DH51">
        <v>500.0273333333334</v>
      </c>
      <c r="DI51">
        <v>90.10806666666666</v>
      </c>
      <c r="DJ51">
        <v>0.09998580000000001</v>
      </c>
      <c r="DK51">
        <v>25.7277</v>
      </c>
      <c r="DL51">
        <v>25.0024</v>
      </c>
      <c r="DM51">
        <v>999.9</v>
      </c>
      <c r="DN51">
        <v>0</v>
      </c>
      <c r="DO51">
        <v>0</v>
      </c>
      <c r="DP51">
        <v>10002.51666666667</v>
      </c>
      <c r="DQ51">
        <v>0</v>
      </c>
      <c r="DR51">
        <v>3.20383</v>
      </c>
      <c r="DS51">
        <v>4.274883333333334</v>
      </c>
      <c r="DT51">
        <v>212.6373333333333</v>
      </c>
      <c r="DU51">
        <v>206.303</v>
      </c>
      <c r="DV51">
        <v>9.418166666666666</v>
      </c>
      <c r="DW51">
        <v>204.455</v>
      </c>
      <c r="DX51">
        <v>8.958889999999998</v>
      </c>
      <c r="DY51">
        <v>1.65592</v>
      </c>
      <c r="DZ51">
        <v>0.8072683333333334</v>
      </c>
      <c r="EA51">
        <v>14.4893</v>
      </c>
      <c r="EB51">
        <v>3.835753333333333</v>
      </c>
      <c r="EC51">
        <v>1500.016666666667</v>
      </c>
      <c r="ED51">
        <v>0.973002</v>
      </c>
      <c r="EE51">
        <v>0.02699806666666666</v>
      </c>
      <c r="EF51">
        <v>0</v>
      </c>
      <c r="EG51">
        <v>969.3653333333333</v>
      </c>
      <c r="EH51">
        <v>5.00097</v>
      </c>
      <c r="EI51">
        <v>14382.66666666667</v>
      </c>
      <c r="EJ51">
        <v>12491.76666666667</v>
      </c>
      <c r="EK51">
        <v>37.562</v>
      </c>
      <c r="EL51">
        <v>39.062</v>
      </c>
      <c r="EM51">
        <v>37.937</v>
      </c>
      <c r="EN51">
        <v>38.812</v>
      </c>
      <c r="EO51">
        <v>38.437</v>
      </c>
      <c r="EP51">
        <v>1454.656666666667</v>
      </c>
      <c r="EQ51">
        <v>40.36000000000001</v>
      </c>
      <c r="ER51">
        <v>0</v>
      </c>
      <c r="ES51">
        <v>232.2000000476837</v>
      </c>
      <c r="ET51">
        <v>0</v>
      </c>
      <c r="EU51">
        <v>991.2234999999999</v>
      </c>
      <c r="EV51">
        <v>-191.1166838842234</v>
      </c>
      <c r="EW51">
        <v>-2816.259830970817</v>
      </c>
      <c r="EX51">
        <v>14706.90769230769</v>
      </c>
      <c r="EY51">
        <v>15</v>
      </c>
      <c r="EZ51">
        <v>1651857041.1</v>
      </c>
      <c r="FA51" t="s">
        <v>419</v>
      </c>
      <c r="FB51">
        <v>1651857019.6</v>
      </c>
      <c r="FC51">
        <v>1651857041.1</v>
      </c>
      <c r="FD51">
        <v>1</v>
      </c>
      <c r="FE51">
        <v>0.545</v>
      </c>
      <c r="FF51">
        <v>-0.002</v>
      </c>
      <c r="FG51">
        <v>-1.271</v>
      </c>
      <c r="FH51">
        <v>-0.09</v>
      </c>
      <c r="FI51">
        <v>400</v>
      </c>
      <c r="FJ51">
        <v>10</v>
      </c>
      <c r="FK51">
        <v>0.1</v>
      </c>
      <c r="FL51">
        <v>0.02</v>
      </c>
      <c r="FM51">
        <v>1.53906298</v>
      </c>
      <c r="FN51">
        <v>16.56599597448405</v>
      </c>
      <c r="FO51">
        <v>1.614991431336541</v>
      </c>
      <c r="FP51">
        <v>-1</v>
      </c>
      <c r="FQ51">
        <v>9.40815525</v>
      </c>
      <c r="FR51">
        <v>0.07119951219510505</v>
      </c>
      <c r="FS51">
        <v>0.00696283203427308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432</v>
      </c>
      <c r="GB51">
        <v>2.97973</v>
      </c>
      <c r="GC51">
        <v>2.70617</v>
      </c>
      <c r="GD51">
        <v>0.0520314</v>
      </c>
      <c r="GE51">
        <v>0.0503267</v>
      </c>
      <c r="GF51">
        <v>0.0878529</v>
      </c>
      <c r="GG51">
        <v>0.0508791</v>
      </c>
      <c r="GH51">
        <v>29906.4</v>
      </c>
      <c r="GI51">
        <v>30025.8</v>
      </c>
      <c r="GJ51">
        <v>29337.6</v>
      </c>
      <c r="GK51">
        <v>29250.7</v>
      </c>
      <c r="GL51">
        <v>35436.7</v>
      </c>
      <c r="GM51">
        <v>36972.6</v>
      </c>
      <c r="GN51">
        <v>41297</v>
      </c>
      <c r="GO51">
        <v>41744.8</v>
      </c>
      <c r="GP51">
        <v>1.95362</v>
      </c>
      <c r="GQ51">
        <v>1.83317</v>
      </c>
      <c r="GR51">
        <v>-0.0357851</v>
      </c>
      <c r="GS51">
        <v>0</v>
      </c>
      <c r="GT51">
        <v>25.5929</v>
      </c>
      <c r="GU51">
        <v>999.9</v>
      </c>
      <c r="GV51">
        <v>39.2</v>
      </c>
      <c r="GW51">
        <v>33.8</v>
      </c>
      <c r="GX51">
        <v>22.9876</v>
      </c>
      <c r="GY51">
        <v>62.4376</v>
      </c>
      <c r="GZ51">
        <v>35.5929</v>
      </c>
      <c r="HA51">
        <v>1</v>
      </c>
      <c r="HB51">
        <v>0.147017</v>
      </c>
      <c r="HC51">
        <v>2.27634</v>
      </c>
      <c r="HD51">
        <v>20.3182</v>
      </c>
      <c r="HE51">
        <v>5.21714</v>
      </c>
      <c r="HF51">
        <v>12.0099</v>
      </c>
      <c r="HG51">
        <v>4.9881</v>
      </c>
      <c r="HH51">
        <v>3.28865</v>
      </c>
      <c r="HI51">
        <v>846.6</v>
      </c>
      <c r="HJ51">
        <v>8423.6</v>
      </c>
      <c r="HK51">
        <v>5139.4</v>
      </c>
      <c r="HL51">
        <v>22.8</v>
      </c>
      <c r="HM51">
        <v>1.86752</v>
      </c>
      <c r="HN51">
        <v>1.86649</v>
      </c>
      <c r="HO51">
        <v>1.866</v>
      </c>
      <c r="HP51">
        <v>1.8659</v>
      </c>
      <c r="HQ51">
        <v>1.8677</v>
      </c>
      <c r="HR51">
        <v>1.87024</v>
      </c>
      <c r="HS51">
        <v>1.8689</v>
      </c>
      <c r="HT51">
        <v>1.87027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-0.911</v>
      </c>
      <c r="II51">
        <v>0.0058</v>
      </c>
      <c r="IJ51">
        <v>-0.4995723906072</v>
      </c>
      <c r="IK51">
        <v>-0.002077099775823331</v>
      </c>
      <c r="IL51">
        <v>4.593143279902166E-07</v>
      </c>
      <c r="IM51">
        <v>-1.865383991892071E-10</v>
      </c>
      <c r="IN51">
        <v>-0.07605349583632376</v>
      </c>
      <c r="IO51">
        <v>-0.01129461987421345</v>
      </c>
      <c r="IP51">
        <v>0.00116580895745559</v>
      </c>
      <c r="IQ51">
        <v>-1.679085872906199E-05</v>
      </c>
      <c r="IR51">
        <v>2</v>
      </c>
      <c r="IS51">
        <v>2290</v>
      </c>
      <c r="IT51">
        <v>0</v>
      </c>
      <c r="IU51">
        <v>32</v>
      </c>
      <c r="IV51">
        <v>3.6</v>
      </c>
      <c r="IW51">
        <v>3.2</v>
      </c>
      <c r="IX51">
        <v>0.552979</v>
      </c>
      <c r="IY51">
        <v>2.25586</v>
      </c>
      <c r="IZ51">
        <v>1.39648</v>
      </c>
      <c r="JA51">
        <v>2.3584</v>
      </c>
      <c r="JB51">
        <v>1.49536</v>
      </c>
      <c r="JC51">
        <v>2.34009</v>
      </c>
      <c r="JD51">
        <v>38.2812</v>
      </c>
      <c r="JE51">
        <v>24.0437</v>
      </c>
      <c r="JF51">
        <v>18</v>
      </c>
      <c r="JG51">
        <v>514.644</v>
      </c>
      <c r="JH51">
        <v>422.727</v>
      </c>
      <c r="JI51">
        <v>22.6014</v>
      </c>
      <c r="JJ51">
        <v>29.2543</v>
      </c>
      <c r="JK51">
        <v>30</v>
      </c>
      <c r="JL51">
        <v>29.2013</v>
      </c>
      <c r="JM51">
        <v>29.1255</v>
      </c>
      <c r="JN51">
        <v>11.0549</v>
      </c>
      <c r="JO51">
        <v>55.4487</v>
      </c>
      <c r="JP51">
        <v>0</v>
      </c>
      <c r="JQ51">
        <v>22.6026</v>
      </c>
      <c r="JR51">
        <v>178.872</v>
      </c>
      <c r="JS51">
        <v>8.98901</v>
      </c>
      <c r="JT51">
        <v>100.286</v>
      </c>
      <c r="JU51">
        <v>100.196</v>
      </c>
    </row>
    <row r="52" spans="1:281">
      <c r="A52">
        <v>36</v>
      </c>
      <c r="B52">
        <v>1651857235.6</v>
      </c>
      <c r="C52">
        <v>235</v>
      </c>
      <c r="D52" t="s">
        <v>499</v>
      </c>
      <c r="E52" t="s">
        <v>500</v>
      </c>
      <c r="F52">
        <v>2</v>
      </c>
      <c r="G52" t="s">
        <v>413</v>
      </c>
      <c r="H52" t="s">
        <v>414</v>
      </c>
      <c r="I52">
        <v>1651857234.225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205.5423760556132</v>
      </c>
      <c r="AK52">
        <v>204.8655575757575</v>
      </c>
      <c r="AL52">
        <v>-3.107606616142308</v>
      </c>
      <c r="AM52">
        <v>66.38384787954378</v>
      </c>
      <c r="AN52">
        <f>(AP52 - AO52 + DI52*1E3/(8.314*(DK52+273.15)) * AR52/DH52 * AQ52) * DH52/(100*CV52) * 1000/(1000 - AP52)</f>
        <v>0</v>
      </c>
      <c r="AO52">
        <v>8.959322776251545</v>
      </c>
      <c r="AP52">
        <v>18.38052735294118</v>
      </c>
      <c r="AQ52">
        <v>8.030327327938893E-05</v>
      </c>
      <c r="AR52">
        <v>80.44866334591464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1238</v>
      </c>
      <c r="CA52">
        <v>300</v>
      </c>
      <c r="CB52">
        <v>300</v>
      </c>
      <c r="CC52">
        <v>300</v>
      </c>
      <c r="CD52">
        <v>10440.5</v>
      </c>
      <c r="CE52">
        <v>1411.69</v>
      </c>
      <c r="CF52">
        <v>-0.00735121</v>
      </c>
      <c r="CG52">
        <v>-0.77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1651857234.225</v>
      </c>
      <c r="DB52">
        <v>203.77</v>
      </c>
      <c r="DC52">
        <v>199.14475</v>
      </c>
      <c r="DD52">
        <v>18.37965</v>
      </c>
      <c r="DE52">
        <v>8.9563825</v>
      </c>
      <c r="DF52">
        <v>204.677</v>
      </c>
      <c r="DG52">
        <v>18.373825</v>
      </c>
      <c r="DH52">
        <v>500.048</v>
      </c>
      <c r="DI52">
        <v>90.10845</v>
      </c>
      <c r="DJ52">
        <v>0.100028975</v>
      </c>
      <c r="DK52">
        <v>25.72885</v>
      </c>
      <c r="DL52">
        <v>25.007175</v>
      </c>
      <c r="DM52">
        <v>999.9</v>
      </c>
      <c r="DN52">
        <v>0</v>
      </c>
      <c r="DO52">
        <v>0</v>
      </c>
      <c r="DP52">
        <v>10000.325</v>
      </c>
      <c r="DQ52">
        <v>0</v>
      </c>
      <c r="DR52">
        <v>3.20383</v>
      </c>
      <c r="DS52">
        <v>4.6250925</v>
      </c>
      <c r="DT52">
        <v>207.58525</v>
      </c>
      <c r="DU52">
        <v>200.9445</v>
      </c>
      <c r="DV52">
        <v>9.423272499999999</v>
      </c>
      <c r="DW52">
        <v>199.14475</v>
      </c>
      <c r="DX52">
        <v>8.9563825</v>
      </c>
      <c r="DY52">
        <v>1.65616</v>
      </c>
      <c r="DZ52">
        <v>0.8070455000000001</v>
      </c>
      <c r="EA52">
        <v>14.49155</v>
      </c>
      <c r="EB52">
        <v>3.8318325</v>
      </c>
      <c r="EC52">
        <v>1499.975</v>
      </c>
      <c r="ED52">
        <v>0.9730082499999999</v>
      </c>
      <c r="EE52">
        <v>0.02699175</v>
      </c>
      <c r="EF52">
        <v>0</v>
      </c>
      <c r="EG52">
        <v>964.12625</v>
      </c>
      <c r="EH52">
        <v>5.00097</v>
      </c>
      <c r="EI52">
        <v>14305.775</v>
      </c>
      <c r="EJ52">
        <v>12491.425</v>
      </c>
      <c r="EK52">
        <v>37.562</v>
      </c>
      <c r="EL52">
        <v>39.062</v>
      </c>
      <c r="EM52">
        <v>37.937</v>
      </c>
      <c r="EN52">
        <v>38.812</v>
      </c>
      <c r="EO52">
        <v>38.437</v>
      </c>
      <c r="EP52">
        <v>1454.625</v>
      </c>
      <c r="EQ52">
        <v>40.35</v>
      </c>
      <c r="ER52">
        <v>0</v>
      </c>
      <c r="ES52">
        <v>234.6000001430511</v>
      </c>
      <c r="ET52">
        <v>0</v>
      </c>
      <c r="EU52">
        <v>983.6369999999999</v>
      </c>
      <c r="EV52">
        <v>-191.3485813141776</v>
      </c>
      <c r="EW52">
        <v>-2819.757266918413</v>
      </c>
      <c r="EX52">
        <v>14594.56538461538</v>
      </c>
      <c r="EY52">
        <v>15</v>
      </c>
      <c r="EZ52">
        <v>1651857041.1</v>
      </c>
      <c r="FA52" t="s">
        <v>419</v>
      </c>
      <c r="FB52">
        <v>1651857019.6</v>
      </c>
      <c r="FC52">
        <v>1651857041.1</v>
      </c>
      <c r="FD52">
        <v>1</v>
      </c>
      <c r="FE52">
        <v>0.545</v>
      </c>
      <c r="FF52">
        <v>-0.002</v>
      </c>
      <c r="FG52">
        <v>-1.271</v>
      </c>
      <c r="FH52">
        <v>-0.09</v>
      </c>
      <c r="FI52">
        <v>400</v>
      </c>
      <c r="FJ52">
        <v>10</v>
      </c>
      <c r="FK52">
        <v>0.1</v>
      </c>
      <c r="FL52">
        <v>0.02</v>
      </c>
      <c r="FM52">
        <v>1.789875205</v>
      </c>
      <c r="FN52">
        <v>17.2329151587242</v>
      </c>
      <c r="FO52">
        <v>1.671503643630073</v>
      </c>
      <c r="FP52">
        <v>-1</v>
      </c>
      <c r="FQ52">
        <v>9.409533</v>
      </c>
      <c r="FR52">
        <v>0.07014596622888891</v>
      </c>
      <c r="FS52">
        <v>0.00684704103974837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432</v>
      </c>
      <c r="GB52">
        <v>2.97987</v>
      </c>
      <c r="GC52">
        <v>2.70622</v>
      </c>
      <c r="GD52">
        <v>0.0506636</v>
      </c>
      <c r="GE52">
        <v>0.0488621</v>
      </c>
      <c r="GF52">
        <v>0.0878608</v>
      </c>
      <c r="GG52">
        <v>0.050866</v>
      </c>
      <c r="GH52">
        <v>29949.7</v>
      </c>
      <c r="GI52">
        <v>30072.2</v>
      </c>
      <c r="GJ52">
        <v>29337.7</v>
      </c>
      <c r="GK52">
        <v>29250.8</v>
      </c>
      <c r="GL52">
        <v>35436.7</v>
      </c>
      <c r="GM52">
        <v>36972.7</v>
      </c>
      <c r="GN52">
        <v>41297.4</v>
      </c>
      <c r="GO52">
        <v>41744.3</v>
      </c>
      <c r="GP52">
        <v>1.95347</v>
      </c>
      <c r="GQ52">
        <v>1.8333</v>
      </c>
      <c r="GR52">
        <v>-0.035651</v>
      </c>
      <c r="GS52">
        <v>0</v>
      </c>
      <c r="GT52">
        <v>25.5929</v>
      </c>
      <c r="GU52">
        <v>999.9</v>
      </c>
      <c r="GV52">
        <v>39.1</v>
      </c>
      <c r="GW52">
        <v>33.8</v>
      </c>
      <c r="GX52">
        <v>22.9288</v>
      </c>
      <c r="GY52">
        <v>62.4176</v>
      </c>
      <c r="GZ52">
        <v>35.1963</v>
      </c>
      <c r="HA52">
        <v>1</v>
      </c>
      <c r="HB52">
        <v>0.146999</v>
      </c>
      <c r="HC52">
        <v>2.2789</v>
      </c>
      <c r="HD52">
        <v>20.3181</v>
      </c>
      <c r="HE52">
        <v>5.21699</v>
      </c>
      <c r="HF52">
        <v>12.0099</v>
      </c>
      <c r="HG52">
        <v>4.988</v>
      </c>
      <c r="HH52">
        <v>3.2886</v>
      </c>
      <c r="HI52">
        <v>846.8</v>
      </c>
      <c r="HJ52">
        <v>8425.9</v>
      </c>
      <c r="HK52">
        <v>5139.4</v>
      </c>
      <c r="HL52">
        <v>22.8</v>
      </c>
      <c r="HM52">
        <v>1.86752</v>
      </c>
      <c r="HN52">
        <v>1.86648</v>
      </c>
      <c r="HO52">
        <v>1.866</v>
      </c>
      <c r="HP52">
        <v>1.8659</v>
      </c>
      <c r="HQ52">
        <v>1.8677</v>
      </c>
      <c r="HR52">
        <v>1.87026</v>
      </c>
      <c r="HS52">
        <v>1.8689</v>
      </c>
      <c r="HT52">
        <v>1.87027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-0.899</v>
      </c>
      <c r="II52">
        <v>0.0058</v>
      </c>
      <c r="IJ52">
        <v>-0.4995723906072</v>
      </c>
      <c r="IK52">
        <v>-0.002077099775823331</v>
      </c>
      <c r="IL52">
        <v>4.593143279902166E-07</v>
      </c>
      <c r="IM52">
        <v>-1.865383991892071E-10</v>
      </c>
      <c r="IN52">
        <v>-0.07605349583632376</v>
      </c>
      <c r="IO52">
        <v>-0.01129461987421345</v>
      </c>
      <c r="IP52">
        <v>0.00116580895745559</v>
      </c>
      <c r="IQ52">
        <v>-1.679085872906199E-05</v>
      </c>
      <c r="IR52">
        <v>2</v>
      </c>
      <c r="IS52">
        <v>2290</v>
      </c>
      <c r="IT52">
        <v>0</v>
      </c>
      <c r="IU52">
        <v>32</v>
      </c>
      <c r="IV52">
        <v>3.6</v>
      </c>
      <c r="IW52">
        <v>3.2</v>
      </c>
      <c r="IX52">
        <v>0.5371089999999999</v>
      </c>
      <c r="IY52">
        <v>2.26074</v>
      </c>
      <c r="IZ52">
        <v>1.39648</v>
      </c>
      <c r="JA52">
        <v>2.35962</v>
      </c>
      <c r="JB52">
        <v>1.49536</v>
      </c>
      <c r="JC52">
        <v>2.29126</v>
      </c>
      <c r="JD52">
        <v>38.2812</v>
      </c>
      <c r="JE52">
        <v>24.035</v>
      </c>
      <c r="JF52">
        <v>18</v>
      </c>
      <c r="JG52">
        <v>514.535</v>
      </c>
      <c r="JH52">
        <v>422.801</v>
      </c>
      <c r="JI52">
        <v>22.6026</v>
      </c>
      <c r="JJ52">
        <v>29.2537</v>
      </c>
      <c r="JK52">
        <v>30</v>
      </c>
      <c r="JL52">
        <v>29.2</v>
      </c>
      <c r="JM52">
        <v>29.1255</v>
      </c>
      <c r="JN52">
        <v>10.7593</v>
      </c>
      <c r="JO52">
        <v>55.4487</v>
      </c>
      <c r="JP52">
        <v>0</v>
      </c>
      <c r="JQ52">
        <v>22.6026</v>
      </c>
      <c r="JR52">
        <v>172.193</v>
      </c>
      <c r="JS52">
        <v>8.98901</v>
      </c>
      <c r="JT52">
        <v>100.287</v>
      </c>
      <c r="JU52">
        <v>100.195</v>
      </c>
    </row>
    <row r="53" spans="1:281">
      <c r="A53">
        <v>37</v>
      </c>
      <c r="B53">
        <v>1651857237.6</v>
      </c>
      <c r="C53">
        <v>237</v>
      </c>
      <c r="D53" t="s">
        <v>501</v>
      </c>
      <c r="E53" t="s">
        <v>502</v>
      </c>
      <c r="F53">
        <v>2</v>
      </c>
      <c r="G53" t="s">
        <v>413</v>
      </c>
      <c r="H53" t="s">
        <v>414</v>
      </c>
      <c r="I53">
        <v>1651857236.6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198.9534932855495</v>
      </c>
      <c r="AK53">
        <v>198.7153454545454</v>
      </c>
      <c r="AL53">
        <v>-3.086762063306325</v>
      </c>
      <c r="AM53">
        <v>66.38384787954378</v>
      </c>
      <c r="AN53">
        <f>(AP53 - AO53 + DI53*1E3/(8.314*(DK53+273.15)) * AR53/DH53 * AQ53) * DH53/(100*CV53) * 1000/(1000 - AP53)</f>
        <v>0</v>
      </c>
      <c r="AO53">
        <v>8.957839920155655</v>
      </c>
      <c r="AP53">
        <v>18.38073411764706</v>
      </c>
      <c r="AQ53">
        <v>7.149099588366816E-05</v>
      </c>
      <c r="AR53">
        <v>80.44866334591464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1238</v>
      </c>
      <c r="CA53">
        <v>300</v>
      </c>
      <c r="CB53">
        <v>300</v>
      </c>
      <c r="CC53">
        <v>300</v>
      </c>
      <c r="CD53">
        <v>10440.5</v>
      </c>
      <c r="CE53">
        <v>1411.69</v>
      </c>
      <c r="CF53">
        <v>-0.00735121</v>
      </c>
      <c r="CG53">
        <v>-0.77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1651857236.6</v>
      </c>
      <c r="DB53">
        <v>196.5703333333333</v>
      </c>
      <c r="DC53">
        <v>191.2713333333334</v>
      </c>
      <c r="DD53">
        <v>18.38023333333333</v>
      </c>
      <c r="DE53">
        <v>8.954940000000001</v>
      </c>
      <c r="DF53">
        <v>197.4633333333333</v>
      </c>
      <c r="DG53">
        <v>18.3744</v>
      </c>
      <c r="DH53">
        <v>500.0323333333334</v>
      </c>
      <c r="DI53">
        <v>90.10849999999999</v>
      </c>
      <c r="DJ53">
        <v>0.09993123333333333</v>
      </c>
      <c r="DK53">
        <v>25.7309</v>
      </c>
      <c r="DL53">
        <v>24.99963333333333</v>
      </c>
      <c r="DM53">
        <v>999.9</v>
      </c>
      <c r="DN53">
        <v>0</v>
      </c>
      <c r="DO53">
        <v>0</v>
      </c>
      <c r="DP53">
        <v>10000.63333333333</v>
      </c>
      <c r="DQ53">
        <v>0</v>
      </c>
      <c r="DR53">
        <v>3.20383</v>
      </c>
      <c r="DS53">
        <v>5.298493333333334</v>
      </c>
      <c r="DT53">
        <v>200.2506666666667</v>
      </c>
      <c r="DU53">
        <v>193</v>
      </c>
      <c r="DV53">
        <v>9.425273333333335</v>
      </c>
      <c r="DW53">
        <v>191.2713333333334</v>
      </c>
      <c r="DX53">
        <v>8.954940000000001</v>
      </c>
      <c r="DY53">
        <v>1.656213333333334</v>
      </c>
      <c r="DZ53">
        <v>0.8069163333333332</v>
      </c>
      <c r="EA53">
        <v>14.492</v>
      </c>
      <c r="EB53">
        <v>3.829556666666666</v>
      </c>
      <c r="EC53">
        <v>1499.896666666667</v>
      </c>
      <c r="ED53">
        <v>0.973007</v>
      </c>
      <c r="EE53">
        <v>0.0269931</v>
      </c>
      <c r="EF53">
        <v>0</v>
      </c>
      <c r="EG53">
        <v>957.176</v>
      </c>
      <c r="EH53">
        <v>5.00097</v>
      </c>
      <c r="EI53">
        <v>14198.53333333333</v>
      </c>
      <c r="EJ53">
        <v>12490.73333333333</v>
      </c>
      <c r="EK53">
        <v>37.562</v>
      </c>
      <c r="EL53">
        <v>39.062</v>
      </c>
      <c r="EM53">
        <v>37.979</v>
      </c>
      <c r="EN53">
        <v>38.812</v>
      </c>
      <c r="EO53">
        <v>38.437</v>
      </c>
      <c r="EP53">
        <v>1454.546666666666</v>
      </c>
      <c r="EQ53">
        <v>40.35</v>
      </c>
      <c r="ER53">
        <v>0</v>
      </c>
      <c r="ES53">
        <v>236.4000000953674</v>
      </c>
      <c r="ET53">
        <v>0</v>
      </c>
      <c r="EU53">
        <v>977.0162399999998</v>
      </c>
      <c r="EV53">
        <v>-189.513307383151</v>
      </c>
      <c r="EW53">
        <v>-2806.553841901008</v>
      </c>
      <c r="EX53">
        <v>14496.5</v>
      </c>
      <c r="EY53">
        <v>15</v>
      </c>
      <c r="EZ53">
        <v>1651857041.1</v>
      </c>
      <c r="FA53" t="s">
        <v>419</v>
      </c>
      <c r="FB53">
        <v>1651857019.6</v>
      </c>
      <c r="FC53">
        <v>1651857041.1</v>
      </c>
      <c r="FD53">
        <v>1</v>
      </c>
      <c r="FE53">
        <v>0.545</v>
      </c>
      <c r="FF53">
        <v>-0.002</v>
      </c>
      <c r="FG53">
        <v>-1.271</v>
      </c>
      <c r="FH53">
        <v>-0.09</v>
      </c>
      <c r="FI53">
        <v>400</v>
      </c>
      <c r="FJ53">
        <v>10</v>
      </c>
      <c r="FK53">
        <v>0.1</v>
      </c>
      <c r="FL53">
        <v>0.02</v>
      </c>
      <c r="FM53">
        <v>2.596856905</v>
      </c>
      <c r="FN53">
        <v>18.24664417485928</v>
      </c>
      <c r="FO53">
        <v>1.758521141159546</v>
      </c>
      <c r="FP53">
        <v>-1</v>
      </c>
      <c r="FQ53">
        <v>9.41362475</v>
      </c>
      <c r="FR53">
        <v>0.07179050656659619</v>
      </c>
      <c r="FS53">
        <v>0.007046141492866801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432</v>
      </c>
      <c r="GB53">
        <v>2.97974</v>
      </c>
      <c r="GC53">
        <v>2.70617</v>
      </c>
      <c r="GD53">
        <v>0.0492936</v>
      </c>
      <c r="GE53">
        <v>0.0473407</v>
      </c>
      <c r="GF53">
        <v>0.0878579</v>
      </c>
      <c r="GG53">
        <v>0.050871</v>
      </c>
      <c r="GH53">
        <v>29992.5</v>
      </c>
      <c r="GI53">
        <v>30120.3</v>
      </c>
      <c r="GJ53">
        <v>29337.3</v>
      </c>
      <c r="GK53">
        <v>29250.8</v>
      </c>
      <c r="GL53">
        <v>35436.4</v>
      </c>
      <c r="GM53">
        <v>36972.6</v>
      </c>
      <c r="GN53">
        <v>41296.9</v>
      </c>
      <c r="GO53">
        <v>41744.5</v>
      </c>
      <c r="GP53">
        <v>1.9536</v>
      </c>
      <c r="GQ53">
        <v>1.83328</v>
      </c>
      <c r="GR53">
        <v>-0.0364184</v>
      </c>
      <c r="GS53">
        <v>0</v>
      </c>
      <c r="GT53">
        <v>25.5929</v>
      </c>
      <c r="GU53">
        <v>999.9</v>
      </c>
      <c r="GV53">
        <v>39.1</v>
      </c>
      <c r="GW53">
        <v>33.8</v>
      </c>
      <c r="GX53">
        <v>22.9263</v>
      </c>
      <c r="GY53">
        <v>62.5176</v>
      </c>
      <c r="GZ53">
        <v>35.629</v>
      </c>
      <c r="HA53">
        <v>1</v>
      </c>
      <c r="HB53">
        <v>0.146969</v>
      </c>
      <c r="HC53">
        <v>2.27962</v>
      </c>
      <c r="HD53">
        <v>20.3181</v>
      </c>
      <c r="HE53">
        <v>5.21699</v>
      </c>
      <c r="HF53">
        <v>12.0099</v>
      </c>
      <c r="HG53">
        <v>4.988</v>
      </c>
      <c r="HH53">
        <v>3.28853</v>
      </c>
      <c r="HI53">
        <v>846.8</v>
      </c>
      <c r="HJ53">
        <v>8425.9</v>
      </c>
      <c r="HK53">
        <v>5139.4</v>
      </c>
      <c r="HL53">
        <v>22.8</v>
      </c>
      <c r="HM53">
        <v>1.86752</v>
      </c>
      <c r="HN53">
        <v>1.86646</v>
      </c>
      <c r="HO53">
        <v>1.866</v>
      </c>
      <c r="HP53">
        <v>1.86589</v>
      </c>
      <c r="HQ53">
        <v>1.8677</v>
      </c>
      <c r="HR53">
        <v>1.87027</v>
      </c>
      <c r="HS53">
        <v>1.8689</v>
      </c>
      <c r="HT53">
        <v>1.87027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-0.887</v>
      </c>
      <c r="II53">
        <v>0.0059</v>
      </c>
      <c r="IJ53">
        <v>-0.4995723906072</v>
      </c>
      <c r="IK53">
        <v>-0.002077099775823331</v>
      </c>
      <c r="IL53">
        <v>4.593143279902166E-07</v>
      </c>
      <c r="IM53">
        <v>-1.865383991892071E-10</v>
      </c>
      <c r="IN53">
        <v>-0.07605349583632376</v>
      </c>
      <c r="IO53">
        <v>-0.01129461987421345</v>
      </c>
      <c r="IP53">
        <v>0.00116580895745559</v>
      </c>
      <c r="IQ53">
        <v>-1.679085872906199E-05</v>
      </c>
      <c r="IR53">
        <v>2</v>
      </c>
      <c r="IS53">
        <v>2290</v>
      </c>
      <c r="IT53">
        <v>0</v>
      </c>
      <c r="IU53">
        <v>32</v>
      </c>
      <c r="IV53">
        <v>3.6</v>
      </c>
      <c r="IW53">
        <v>3.3</v>
      </c>
      <c r="IX53">
        <v>0.523682</v>
      </c>
      <c r="IY53">
        <v>2.26074</v>
      </c>
      <c r="IZ53">
        <v>1.39648</v>
      </c>
      <c r="JA53">
        <v>2.35962</v>
      </c>
      <c r="JB53">
        <v>1.49536</v>
      </c>
      <c r="JC53">
        <v>2.34131</v>
      </c>
      <c r="JD53">
        <v>38.3056</v>
      </c>
      <c r="JE53">
        <v>24.035</v>
      </c>
      <c r="JF53">
        <v>18</v>
      </c>
      <c r="JG53">
        <v>514.612</v>
      </c>
      <c r="JH53">
        <v>422.786</v>
      </c>
      <c r="JI53">
        <v>22.6032</v>
      </c>
      <c r="JJ53">
        <v>29.2524</v>
      </c>
      <c r="JK53">
        <v>29.9999</v>
      </c>
      <c r="JL53">
        <v>29.1995</v>
      </c>
      <c r="JM53">
        <v>29.1255</v>
      </c>
      <c r="JN53">
        <v>10.4673</v>
      </c>
      <c r="JO53">
        <v>55.4487</v>
      </c>
      <c r="JP53">
        <v>0</v>
      </c>
      <c r="JQ53">
        <v>22.6026</v>
      </c>
      <c r="JR53">
        <v>165.514</v>
      </c>
      <c r="JS53">
        <v>8.98901</v>
      </c>
      <c r="JT53">
        <v>100.286</v>
      </c>
      <c r="JU53">
        <v>100.195</v>
      </c>
    </row>
    <row r="54" spans="1:281">
      <c r="A54">
        <v>38</v>
      </c>
      <c r="B54">
        <v>1651857239.6</v>
      </c>
      <c r="C54">
        <v>239</v>
      </c>
      <c r="D54" t="s">
        <v>503</v>
      </c>
      <c r="E54" t="s">
        <v>504</v>
      </c>
      <c r="F54">
        <v>2</v>
      </c>
      <c r="G54" t="s">
        <v>413</v>
      </c>
      <c r="H54" t="s">
        <v>414</v>
      </c>
      <c r="I54">
        <v>1651857238.225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192.2200657210093</v>
      </c>
      <c r="AK54">
        <v>192.5411212121212</v>
      </c>
      <c r="AL54">
        <v>-3.082832480534035</v>
      </c>
      <c r="AM54">
        <v>66.38384787954378</v>
      </c>
      <c r="AN54">
        <f>(AP54 - AO54 + DI54*1E3/(8.314*(DK54+273.15)) * AR54/DH54 * AQ54) * DH54/(100*CV54) * 1000/(1000 - AP54)</f>
        <v>0</v>
      </c>
      <c r="AO54">
        <v>8.955281321487307</v>
      </c>
      <c r="AP54">
        <v>18.37953647058823</v>
      </c>
      <c r="AQ54">
        <v>7.632111636240044E-05</v>
      </c>
      <c r="AR54">
        <v>80.44866334591464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1238</v>
      </c>
      <c r="CA54">
        <v>300</v>
      </c>
      <c r="CB54">
        <v>300</v>
      </c>
      <c r="CC54">
        <v>300</v>
      </c>
      <c r="CD54">
        <v>10440.5</v>
      </c>
      <c r="CE54">
        <v>1411.69</v>
      </c>
      <c r="CF54">
        <v>-0.00735121</v>
      </c>
      <c r="CG54">
        <v>-0.77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1651857238.225</v>
      </c>
      <c r="DB54">
        <v>191.65225</v>
      </c>
      <c r="DC54">
        <v>185.783</v>
      </c>
      <c r="DD54">
        <v>18.379975</v>
      </c>
      <c r="DE54">
        <v>8.9549275</v>
      </c>
      <c r="DF54">
        <v>192.5355</v>
      </c>
      <c r="DG54">
        <v>18.37415</v>
      </c>
      <c r="DH54">
        <v>500.0337499999999</v>
      </c>
      <c r="DI54">
        <v>90.10810000000001</v>
      </c>
      <c r="DJ54">
        <v>0.100037</v>
      </c>
      <c r="DK54">
        <v>25.7318</v>
      </c>
      <c r="DL54">
        <v>24.99635</v>
      </c>
      <c r="DM54">
        <v>999.9</v>
      </c>
      <c r="DN54">
        <v>0</v>
      </c>
      <c r="DO54">
        <v>0</v>
      </c>
      <c r="DP54">
        <v>9997.955000000002</v>
      </c>
      <c r="DQ54">
        <v>0</v>
      </c>
      <c r="DR54">
        <v>3.20383</v>
      </c>
      <c r="DS54">
        <v>5.86899</v>
      </c>
      <c r="DT54">
        <v>195.2405</v>
      </c>
      <c r="DU54">
        <v>187.462</v>
      </c>
      <c r="DV54">
        <v>9.425057499999999</v>
      </c>
      <c r="DW54">
        <v>185.783</v>
      </c>
      <c r="DX54">
        <v>8.9549275</v>
      </c>
      <c r="DY54">
        <v>1.656185</v>
      </c>
      <c r="DZ54">
        <v>0.8069115</v>
      </c>
      <c r="EA54">
        <v>14.49175</v>
      </c>
      <c r="EB54">
        <v>3.829475</v>
      </c>
      <c r="EC54">
        <v>1499.8925</v>
      </c>
      <c r="ED54">
        <v>0.973007</v>
      </c>
      <c r="EE54">
        <v>0.0269931</v>
      </c>
      <c r="EF54">
        <v>0</v>
      </c>
      <c r="EG54">
        <v>952.2935</v>
      </c>
      <c r="EH54">
        <v>5.00097</v>
      </c>
      <c r="EI54">
        <v>14131.1</v>
      </c>
      <c r="EJ54">
        <v>12490.725</v>
      </c>
      <c r="EK54">
        <v>37.562</v>
      </c>
      <c r="EL54">
        <v>39.062</v>
      </c>
      <c r="EM54">
        <v>37.937</v>
      </c>
      <c r="EN54">
        <v>38.812</v>
      </c>
      <c r="EO54">
        <v>38.437</v>
      </c>
      <c r="EP54">
        <v>1454.5425</v>
      </c>
      <c r="EQ54">
        <v>40.35</v>
      </c>
      <c r="ER54">
        <v>0</v>
      </c>
      <c r="ES54">
        <v>238.8000001907349</v>
      </c>
      <c r="ET54">
        <v>0</v>
      </c>
      <c r="EU54">
        <v>969.4940000000001</v>
      </c>
      <c r="EV54">
        <v>-186.5989996908591</v>
      </c>
      <c r="EW54">
        <v>-2768.592303431334</v>
      </c>
      <c r="EX54">
        <v>14385.712</v>
      </c>
      <c r="EY54">
        <v>15</v>
      </c>
      <c r="EZ54">
        <v>1651857041.1</v>
      </c>
      <c r="FA54" t="s">
        <v>419</v>
      </c>
      <c r="FB54">
        <v>1651857019.6</v>
      </c>
      <c r="FC54">
        <v>1651857041.1</v>
      </c>
      <c r="FD54">
        <v>1</v>
      </c>
      <c r="FE54">
        <v>0.545</v>
      </c>
      <c r="FF54">
        <v>-0.002</v>
      </c>
      <c r="FG54">
        <v>-1.271</v>
      </c>
      <c r="FH54">
        <v>-0.09</v>
      </c>
      <c r="FI54">
        <v>400</v>
      </c>
      <c r="FJ54">
        <v>10</v>
      </c>
      <c r="FK54">
        <v>0.1</v>
      </c>
      <c r="FL54">
        <v>0.02</v>
      </c>
      <c r="FM54">
        <v>2.89068613</v>
      </c>
      <c r="FN54">
        <v>18.34544175309568</v>
      </c>
      <c r="FO54">
        <v>1.767646215060964</v>
      </c>
      <c r="FP54">
        <v>-1</v>
      </c>
      <c r="FQ54">
        <v>9.414699500000001</v>
      </c>
      <c r="FR54">
        <v>0.07058093808631041</v>
      </c>
      <c r="FS54">
        <v>0.006943098713830862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432</v>
      </c>
      <c r="GB54">
        <v>2.97973</v>
      </c>
      <c r="GC54">
        <v>2.70618</v>
      </c>
      <c r="GD54">
        <v>0.0479039</v>
      </c>
      <c r="GE54">
        <v>0.0457931</v>
      </c>
      <c r="GF54">
        <v>0.087864</v>
      </c>
      <c r="GG54">
        <v>0.0508667</v>
      </c>
      <c r="GH54">
        <v>30036</v>
      </c>
      <c r="GI54">
        <v>30169.3</v>
      </c>
      <c r="GJ54">
        <v>29336.9</v>
      </c>
      <c r="GK54">
        <v>29250.9</v>
      </c>
      <c r="GL54">
        <v>35435.5</v>
      </c>
      <c r="GM54">
        <v>36972.9</v>
      </c>
      <c r="GN54">
        <v>41296.1</v>
      </c>
      <c r="GO54">
        <v>41744.6</v>
      </c>
      <c r="GP54">
        <v>1.95395</v>
      </c>
      <c r="GQ54">
        <v>1.83312</v>
      </c>
      <c r="GR54">
        <v>-0.0363588</v>
      </c>
      <c r="GS54">
        <v>0</v>
      </c>
      <c r="GT54">
        <v>25.5929</v>
      </c>
      <c r="GU54">
        <v>999.9</v>
      </c>
      <c r="GV54">
        <v>39.1</v>
      </c>
      <c r="GW54">
        <v>33.8</v>
      </c>
      <c r="GX54">
        <v>22.9254</v>
      </c>
      <c r="GY54">
        <v>62.3776</v>
      </c>
      <c r="GZ54">
        <v>35.3085</v>
      </c>
      <c r="HA54">
        <v>1</v>
      </c>
      <c r="HB54">
        <v>0.146979</v>
      </c>
      <c r="HC54">
        <v>2.38678</v>
      </c>
      <c r="HD54">
        <v>20.3167</v>
      </c>
      <c r="HE54">
        <v>5.21714</v>
      </c>
      <c r="HF54">
        <v>12.0099</v>
      </c>
      <c r="HG54">
        <v>4.9881</v>
      </c>
      <c r="HH54">
        <v>3.28855</v>
      </c>
      <c r="HI54">
        <v>846.8</v>
      </c>
      <c r="HJ54">
        <v>8425.9</v>
      </c>
      <c r="HK54">
        <v>5139.4</v>
      </c>
      <c r="HL54">
        <v>22.8</v>
      </c>
      <c r="HM54">
        <v>1.86752</v>
      </c>
      <c r="HN54">
        <v>1.86646</v>
      </c>
      <c r="HO54">
        <v>1.866</v>
      </c>
      <c r="HP54">
        <v>1.8659</v>
      </c>
      <c r="HQ54">
        <v>1.8677</v>
      </c>
      <c r="HR54">
        <v>1.87027</v>
      </c>
      <c r="HS54">
        <v>1.8689</v>
      </c>
      <c r="HT54">
        <v>1.87027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-0.876</v>
      </c>
      <c r="II54">
        <v>0.0059</v>
      </c>
      <c r="IJ54">
        <v>-0.4995723906072</v>
      </c>
      <c r="IK54">
        <v>-0.002077099775823331</v>
      </c>
      <c r="IL54">
        <v>4.593143279902166E-07</v>
      </c>
      <c r="IM54">
        <v>-1.865383991892071E-10</v>
      </c>
      <c r="IN54">
        <v>-0.07605349583632376</v>
      </c>
      <c r="IO54">
        <v>-0.01129461987421345</v>
      </c>
      <c r="IP54">
        <v>0.00116580895745559</v>
      </c>
      <c r="IQ54">
        <v>-1.679085872906199E-05</v>
      </c>
      <c r="IR54">
        <v>2</v>
      </c>
      <c r="IS54">
        <v>2290</v>
      </c>
      <c r="IT54">
        <v>0</v>
      </c>
      <c r="IU54">
        <v>32</v>
      </c>
      <c r="IV54">
        <v>3.7</v>
      </c>
      <c r="IW54">
        <v>3.3</v>
      </c>
      <c r="IX54">
        <v>0.507812</v>
      </c>
      <c r="IY54">
        <v>2.26196</v>
      </c>
      <c r="IZ54">
        <v>1.39648</v>
      </c>
      <c r="JA54">
        <v>2.35962</v>
      </c>
      <c r="JB54">
        <v>1.49536</v>
      </c>
      <c r="JC54">
        <v>2.33643</v>
      </c>
      <c r="JD54">
        <v>38.3056</v>
      </c>
      <c r="JE54">
        <v>24.0437</v>
      </c>
      <c r="JF54">
        <v>18</v>
      </c>
      <c r="JG54">
        <v>514.843</v>
      </c>
      <c r="JH54">
        <v>422.693</v>
      </c>
      <c r="JI54">
        <v>22.6026</v>
      </c>
      <c r="JJ54">
        <v>29.2505</v>
      </c>
      <c r="JK54">
        <v>29.9999</v>
      </c>
      <c r="JL54">
        <v>29.1995</v>
      </c>
      <c r="JM54">
        <v>29.1249</v>
      </c>
      <c r="JN54">
        <v>10.1736</v>
      </c>
      <c r="JO54">
        <v>55.4487</v>
      </c>
      <c r="JP54">
        <v>0</v>
      </c>
      <c r="JQ54">
        <v>22.5444</v>
      </c>
      <c r="JR54">
        <v>158.835</v>
      </c>
      <c r="JS54">
        <v>8.98901</v>
      </c>
      <c r="JT54">
        <v>100.284</v>
      </c>
      <c r="JU54">
        <v>100.195</v>
      </c>
    </row>
    <row r="55" spans="1:281">
      <c r="A55">
        <v>39</v>
      </c>
      <c r="B55">
        <v>1651857241.6</v>
      </c>
      <c r="C55">
        <v>241</v>
      </c>
      <c r="D55" t="s">
        <v>505</v>
      </c>
      <c r="E55" t="s">
        <v>506</v>
      </c>
      <c r="F55">
        <v>2</v>
      </c>
      <c r="G55" t="s">
        <v>413</v>
      </c>
      <c r="H55" t="s">
        <v>414</v>
      </c>
      <c r="I55">
        <v>1651857240.6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185.3949618398313</v>
      </c>
      <c r="AK55">
        <v>186.3448424242423</v>
      </c>
      <c r="AL55">
        <v>-3.09433075474919</v>
      </c>
      <c r="AM55">
        <v>66.38384787954378</v>
      </c>
      <c r="AN55">
        <f>(AP55 - AO55 + DI55*1E3/(8.314*(DK55+273.15)) * AR55/DH55 * AQ55) * DH55/(100*CV55) * 1000/(1000 - AP55)</f>
        <v>0</v>
      </c>
      <c r="AO55">
        <v>8.954993077170094</v>
      </c>
      <c r="AP55">
        <v>18.38509147058823</v>
      </c>
      <c r="AQ55">
        <v>-4.894096539724812E-05</v>
      </c>
      <c r="AR55">
        <v>80.44866334591464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1238</v>
      </c>
      <c r="CA55">
        <v>300</v>
      </c>
      <c r="CB55">
        <v>300</v>
      </c>
      <c r="CC55">
        <v>300</v>
      </c>
      <c r="CD55">
        <v>10440.5</v>
      </c>
      <c r="CE55">
        <v>1411.69</v>
      </c>
      <c r="CF55">
        <v>-0.00735121</v>
      </c>
      <c r="CG55">
        <v>-0.77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1651857240.6</v>
      </c>
      <c r="DB55">
        <v>184.442</v>
      </c>
      <c r="DC55">
        <v>177.78</v>
      </c>
      <c r="DD55">
        <v>18.38433333333333</v>
      </c>
      <c r="DE55">
        <v>8.95417</v>
      </c>
      <c r="DF55">
        <v>185.312</v>
      </c>
      <c r="DG55">
        <v>18.37843333333333</v>
      </c>
      <c r="DH55">
        <v>500.033</v>
      </c>
      <c r="DI55">
        <v>90.108</v>
      </c>
      <c r="DJ55">
        <v>0.09998449999999999</v>
      </c>
      <c r="DK55">
        <v>25.73463333333333</v>
      </c>
      <c r="DL55">
        <v>24.99836666666667</v>
      </c>
      <c r="DM55">
        <v>999.9</v>
      </c>
      <c r="DN55">
        <v>0</v>
      </c>
      <c r="DO55">
        <v>0</v>
      </c>
      <c r="DP55">
        <v>10010.03333333333</v>
      </c>
      <c r="DQ55">
        <v>0</v>
      </c>
      <c r="DR55">
        <v>3.20383</v>
      </c>
      <c r="DS55">
        <v>6.662226666666666</v>
      </c>
      <c r="DT55">
        <v>187.8966666666667</v>
      </c>
      <c r="DU55">
        <v>179.3863333333333</v>
      </c>
      <c r="DV55">
        <v>9.43019</v>
      </c>
      <c r="DW55">
        <v>177.78</v>
      </c>
      <c r="DX55">
        <v>8.95417</v>
      </c>
      <c r="DY55">
        <v>1.656576666666667</v>
      </c>
      <c r="DZ55">
        <v>0.8068423333333333</v>
      </c>
      <c r="EA55">
        <v>14.4954</v>
      </c>
      <c r="EB55">
        <v>3.828253333333334</v>
      </c>
      <c r="EC55">
        <v>1499.88</v>
      </c>
      <c r="ED55">
        <v>0.973007</v>
      </c>
      <c r="EE55">
        <v>0.0269931</v>
      </c>
      <c r="EF55">
        <v>0</v>
      </c>
      <c r="EG55">
        <v>945.5753333333332</v>
      </c>
      <c r="EH55">
        <v>5.00097</v>
      </c>
      <c r="EI55">
        <v>14027.2</v>
      </c>
      <c r="EJ55">
        <v>12490.6</v>
      </c>
      <c r="EK55">
        <v>37.562</v>
      </c>
      <c r="EL55">
        <v>39.062</v>
      </c>
      <c r="EM55">
        <v>37.979</v>
      </c>
      <c r="EN55">
        <v>38.812</v>
      </c>
      <c r="EO55">
        <v>38.437</v>
      </c>
      <c r="EP55">
        <v>1454.53</v>
      </c>
      <c r="EQ55">
        <v>40.35</v>
      </c>
      <c r="ER55">
        <v>0</v>
      </c>
      <c r="ES55">
        <v>240.6000001430511</v>
      </c>
      <c r="ET55">
        <v>0</v>
      </c>
      <c r="EU55">
        <v>964.9053076923077</v>
      </c>
      <c r="EV55">
        <v>-183.5595898444691</v>
      </c>
      <c r="EW55">
        <v>-2727.705984733869</v>
      </c>
      <c r="EX55">
        <v>14317.64615384615</v>
      </c>
      <c r="EY55">
        <v>15</v>
      </c>
      <c r="EZ55">
        <v>1651857041.1</v>
      </c>
      <c r="FA55" t="s">
        <v>419</v>
      </c>
      <c r="FB55">
        <v>1651857019.6</v>
      </c>
      <c r="FC55">
        <v>1651857041.1</v>
      </c>
      <c r="FD55">
        <v>1</v>
      </c>
      <c r="FE55">
        <v>0.545</v>
      </c>
      <c r="FF55">
        <v>-0.002</v>
      </c>
      <c r="FG55">
        <v>-1.271</v>
      </c>
      <c r="FH55">
        <v>-0.09</v>
      </c>
      <c r="FI55">
        <v>400</v>
      </c>
      <c r="FJ55">
        <v>10</v>
      </c>
      <c r="FK55">
        <v>0.1</v>
      </c>
      <c r="FL55">
        <v>0.02</v>
      </c>
      <c r="FM55">
        <v>3.816595725</v>
      </c>
      <c r="FN55">
        <v>18.26315413508443</v>
      </c>
      <c r="FO55">
        <v>1.759450257902664</v>
      </c>
      <c r="FP55">
        <v>-1</v>
      </c>
      <c r="FQ55">
        <v>9.418094250000001</v>
      </c>
      <c r="FR55">
        <v>0.07325392120073865</v>
      </c>
      <c r="FS55">
        <v>0.007194635462446934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432</v>
      </c>
      <c r="GB55">
        <v>2.97978</v>
      </c>
      <c r="GC55">
        <v>2.7062</v>
      </c>
      <c r="GD55">
        <v>0.0464969</v>
      </c>
      <c r="GE55">
        <v>0.0442583</v>
      </c>
      <c r="GF55">
        <v>0.0878799</v>
      </c>
      <c r="GG55">
        <v>0.0508635</v>
      </c>
      <c r="GH55">
        <v>30080.6</v>
      </c>
      <c r="GI55">
        <v>30218.2</v>
      </c>
      <c r="GJ55">
        <v>29337.1</v>
      </c>
      <c r="GK55">
        <v>29251.3</v>
      </c>
      <c r="GL55">
        <v>35435.1</v>
      </c>
      <c r="GM55">
        <v>36973.3</v>
      </c>
      <c r="GN55">
        <v>41296.5</v>
      </c>
      <c r="GO55">
        <v>41745</v>
      </c>
      <c r="GP55">
        <v>1.95378</v>
      </c>
      <c r="GQ55">
        <v>1.83328</v>
      </c>
      <c r="GR55">
        <v>-0.0363588</v>
      </c>
      <c r="GS55">
        <v>0</v>
      </c>
      <c r="GT55">
        <v>25.5929</v>
      </c>
      <c r="GU55">
        <v>999.9</v>
      </c>
      <c r="GV55">
        <v>39.1</v>
      </c>
      <c r="GW55">
        <v>33.8</v>
      </c>
      <c r="GX55">
        <v>22.9281</v>
      </c>
      <c r="GY55">
        <v>62.4776</v>
      </c>
      <c r="GZ55">
        <v>35.4487</v>
      </c>
      <c r="HA55">
        <v>1</v>
      </c>
      <c r="HB55">
        <v>0.147149</v>
      </c>
      <c r="HC55">
        <v>2.51171</v>
      </c>
      <c r="HD55">
        <v>20.315</v>
      </c>
      <c r="HE55">
        <v>5.21714</v>
      </c>
      <c r="HF55">
        <v>12.0099</v>
      </c>
      <c r="HG55">
        <v>4.98825</v>
      </c>
      <c r="HH55">
        <v>3.28855</v>
      </c>
      <c r="HI55">
        <v>846.8</v>
      </c>
      <c r="HJ55">
        <v>8425.9</v>
      </c>
      <c r="HK55">
        <v>5139.4</v>
      </c>
      <c r="HL55">
        <v>22.8</v>
      </c>
      <c r="HM55">
        <v>1.86752</v>
      </c>
      <c r="HN55">
        <v>1.86646</v>
      </c>
      <c r="HO55">
        <v>1.866</v>
      </c>
      <c r="HP55">
        <v>1.8659</v>
      </c>
      <c r="HQ55">
        <v>1.86769</v>
      </c>
      <c r="HR55">
        <v>1.87025</v>
      </c>
      <c r="HS55">
        <v>1.8689</v>
      </c>
      <c r="HT55">
        <v>1.87027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-0.864</v>
      </c>
      <c r="II55">
        <v>0.0059</v>
      </c>
      <c r="IJ55">
        <v>-0.4995723906072</v>
      </c>
      <c r="IK55">
        <v>-0.002077099775823331</v>
      </c>
      <c r="IL55">
        <v>4.593143279902166E-07</v>
      </c>
      <c r="IM55">
        <v>-1.865383991892071E-10</v>
      </c>
      <c r="IN55">
        <v>-0.07605349583632376</v>
      </c>
      <c r="IO55">
        <v>-0.01129461987421345</v>
      </c>
      <c r="IP55">
        <v>0.00116580895745559</v>
      </c>
      <c r="IQ55">
        <v>-1.679085872906199E-05</v>
      </c>
      <c r="IR55">
        <v>2</v>
      </c>
      <c r="IS55">
        <v>2290</v>
      </c>
      <c r="IT55">
        <v>0</v>
      </c>
      <c r="IU55">
        <v>32</v>
      </c>
      <c r="IV55">
        <v>3.7</v>
      </c>
      <c r="IW55">
        <v>3.3</v>
      </c>
      <c r="IX55">
        <v>0.494385</v>
      </c>
      <c r="IY55">
        <v>2.26929</v>
      </c>
      <c r="IZ55">
        <v>1.39648</v>
      </c>
      <c r="JA55">
        <v>2.35962</v>
      </c>
      <c r="JB55">
        <v>1.49536</v>
      </c>
      <c r="JC55">
        <v>2.28882</v>
      </c>
      <c r="JD55">
        <v>38.2812</v>
      </c>
      <c r="JE55">
        <v>24.035</v>
      </c>
      <c r="JF55">
        <v>18</v>
      </c>
      <c r="JG55">
        <v>514.728</v>
      </c>
      <c r="JH55">
        <v>422.774</v>
      </c>
      <c r="JI55">
        <v>22.5881</v>
      </c>
      <c r="JJ55">
        <v>29.2493</v>
      </c>
      <c r="JK55">
        <v>30.0001</v>
      </c>
      <c r="JL55">
        <v>29.1995</v>
      </c>
      <c r="JM55">
        <v>29.1236</v>
      </c>
      <c r="JN55">
        <v>9.88049</v>
      </c>
      <c r="JO55">
        <v>55.4487</v>
      </c>
      <c r="JP55">
        <v>0</v>
      </c>
      <c r="JQ55">
        <v>22.5444</v>
      </c>
      <c r="JR55">
        <v>152.156</v>
      </c>
      <c r="JS55">
        <v>8.98901</v>
      </c>
      <c r="JT55">
        <v>100.285</v>
      </c>
      <c r="JU55">
        <v>100.197</v>
      </c>
    </row>
    <row r="56" spans="1:281">
      <c r="A56">
        <v>40</v>
      </c>
      <c r="B56">
        <v>1651857243.6</v>
      </c>
      <c r="C56">
        <v>243</v>
      </c>
      <c r="D56" t="s">
        <v>507</v>
      </c>
      <c r="E56" t="s">
        <v>508</v>
      </c>
      <c r="F56">
        <v>2</v>
      </c>
      <c r="G56" t="s">
        <v>413</v>
      </c>
      <c r="H56" t="s">
        <v>414</v>
      </c>
      <c r="I56">
        <v>1651857242.225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178.61703867999</v>
      </c>
      <c r="AK56">
        <v>180.1227151515151</v>
      </c>
      <c r="AL56">
        <v>-3.107481917730387</v>
      </c>
      <c r="AM56">
        <v>66.38384787954378</v>
      </c>
      <c r="AN56">
        <f>(AP56 - AO56 + DI56*1E3/(8.314*(DK56+273.15)) * AR56/DH56 * AQ56) * DH56/(100*CV56) * 1000/(1000 - AP56)</f>
        <v>0</v>
      </c>
      <c r="AO56">
        <v>8.954864360568321</v>
      </c>
      <c r="AP56">
        <v>18.3886044117647</v>
      </c>
      <c r="AQ56">
        <v>9.834420380061752E-06</v>
      </c>
      <c r="AR56">
        <v>80.44866334591464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1238</v>
      </c>
      <c r="CA56">
        <v>300</v>
      </c>
      <c r="CB56">
        <v>300</v>
      </c>
      <c r="CC56">
        <v>300</v>
      </c>
      <c r="CD56">
        <v>10440.5</v>
      </c>
      <c r="CE56">
        <v>1411.69</v>
      </c>
      <c r="CF56">
        <v>-0.00735121</v>
      </c>
      <c r="CG56">
        <v>-0.77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1651857242.225</v>
      </c>
      <c r="DB56">
        <v>179.48325</v>
      </c>
      <c r="DC56">
        <v>172.378</v>
      </c>
      <c r="DD56">
        <v>18.386675</v>
      </c>
      <c r="DE56">
        <v>8.952177499999999</v>
      </c>
      <c r="DF56">
        <v>180.3435</v>
      </c>
      <c r="DG56">
        <v>18.38075</v>
      </c>
      <c r="DH56">
        <v>500.04225</v>
      </c>
      <c r="DI56">
        <v>90.108575</v>
      </c>
      <c r="DJ56">
        <v>0.09998367499999999</v>
      </c>
      <c r="DK56">
        <v>25.73555</v>
      </c>
      <c r="DL56">
        <v>24.99295</v>
      </c>
      <c r="DM56">
        <v>999.9</v>
      </c>
      <c r="DN56">
        <v>0</v>
      </c>
      <c r="DO56">
        <v>0</v>
      </c>
      <c r="DP56">
        <v>10007.8375</v>
      </c>
      <c r="DQ56">
        <v>0</v>
      </c>
      <c r="DR56">
        <v>3.20383</v>
      </c>
      <c r="DS56">
        <v>7.105235</v>
      </c>
      <c r="DT56">
        <v>182.84525</v>
      </c>
      <c r="DU56">
        <v>173.93525</v>
      </c>
      <c r="DV56">
        <v>9.43451</v>
      </c>
      <c r="DW56">
        <v>172.378</v>
      </c>
      <c r="DX56">
        <v>8.952177499999999</v>
      </c>
      <c r="DY56">
        <v>1.6567975</v>
      </c>
      <c r="DZ56">
        <v>0.80666775</v>
      </c>
      <c r="EA56">
        <v>14.497475</v>
      </c>
      <c r="EB56">
        <v>3.82518</v>
      </c>
      <c r="EC56">
        <v>1500.04</v>
      </c>
      <c r="ED56">
        <v>0.9729995</v>
      </c>
      <c r="EE56">
        <v>0.02700055</v>
      </c>
      <c r="EF56">
        <v>0</v>
      </c>
      <c r="EG56">
        <v>941.3530000000001</v>
      </c>
      <c r="EH56">
        <v>5.00097</v>
      </c>
      <c r="EI56">
        <v>13971.475</v>
      </c>
      <c r="EJ56">
        <v>12491.9</v>
      </c>
      <c r="EK56">
        <v>37.562</v>
      </c>
      <c r="EL56">
        <v>39.062</v>
      </c>
      <c r="EM56">
        <v>37.98425</v>
      </c>
      <c r="EN56">
        <v>38.812</v>
      </c>
      <c r="EO56">
        <v>38.437</v>
      </c>
      <c r="EP56">
        <v>1454.675</v>
      </c>
      <c r="EQ56">
        <v>40.365</v>
      </c>
      <c r="ER56">
        <v>0</v>
      </c>
      <c r="ES56">
        <v>242.4000000953674</v>
      </c>
      <c r="ET56">
        <v>0</v>
      </c>
      <c r="EU56">
        <v>958.5469600000001</v>
      </c>
      <c r="EV56">
        <v>-179.2889227870799</v>
      </c>
      <c r="EW56">
        <v>-2656.615380564747</v>
      </c>
      <c r="EX56">
        <v>14223.948</v>
      </c>
      <c r="EY56">
        <v>15</v>
      </c>
      <c r="EZ56">
        <v>1651857041.1</v>
      </c>
      <c r="FA56" t="s">
        <v>419</v>
      </c>
      <c r="FB56">
        <v>1651857019.6</v>
      </c>
      <c r="FC56">
        <v>1651857041.1</v>
      </c>
      <c r="FD56">
        <v>1</v>
      </c>
      <c r="FE56">
        <v>0.545</v>
      </c>
      <c r="FF56">
        <v>-0.002</v>
      </c>
      <c r="FG56">
        <v>-1.271</v>
      </c>
      <c r="FH56">
        <v>-0.09</v>
      </c>
      <c r="FI56">
        <v>400</v>
      </c>
      <c r="FJ56">
        <v>10</v>
      </c>
      <c r="FK56">
        <v>0.1</v>
      </c>
      <c r="FL56">
        <v>0.02</v>
      </c>
      <c r="FM56">
        <v>4.1280395</v>
      </c>
      <c r="FN56">
        <v>18.09461020637898</v>
      </c>
      <c r="FO56">
        <v>1.74280893824732</v>
      </c>
      <c r="FP56">
        <v>-1</v>
      </c>
      <c r="FQ56">
        <v>9.419406499999999</v>
      </c>
      <c r="FR56">
        <v>0.0761175984990559</v>
      </c>
      <c r="FS56">
        <v>0.007480197039517059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432</v>
      </c>
      <c r="GB56">
        <v>2.97971</v>
      </c>
      <c r="GC56">
        <v>2.70616</v>
      </c>
      <c r="GD56">
        <v>0.045073</v>
      </c>
      <c r="GE56">
        <v>0.0427153</v>
      </c>
      <c r="GF56">
        <v>0.0878872</v>
      </c>
      <c r="GG56">
        <v>0.0508531</v>
      </c>
      <c r="GH56">
        <v>30125.5</v>
      </c>
      <c r="GI56">
        <v>30267.2</v>
      </c>
      <c r="GJ56">
        <v>29337.2</v>
      </c>
      <c r="GK56">
        <v>29251.5</v>
      </c>
      <c r="GL56">
        <v>35435</v>
      </c>
      <c r="GM56">
        <v>36973.6</v>
      </c>
      <c r="GN56">
        <v>41296.7</v>
      </c>
      <c r="GO56">
        <v>41744.9</v>
      </c>
      <c r="GP56">
        <v>1.9536</v>
      </c>
      <c r="GQ56">
        <v>1.83333</v>
      </c>
      <c r="GR56">
        <v>-0.03694</v>
      </c>
      <c r="GS56">
        <v>0</v>
      </c>
      <c r="GT56">
        <v>25.5929</v>
      </c>
      <c r="GU56">
        <v>999.9</v>
      </c>
      <c r="GV56">
        <v>39.1</v>
      </c>
      <c r="GW56">
        <v>33.8</v>
      </c>
      <c r="GX56">
        <v>22.926</v>
      </c>
      <c r="GY56">
        <v>62.4876</v>
      </c>
      <c r="GZ56">
        <v>35.5409</v>
      </c>
      <c r="HA56">
        <v>1</v>
      </c>
      <c r="HB56">
        <v>0.147317</v>
      </c>
      <c r="HC56">
        <v>2.48929</v>
      </c>
      <c r="HD56">
        <v>20.3153</v>
      </c>
      <c r="HE56">
        <v>5.21729</v>
      </c>
      <c r="HF56">
        <v>12.0099</v>
      </c>
      <c r="HG56">
        <v>4.98835</v>
      </c>
      <c r="HH56">
        <v>3.28855</v>
      </c>
      <c r="HI56">
        <v>846.8</v>
      </c>
      <c r="HJ56">
        <v>8425.9</v>
      </c>
      <c r="HK56">
        <v>5139.4</v>
      </c>
      <c r="HL56">
        <v>22.8</v>
      </c>
      <c r="HM56">
        <v>1.86752</v>
      </c>
      <c r="HN56">
        <v>1.86647</v>
      </c>
      <c r="HO56">
        <v>1.866</v>
      </c>
      <c r="HP56">
        <v>1.86589</v>
      </c>
      <c r="HQ56">
        <v>1.86768</v>
      </c>
      <c r="HR56">
        <v>1.87025</v>
      </c>
      <c r="HS56">
        <v>1.8689</v>
      </c>
      <c r="HT56">
        <v>1.87027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-0.852</v>
      </c>
      <c r="II56">
        <v>0.006</v>
      </c>
      <c r="IJ56">
        <v>-0.4995723906072</v>
      </c>
      <c r="IK56">
        <v>-0.002077099775823331</v>
      </c>
      <c r="IL56">
        <v>4.593143279902166E-07</v>
      </c>
      <c r="IM56">
        <v>-1.865383991892071E-10</v>
      </c>
      <c r="IN56">
        <v>-0.07605349583632376</v>
      </c>
      <c r="IO56">
        <v>-0.01129461987421345</v>
      </c>
      <c r="IP56">
        <v>0.00116580895745559</v>
      </c>
      <c r="IQ56">
        <v>-1.679085872906199E-05</v>
      </c>
      <c r="IR56">
        <v>2</v>
      </c>
      <c r="IS56">
        <v>2290</v>
      </c>
      <c r="IT56">
        <v>0</v>
      </c>
      <c r="IU56">
        <v>32</v>
      </c>
      <c r="IV56">
        <v>3.7</v>
      </c>
      <c r="IW56">
        <v>3.4</v>
      </c>
      <c r="IX56">
        <v>0.479736</v>
      </c>
      <c r="IY56">
        <v>2.2644</v>
      </c>
      <c r="IZ56">
        <v>1.39648</v>
      </c>
      <c r="JA56">
        <v>2.35962</v>
      </c>
      <c r="JB56">
        <v>1.49536</v>
      </c>
      <c r="JC56">
        <v>2.36084</v>
      </c>
      <c r="JD56">
        <v>38.2812</v>
      </c>
      <c r="JE56">
        <v>24.0437</v>
      </c>
      <c r="JF56">
        <v>18</v>
      </c>
      <c r="JG56">
        <v>514.606</v>
      </c>
      <c r="JH56">
        <v>422.799</v>
      </c>
      <c r="JI56">
        <v>22.5639</v>
      </c>
      <c r="JJ56">
        <v>29.2487</v>
      </c>
      <c r="JK56">
        <v>30.0003</v>
      </c>
      <c r="JL56">
        <v>29.1988</v>
      </c>
      <c r="JM56">
        <v>29.123</v>
      </c>
      <c r="JN56">
        <v>9.586499999999999</v>
      </c>
      <c r="JO56">
        <v>55.4487</v>
      </c>
      <c r="JP56">
        <v>0</v>
      </c>
      <c r="JQ56">
        <v>22.5572</v>
      </c>
      <c r="JR56">
        <v>145.474</v>
      </c>
      <c r="JS56">
        <v>8.98901</v>
      </c>
      <c r="JT56">
        <v>100.285</v>
      </c>
      <c r="JU56">
        <v>100.197</v>
      </c>
    </row>
    <row r="57" spans="1:281">
      <c r="A57">
        <v>41</v>
      </c>
      <c r="B57">
        <v>1651857245.6</v>
      </c>
      <c r="C57">
        <v>245</v>
      </c>
      <c r="D57" t="s">
        <v>509</v>
      </c>
      <c r="E57" t="s">
        <v>510</v>
      </c>
      <c r="F57">
        <v>2</v>
      </c>
      <c r="G57" t="s">
        <v>413</v>
      </c>
      <c r="H57" t="s">
        <v>414</v>
      </c>
      <c r="I57">
        <v>1651857244.6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171.9157319852792</v>
      </c>
      <c r="AK57">
        <v>173.8977151515152</v>
      </c>
      <c r="AL57">
        <v>-3.112079080527365</v>
      </c>
      <c r="AM57">
        <v>66.38384787954378</v>
      </c>
      <c r="AN57">
        <f>(AP57 - AO57 + DI57*1E3/(8.314*(DK57+273.15)) * AR57/DH57 * AQ57) * DH57/(100*CV57) * 1000/(1000 - AP57)</f>
        <v>0</v>
      </c>
      <c r="AO57">
        <v>8.9535203310467</v>
      </c>
      <c r="AP57">
        <v>18.38975970588235</v>
      </c>
      <c r="AQ57">
        <v>9.787743640904788E-05</v>
      </c>
      <c r="AR57">
        <v>80.44866334591464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1238</v>
      </c>
      <c r="CA57">
        <v>300</v>
      </c>
      <c r="CB57">
        <v>300</v>
      </c>
      <c r="CC57">
        <v>300</v>
      </c>
      <c r="CD57">
        <v>10440.5</v>
      </c>
      <c r="CE57">
        <v>1411.69</v>
      </c>
      <c r="CF57">
        <v>-0.00735121</v>
      </c>
      <c r="CG57">
        <v>-0.77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1651857244.6</v>
      </c>
      <c r="DB57">
        <v>172.2276666666667</v>
      </c>
      <c r="DC57">
        <v>164.4973333333333</v>
      </c>
      <c r="DD57">
        <v>18.38943333333333</v>
      </c>
      <c r="DE57">
        <v>8.950913333333332</v>
      </c>
      <c r="DF57">
        <v>173.0743333333333</v>
      </c>
      <c r="DG57">
        <v>18.38343333333333</v>
      </c>
      <c r="DH57">
        <v>500.035</v>
      </c>
      <c r="DI57">
        <v>90.11053333333332</v>
      </c>
      <c r="DJ57">
        <v>0.100219</v>
      </c>
      <c r="DK57">
        <v>25.73333333333333</v>
      </c>
      <c r="DL57">
        <v>24.99136666666666</v>
      </c>
      <c r="DM57">
        <v>999.9</v>
      </c>
      <c r="DN57">
        <v>0</v>
      </c>
      <c r="DO57">
        <v>0</v>
      </c>
      <c r="DP57">
        <v>9981.25</v>
      </c>
      <c r="DQ57">
        <v>0</v>
      </c>
      <c r="DR57">
        <v>3.20383</v>
      </c>
      <c r="DS57">
        <v>7.730616666666666</v>
      </c>
      <c r="DT57">
        <v>175.4543333333333</v>
      </c>
      <c r="DU57">
        <v>165.983</v>
      </c>
      <c r="DV57">
        <v>9.438506666666667</v>
      </c>
      <c r="DW57">
        <v>164.4973333333333</v>
      </c>
      <c r="DX57">
        <v>8.950913333333332</v>
      </c>
      <c r="DY57">
        <v>1.65708</v>
      </c>
      <c r="DZ57">
        <v>0.8065716666666667</v>
      </c>
      <c r="EA57">
        <v>14.50013333333333</v>
      </c>
      <c r="EB57">
        <v>3.823486666666667</v>
      </c>
      <c r="EC57">
        <v>1500.063333333333</v>
      </c>
      <c r="ED57">
        <v>0.9730103333333333</v>
      </c>
      <c r="EE57">
        <v>0.0269895</v>
      </c>
      <c r="EF57">
        <v>0</v>
      </c>
      <c r="EG57">
        <v>934.6419999999999</v>
      </c>
      <c r="EH57">
        <v>5.00097</v>
      </c>
      <c r="EI57">
        <v>13874.1</v>
      </c>
      <c r="EJ57">
        <v>12492.16666666667</v>
      </c>
      <c r="EK57">
        <v>37.562</v>
      </c>
      <c r="EL57">
        <v>39.062</v>
      </c>
      <c r="EM57">
        <v>37.937</v>
      </c>
      <c r="EN57">
        <v>38.812</v>
      </c>
      <c r="EO57">
        <v>38.437</v>
      </c>
      <c r="EP57">
        <v>1454.713333333333</v>
      </c>
      <c r="EQ57">
        <v>40.35</v>
      </c>
      <c r="ER57">
        <v>0</v>
      </c>
      <c r="ES57">
        <v>244.2000000476837</v>
      </c>
      <c r="ET57">
        <v>0</v>
      </c>
      <c r="EU57">
        <v>954.1537692307691</v>
      </c>
      <c r="EV57">
        <v>-175.2175043878207</v>
      </c>
      <c r="EW57">
        <v>-2583.247865120805</v>
      </c>
      <c r="EX57">
        <v>14159.25384615385</v>
      </c>
      <c r="EY57">
        <v>15</v>
      </c>
      <c r="EZ57">
        <v>1651857041.1</v>
      </c>
      <c r="FA57" t="s">
        <v>419</v>
      </c>
      <c r="FB57">
        <v>1651857019.6</v>
      </c>
      <c r="FC57">
        <v>1651857041.1</v>
      </c>
      <c r="FD57">
        <v>1</v>
      </c>
      <c r="FE57">
        <v>0.545</v>
      </c>
      <c r="FF57">
        <v>-0.002</v>
      </c>
      <c r="FG57">
        <v>-1.271</v>
      </c>
      <c r="FH57">
        <v>-0.09</v>
      </c>
      <c r="FI57">
        <v>400</v>
      </c>
      <c r="FJ57">
        <v>10</v>
      </c>
      <c r="FK57">
        <v>0.1</v>
      </c>
      <c r="FL57">
        <v>0.02</v>
      </c>
      <c r="FM57">
        <v>5.03694475</v>
      </c>
      <c r="FN57">
        <v>17.63211500938086</v>
      </c>
      <c r="FO57">
        <v>1.697438482929481</v>
      </c>
      <c r="FP57">
        <v>-1</v>
      </c>
      <c r="FQ57">
        <v>9.423599999999999</v>
      </c>
      <c r="FR57">
        <v>0.08694956848030165</v>
      </c>
      <c r="FS57">
        <v>0.00853477767724516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432</v>
      </c>
      <c r="GB57">
        <v>2.97989</v>
      </c>
      <c r="GC57">
        <v>2.70624</v>
      </c>
      <c r="GD57">
        <v>0.0436411</v>
      </c>
      <c r="GE57">
        <v>0.0411402</v>
      </c>
      <c r="GF57">
        <v>0.0878979</v>
      </c>
      <c r="GG57">
        <v>0.0508488</v>
      </c>
      <c r="GH57">
        <v>30170.8</v>
      </c>
      <c r="GI57">
        <v>30316.7</v>
      </c>
      <c r="GJ57">
        <v>29337.3</v>
      </c>
      <c r="GK57">
        <v>29251.2</v>
      </c>
      <c r="GL57">
        <v>35434.6</v>
      </c>
      <c r="GM57">
        <v>36973.5</v>
      </c>
      <c r="GN57">
        <v>41296.7</v>
      </c>
      <c r="GO57">
        <v>41744.6</v>
      </c>
      <c r="GP57">
        <v>1.95375</v>
      </c>
      <c r="GQ57">
        <v>1.833</v>
      </c>
      <c r="GR57">
        <v>-0.0364482</v>
      </c>
      <c r="GS57">
        <v>0</v>
      </c>
      <c r="GT57">
        <v>25.5929</v>
      </c>
      <c r="GU57">
        <v>999.9</v>
      </c>
      <c r="GV57">
        <v>39.1</v>
      </c>
      <c r="GW57">
        <v>33.8</v>
      </c>
      <c r="GX57">
        <v>22.9265</v>
      </c>
      <c r="GY57">
        <v>62.6176</v>
      </c>
      <c r="GZ57">
        <v>35.1803</v>
      </c>
      <c r="HA57">
        <v>1</v>
      </c>
      <c r="HB57">
        <v>0.147223</v>
      </c>
      <c r="HC57">
        <v>2.40695</v>
      </c>
      <c r="HD57">
        <v>20.3164</v>
      </c>
      <c r="HE57">
        <v>5.21714</v>
      </c>
      <c r="HF57">
        <v>12.0099</v>
      </c>
      <c r="HG57">
        <v>4.98845</v>
      </c>
      <c r="HH57">
        <v>3.28855</v>
      </c>
      <c r="HI57">
        <v>846.8</v>
      </c>
      <c r="HJ57">
        <v>8425.9</v>
      </c>
      <c r="HK57">
        <v>5139.4</v>
      </c>
      <c r="HL57">
        <v>22.8</v>
      </c>
      <c r="HM57">
        <v>1.86752</v>
      </c>
      <c r="HN57">
        <v>1.86647</v>
      </c>
      <c r="HO57">
        <v>1.866</v>
      </c>
      <c r="HP57">
        <v>1.86589</v>
      </c>
      <c r="HQ57">
        <v>1.86768</v>
      </c>
      <c r="HR57">
        <v>1.87026</v>
      </c>
      <c r="HS57">
        <v>1.8689</v>
      </c>
      <c r="HT57">
        <v>1.87027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-0.841</v>
      </c>
      <c r="II57">
        <v>0.006</v>
      </c>
      <c r="IJ57">
        <v>-0.4995723906072</v>
      </c>
      <c r="IK57">
        <v>-0.002077099775823331</v>
      </c>
      <c r="IL57">
        <v>4.593143279902166E-07</v>
      </c>
      <c r="IM57">
        <v>-1.865383991892071E-10</v>
      </c>
      <c r="IN57">
        <v>-0.07605349583632376</v>
      </c>
      <c r="IO57">
        <v>-0.01129461987421345</v>
      </c>
      <c r="IP57">
        <v>0.00116580895745559</v>
      </c>
      <c r="IQ57">
        <v>-1.679085872906199E-05</v>
      </c>
      <c r="IR57">
        <v>2</v>
      </c>
      <c r="IS57">
        <v>2290</v>
      </c>
      <c r="IT57">
        <v>0</v>
      </c>
      <c r="IU57">
        <v>32</v>
      </c>
      <c r="IV57">
        <v>3.8</v>
      </c>
      <c r="IW57">
        <v>3.4</v>
      </c>
      <c r="IX57">
        <v>0.465088</v>
      </c>
      <c r="IY57">
        <v>2.27051</v>
      </c>
      <c r="IZ57">
        <v>1.39648</v>
      </c>
      <c r="JA57">
        <v>2.35962</v>
      </c>
      <c r="JB57">
        <v>1.49536</v>
      </c>
      <c r="JC57">
        <v>2.27539</v>
      </c>
      <c r="JD57">
        <v>38.2812</v>
      </c>
      <c r="JE57">
        <v>24.035</v>
      </c>
      <c r="JF57">
        <v>18</v>
      </c>
      <c r="JG57">
        <v>514.6950000000001</v>
      </c>
      <c r="JH57">
        <v>422.605</v>
      </c>
      <c r="JI57">
        <v>22.5504</v>
      </c>
      <c r="JJ57">
        <v>29.2474</v>
      </c>
      <c r="JK57">
        <v>30.0002</v>
      </c>
      <c r="JL57">
        <v>29.1975</v>
      </c>
      <c r="JM57">
        <v>29.123</v>
      </c>
      <c r="JN57">
        <v>9.29518</v>
      </c>
      <c r="JO57">
        <v>55.4487</v>
      </c>
      <c r="JP57">
        <v>0</v>
      </c>
      <c r="JQ57">
        <v>22.5572</v>
      </c>
      <c r="JR57">
        <v>138.792</v>
      </c>
      <c r="JS57">
        <v>8.98901</v>
      </c>
      <c r="JT57">
        <v>100.285</v>
      </c>
      <c r="JU57">
        <v>100.196</v>
      </c>
    </row>
    <row r="58" spans="1:281">
      <c r="A58">
        <v>42</v>
      </c>
      <c r="B58">
        <v>1651857247.6</v>
      </c>
      <c r="C58">
        <v>247</v>
      </c>
      <c r="D58" t="s">
        <v>511</v>
      </c>
      <c r="E58" t="s">
        <v>512</v>
      </c>
      <c r="F58">
        <v>2</v>
      </c>
      <c r="G58" t="s">
        <v>413</v>
      </c>
      <c r="H58" t="s">
        <v>414</v>
      </c>
      <c r="I58">
        <v>1651857246.225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165.2001758753904</v>
      </c>
      <c r="AK58">
        <v>167.6988484848484</v>
      </c>
      <c r="AL58">
        <v>-3.103943182799003</v>
      </c>
      <c r="AM58">
        <v>66.38384787954378</v>
      </c>
      <c r="AN58">
        <f>(AP58 - AO58 + DI58*1E3/(8.314*(DK58+273.15)) * AR58/DH58 * AQ58) * DH58/(100*CV58) * 1000/(1000 - AP58)</f>
        <v>0</v>
      </c>
      <c r="AO58">
        <v>8.9510618650579</v>
      </c>
      <c r="AP58">
        <v>18.39183911764705</v>
      </c>
      <c r="AQ58">
        <v>6.164221601624965E-05</v>
      </c>
      <c r="AR58">
        <v>80.44866334591464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1238</v>
      </c>
      <c r="CA58">
        <v>300</v>
      </c>
      <c r="CB58">
        <v>300</v>
      </c>
      <c r="CC58">
        <v>300</v>
      </c>
      <c r="CD58">
        <v>10440.5</v>
      </c>
      <c r="CE58">
        <v>1411.69</v>
      </c>
      <c r="CF58">
        <v>-0.00735121</v>
      </c>
      <c r="CG58">
        <v>-0.77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1651857246.225</v>
      </c>
      <c r="DB58">
        <v>167.278</v>
      </c>
      <c r="DC58">
        <v>159.048</v>
      </c>
      <c r="DD58">
        <v>18.391075</v>
      </c>
      <c r="DE58">
        <v>8.951995</v>
      </c>
      <c r="DF58">
        <v>168.1145</v>
      </c>
      <c r="DG58">
        <v>18.385075</v>
      </c>
      <c r="DH58">
        <v>500.037</v>
      </c>
      <c r="DI58">
        <v>90.11225</v>
      </c>
      <c r="DJ58">
        <v>0.1001245</v>
      </c>
      <c r="DK58">
        <v>25.7331</v>
      </c>
      <c r="DL58">
        <v>24.998125</v>
      </c>
      <c r="DM58">
        <v>999.9</v>
      </c>
      <c r="DN58">
        <v>0</v>
      </c>
      <c r="DO58">
        <v>0</v>
      </c>
      <c r="DP58">
        <v>9987.342500000001</v>
      </c>
      <c r="DQ58">
        <v>0</v>
      </c>
      <c r="DR58">
        <v>3.20383</v>
      </c>
      <c r="DS58">
        <v>8.2298375</v>
      </c>
      <c r="DT58">
        <v>170.412</v>
      </c>
      <c r="DU58">
        <v>160.485</v>
      </c>
      <c r="DV58">
        <v>9.439070000000001</v>
      </c>
      <c r="DW58">
        <v>159.048</v>
      </c>
      <c r="DX58">
        <v>8.951995</v>
      </c>
      <c r="DY58">
        <v>1.6572575</v>
      </c>
      <c r="DZ58">
        <v>0.8066847500000001</v>
      </c>
      <c r="EA58">
        <v>14.5018</v>
      </c>
      <c r="EB58">
        <v>3.825475</v>
      </c>
      <c r="EC58">
        <v>1500.0025</v>
      </c>
      <c r="ED58">
        <v>0.9730094999999999</v>
      </c>
      <c r="EE58">
        <v>0.0269904</v>
      </c>
      <c r="EF58">
        <v>0</v>
      </c>
      <c r="EG58">
        <v>930.8652500000001</v>
      </c>
      <c r="EH58">
        <v>5.00097</v>
      </c>
      <c r="EI58">
        <v>13814.2</v>
      </c>
      <c r="EJ58">
        <v>12491.675</v>
      </c>
      <c r="EK58">
        <v>37.562</v>
      </c>
      <c r="EL58">
        <v>39.062</v>
      </c>
      <c r="EM58">
        <v>37.9685</v>
      </c>
      <c r="EN58">
        <v>38.812</v>
      </c>
      <c r="EO58">
        <v>38.437</v>
      </c>
      <c r="EP58">
        <v>1454.6525</v>
      </c>
      <c r="EQ58">
        <v>40.35</v>
      </c>
      <c r="ER58">
        <v>0</v>
      </c>
      <c r="ES58">
        <v>246.6000001430511</v>
      </c>
      <c r="ET58">
        <v>0</v>
      </c>
      <c r="EU58">
        <v>947.3868846153847</v>
      </c>
      <c r="EV58">
        <v>-167.4014701761087</v>
      </c>
      <c r="EW58">
        <v>-2468.420514504736</v>
      </c>
      <c r="EX58">
        <v>14058.63461538462</v>
      </c>
      <c r="EY58">
        <v>15</v>
      </c>
      <c r="EZ58">
        <v>1651857041.1</v>
      </c>
      <c r="FA58" t="s">
        <v>419</v>
      </c>
      <c r="FB58">
        <v>1651857019.6</v>
      </c>
      <c r="FC58">
        <v>1651857041.1</v>
      </c>
      <c r="FD58">
        <v>1</v>
      </c>
      <c r="FE58">
        <v>0.545</v>
      </c>
      <c r="FF58">
        <v>-0.002</v>
      </c>
      <c r="FG58">
        <v>-1.271</v>
      </c>
      <c r="FH58">
        <v>-0.09</v>
      </c>
      <c r="FI58">
        <v>400</v>
      </c>
      <c r="FJ58">
        <v>10</v>
      </c>
      <c r="FK58">
        <v>0.1</v>
      </c>
      <c r="FL58">
        <v>0.02</v>
      </c>
      <c r="FM58">
        <v>5.3323955</v>
      </c>
      <c r="FN58">
        <v>17.62173613508442</v>
      </c>
      <c r="FO58">
        <v>1.696432341698233</v>
      </c>
      <c r="FP58">
        <v>-1</v>
      </c>
      <c r="FQ58">
        <v>9.42505875</v>
      </c>
      <c r="FR58">
        <v>0.0883926078799466</v>
      </c>
      <c r="FS58">
        <v>0.008674307519191474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432</v>
      </c>
      <c r="GB58">
        <v>2.97978</v>
      </c>
      <c r="GC58">
        <v>2.70618</v>
      </c>
      <c r="GD58">
        <v>0.042199</v>
      </c>
      <c r="GE58">
        <v>0.0395574</v>
      </c>
      <c r="GF58">
        <v>0.0879059</v>
      </c>
      <c r="GG58">
        <v>0.0508603</v>
      </c>
      <c r="GH58">
        <v>30216.5</v>
      </c>
      <c r="GI58">
        <v>30366.6</v>
      </c>
      <c r="GJ58">
        <v>29337.4</v>
      </c>
      <c r="GK58">
        <v>29251</v>
      </c>
      <c r="GL58">
        <v>35434.3</v>
      </c>
      <c r="GM58">
        <v>36973.2</v>
      </c>
      <c r="GN58">
        <v>41296.9</v>
      </c>
      <c r="GO58">
        <v>41744.9</v>
      </c>
      <c r="GP58">
        <v>1.95378</v>
      </c>
      <c r="GQ58">
        <v>1.833</v>
      </c>
      <c r="GR58">
        <v>-0.0359192</v>
      </c>
      <c r="GS58">
        <v>0</v>
      </c>
      <c r="GT58">
        <v>25.5929</v>
      </c>
      <c r="GU58">
        <v>999.9</v>
      </c>
      <c r="GV58">
        <v>39.1</v>
      </c>
      <c r="GW58">
        <v>33.8</v>
      </c>
      <c r="GX58">
        <v>22.9243</v>
      </c>
      <c r="GY58">
        <v>62.5076</v>
      </c>
      <c r="GZ58">
        <v>35.633</v>
      </c>
      <c r="HA58">
        <v>1</v>
      </c>
      <c r="HB58">
        <v>0.14703</v>
      </c>
      <c r="HC58">
        <v>2.36266</v>
      </c>
      <c r="HD58">
        <v>20.3168</v>
      </c>
      <c r="HE58">
        <v>5.21654</v>
      </c>
      <c r="HF58">
        <v>12.0099</v>
      </c>
      <c r="HG58">
        <v>4.9884</v>
      </c>
      <c r="HH58">
        <v>3.2885</v>
      </c>
      <c r="HI58">
        <v>847.1</v>
      </c>
      <c r="HJ58">
        <v>8428.1</v>
      </c>
      <c r="HK58">
        <v>5139.4</v>
      </c>
      <c r="HL58">
        <v>22.8</v>
      </c>
      <c r="HM58">
        <v>1.86751</v>
      </c>
      <c r="HN58">
        <v>1.86647</v>
      </c>
      <c r="HO58">
        <v>1.866</v>
      </c>
      <c r="HP58">
        <v>1.86587</v>
      </c>
      <c r="HQ58">
        <v>1.86768</v>
      </c>
      <c r="HR58">
        <v>1.87024</v>
      </c>
      <c r="HS58">
        <v>1.8689</v>
      </c>
      <c r="HT58">
        <v>1.87027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-0.828</v>
      </c>
      <c r="II58">
        <v>0.006</v>
      </c>
      <c r="IJ58">
        <v>-0.4995723906072</v>
      </c>
      <c r="IK58">
        <v>-0.002077099775823331</v>
      </c>
      <c r="IL58">
        <v>4.593143279902166E-07</v>
      </c>
      <c r="IM58">
        <v>-1.865383991892071E-10</v>
      </c>
      <c r="IN58">
        <v>-0.07605349583632376</v>
      </c>
      <c r="IO58">
        <v>-0.01129461987421345</v>
      </c>
      <c r="IP58">
        <v>0.00116580895745559</v>
      </c>
      <c r="IQ58">
        <v>-1.679085872906199E-05</v>
      </c>
      <c r="IR58">
        <v>2</v>
      </c>
      <c r="IS58">
        <v>2290</v>
      </c>
      <c r="IT58">
        <v>0</v>
      </c>
      <c r="IU58">
        <v>32</v>
      </c>
      <c r="IV58">
        <v>3.8</v>
      </c>
      <c r="IW58">
        <v>3.4</v>
      </c>
      <c r="IX58">
        <v>0.450439</v>
      </c>
      <c r="IY58">
        <v>2.26807</v>
      </c>
      <c r="IZ58">
        <v>1.39648</v>
      </c>
      <c r="JA58">
        <v>2.35962</v>
      </c>
      <c r="JB58">
        <v>1.49536</v>
      </c>
      <c r="JC58">
        <v>2.34009</v>
      </c>
      <c r="JD58">
        <v>38.2812</v>
      </c>
      <c r="JE58">
        <v>24.035</v>
      </c>
      <c r="JF58">
        <v>18</v>
      </c>
      <c r="JG58">
        <v>514.706</v>
      </c>
      <c r="JH58">
        <v>422.606</v>
      </c>
      <c r="JI58">
        <v>22.5484</v>
      </c>
      <c r="JJ58">
        <v>29.2461</v>
      </c>
      <c r="JK58">
        <v>30</v>
      </c>
      <c r="JL58">
        <v>29.197</v>
      </c>
      <c r="JM58">
        <v>29.123</v>
      </c>
      <c r="JN58">
        <v>9.00149</v>
      </c>
      <c r="JO58">
        <v>55.4487</v>
      </c>
      <c r="JP58">
        <v>0</v>
      </c>
      <c r="JQ58">
        <v>22.5572</v>
      </c>
      <c r="JR58">
        <v>132.106</v>
      </c>
      <c r="JS58">
        <v>8.98901</v>
      </c>
      <c r="JT58">
        <v>100.286</v>
      </c>
      <c r="JU58">
        <v>100.196</v>
      </c>
    </row>
    <row r="59" spans="1:281">
      <c r="A59">
        <v>43</v>
      </c>
      <c r="B59">
        <v>1651857249.6</v>
      </c>
      <c r="C59">
        <v>249</v>
      </c>
      <c r="D59" t="s">
        <v>513</v>
      </c>
      <c r="E59" t="s">
        <v>514</v>
      </c>
      <c r="F59">
        <v>2</v>
      </c>
      <c r="G59" t="s">
        <v>413</v>
      </c>
      <c r="H59" t="s">
        <v>414</v>
      </c>
      <c r="I59">
        <v>1651857248.6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158.4323592750536</v>
      </c>
      <c r="AK59">
        <v>161.4886363636363</v>
      </c>
      <c r="AL59">
        <v>-3.103510197021477</v>
      </c>
      <c r="AM59">
        <v>66.38384787954378</v>
      </c>
      <c r="AN59">
        <f>(AP59 - AO59 + DI59*1E3/(8.314*(DK59+273.15)) * AR59/DH59 * AQ59) * DH59/(100*CV59) * 1000/(1000 - AP59)</f>
        <v>0</v>
      </c>
      <c r="AO59">
        <v>8.951395822517879</v>
      </c>
      <c r="AP59">
        <v>18.39376970588235</v>
      </c>
      <c r="AQ59">
        <v>4.884644245729777E-05</v>
      </c>
      <c r="AR59">
        <v>80.44866334591464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1238</v>
      </c>
      <c r="CA59">
        <v>300</v>
      </c>
      <c r="CB59">
        <v>300</v>
      </c>
      <c r="CC59">
        <v>300</v>
      </c>
      <c r="CD59">
        <v>10440.5</v>
      </c>
      <c r="CE59">
        <v>1411.69</v>
      </c>
      <c r="CF59">
        <v>-0.00735121</v>
      </c>
      <c r="CG59">
        <v>-0.77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1651857248.6</v>
      </c>
      <c r="DB59">
        <v>160.0426666666667</v>
      </c>
      <c r="DC59">
        <v>151.149</v>
      </c>
      <c r="DD59">
        <v>18.39326666666667</v>
      </c>
      <c r="DE59">
        <v>8.951293333333334</v>
      </c>
      <c r="DF59">
        <v>160.865</v>
      </c>
      <c r="DG59">
        <v>18.38726666666667</v>
      </c>
      <c r="DH59">
        <v>500.0593333333333</v>
      </c>
      <c r="DI59">
        <v>90.11306666666667</v>
      </c>
      <c r="DJ59">
        <v>0.1000336</v>
      </c>
      <c r="DK59">
        <v>25.73356666666666</v>
      </c>
      <c r="DL59">
        <v>25.00333333333333</v>
      </c>
      <c r="DM59">
        <v>999.9</v>
      </c>
      <c r="DN59">
        <v>0</v>
      </c>
      <c r="DO59">
        <v>0</v>
      </c>
      <c r="DP59">
        <v>9996.233333333334</v>
      </c>
      <c r="DQ59">
        <v>0</v>
      </c>
      <c r="DR59">
        <v>3.20383</v>
      </c>
      <c r="DS59">
        <v>8.89325</v>
      </c>
      <c r="DT59">
        <v>163.0413333333333</v>
      </c>
      <c r="DU59">
        <v>152.5146666666667</v>
      </c>
      <c r="DV59">
        <v>9.442006666666666</v>
      </c>
      <c r="DW59">
        <v>151.149</v>
      </c>
      <c r="DX59">
        <v>8.951293333333334</v>
      </c>
      <c r="DY59">
        <v>1.657476666666667</v>
      </c>
      <c r="DZ59">
        <v>0.8066286666666667</v>
      </c>
      <c r="EA59">
        <v>14.50376666666667</v>
      </c>
      <c r="EB59">
        <v>3.824493333333333</v>
      </c>
      <c r="EC59">
        <v>1499.85</v>
      </c>
      <c r="ED59">
        <v>0.973007</v>
      </c>
      <c r="EE59">
        <v>0.0269931</v>
      </c>
      <c r="EF59">
        <v>0</v>
      </c>
      <c r="EG59">
        <v>925.6393333333334</v>
      </c>
      <c r="EH59">
        <v>5.00097</v>
      </c>
      <c r="EI59">
        <v>13732.93333333333</v>
      </c>
      <c r="EJ59">
        <v>12490.33333333333</v>
      </c>
      <c r="EK59">
        <v>37.562</v>
      </c>
      <c r="EL59">
        <v>39.062</v>
      </c>
      <c r="EM59">
        <v>37.979</v>
      </c>
      <c r="EN59">
        <v>38.812</v>
      </c>
      <c r="EO59">
        <v>38.437</v>
      </c>
      <c r="EP59">
        <v>1454.5</v>
      </c>
      <c r="EQ59">
        <v>40.35</v>
      </c>
      <c r="ER59">
        <v>0</v>
      </c>
      <c r="ES59">
        <v>248.4000000953674</v>
      </c>
      <c r="ET59">
        <v>0</v>
      </c>
      <c r="EU59">
        <v>941.6516800000001</v>
      </c>
      <c r="EV59">
        <v>-159.310230501357</v>
      </c>
      <c r="EW59">
        <v>-2350.015381166912</v>
      </c>
      <c r="EX59">
        <v>13973.852</v>
      </c>
      <c r="EY59">
        <v>15</v>
      </c>
      <c r="EZ59">
        <v>1651857041.1</v>
      </c>
      <c r="FA59" t="s">
        <v>419</v>
      </c>
      <c r="FB59">
        <v>1651857019.6</v>
      </c>
      <c r="FC59">
        <v>1651857041.1</v>
      </c>
      <c r="FD59">
        <v>1</v>
      </c>
      <c r="FE59">
        <v>0.545</v>
      </c>
      <c r="FF59">
        <v>-0.002</v>
      </c>
      <c r="FG59">
        <v>-1.271</v>
      </c>
      <c r="FH59">
        <v>-0.09</v>
      </c>
      <c r="FI59">
        <v>400</v>
      </c>
      <c r="FJ59">
        <v>10</v>
      </c>
      <c r="FK59">
        <v>0.1</v>
      </c>
      <c r="FL59">
        <v>0.02</v>
      </c>
      <c r="FM59">
        <v>6.21116325</v>
      </c>
      <c r="FN59">
        <v>17.58396799249531</v>
      </c>
      <c r="FO59">
        <v>1.692831876669074</v>
      </c>
      <c r="FP59">
        <v>-1</v>
      </c>
      <c r="FQ59">
        <v>9.429187750000001</v>
      </c>
      <c r="FR59">
        <v>0.08636228893055424</v>
      </c>
      <c r="FS59">
        <v>0.008490855813020308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432</v>
      </c>
      <c r="GB59">
        <v>2.97978</v>
      </c>
      <c r="GC59">
        <v>2.70613</v>
      </c>
      <c r="GD59">
        <v>0.0407438</v>
      </c>
      <c r="GE59">
        <v>0.0379822</v>
      </c>
      <c r="GF59">
        <v>0.08791119999999999</v>
      </c>
      <c r="GG59">
        <v>0.0508536</v>
      </c>
      <c r="GH59">
        <v>30262.3</v>
      </c>
      <c r="GI59">
        <v>30416.4</v>
      </c>
      <c r="GJ59">
        <v>29337.4</v>
      </c>
      <c r="GK59">
        <v>29251</v>
      </c>
      <c r="GL59">
        <v>35434.2</v>
      </c>
      <c r="GM59">
        <v>36973.4</v>
      </c>
      <c r="GN59">
        <v>41297</v>
      </c>
      <c r="GO59">
        <v>41744.8</v>
      </c>
      <c r="GP59">
        <v>1.95368</v>
      </c>
      <c r="GQ59">
        <v>1.83315</v>
      </c>
      <c r="GR59">
        <v>-0.0360012</v>
      </c>
      <c r="GS59">
        <v>0</v>
      </c>
      <c r="GT59">
        <v>25.5929</v>
      </c>
      <c r="GU59">
        <v>999.9</v>
      </c>
      <c r="GV59">
        <v>39.1</v>
      </c>
      <c r="GW59">
        <v>33.8</v>
      </c>
      <c r="GX59">
        <v>22.9262</v>
      </c>
      <c r="GY59">
        <v>62.5476</v>
      </c>
      <c r="GZ59">
        <v>35.2364</v>
      </c>
      <c r="HA59">
        <v>1</v>
      </c>
      <c r="HB59">
        <v>0.146966</v>
      </c>
      <c r="HC59">
        <v>2.34856</v>
      </c>
      <c r="HD59">
        <v>20.3169</v>
      </c>
      <c r="HE59">
        <v>5.21669</v>
      </c>
      <c r="HF59">
        <v>12.0099</v>
      </c>
      <c r="HG59">
        <v>4.98845</v>
      </c>
      <c r="HH59">
        <v>3.28848</v>
      </c>
      <c r="HI59">
        <v>847.1</v>
      </c>
      <c r="HJ59">
        <v>8428.1</v>
      </c>
      <c r="HK59">
        <v>5139.4</v>
      </c>
      <c r="HL59">
        <v>22.8</v>
      </c>
      <c r="HM59">
        <v>1.86751</v>
      </c>
      <c r="HN59">
        <v>1.86647</v>
      </c>
      <c r="HO59">
        <v>1.866</v>
      </c>
      <c r="HP59">
        <v>1.86586</v>
      </c>
      <c r="HQ59">
        <v>1.86769</v>
      </c>
      <c r="HR59">
        <v>1.87024</v>
      </c>
      <c r="HS59">
        <v>1.8689</v>
      </c>
      <c r="HT59">
        <v>1.87027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-0.8169999999999999</v>
      </c>
      <c r="II59">
        <v>0.006</v>
      </c>
      <c r="IJ59">
        <v>-0.4995723906072</v>
      </c>
      <c r="IK59">
        <v>-0.002077099775823331</v>
      </c>
      <c r="IL59">
        <v>4.593143279902166E-07</v>
      </c>
      <c r="IM59">
        <v>-1.865383991892071E-10</v>
      </c>
      <c r="IN59">
        <v>-0.07605349583632376</v>
      </c>
      <c r="IO59">
        <v>-0.01129461987421345</v>
      </c>
      <c r="IP59">
        <v>0.00116580895745559</v>
      </c>
      <c r="IQ59">
        <v>-1.679085872906199E-05</v>
      </c>
      <c r="IR59">
        <v>2</v>
      </c>
      <c r="IS59">
        <v>2290</v>
      </c>
      <c r="IT59">
        <v>0</v>
      </c>
      <c r="IU59">
        <v>32</v>
      </c>
      <c r="IV59">
        <v>3.8</v>
      </c>
      <c r="IW59">
        <v>3.5</v>
      </c>
      <c r="IX59">
        <v>0.435791</v>
      </c>
      <c r="IY59">
        <v>2.27051</v>
      </c>
      <c r="IZ59">
        <v>1.39648</v>
      </c>
      <c r="JA59">
        <v>2.35962</v>
      </c>
      <c r="JB59">
        <v>1.49536</v>
      </c>
      <c r="JC59">
        <v>2.33276</v>
      </c>
      <c r="JD59">
        <v>38.3056</v>
      </c>
      <c r="JE59">
        <v>24.0437</v>
      </c>
      <c r="JF59">
        <v>18</v>
      </c>
      <c r="JG59">
        <v>514.64</v>
      </c>
      <c r="JH59">
        <v>422.695</v>
      </c>
      <c r="JI59">
        <v>22.5497</v>
      </c>
      <c r="JJ59">
        <v>29.2449</v>
      </c>
      <c r="JK59">
        <v>29.9999</v>
      </c>
      <c r="JL59">
        <v>29.197</v>
      </c>
      <c r="JM59">
        <v>29.123</v>
      </c>
      <c r="JN59">
        <v>8.704840000000001</v>
      </c>
      <c r="JO59">
        <v>55.4487</v>
      </c>
      <c r="JP59">
        <v>0</v>
      </c>
      <c r="JQ59">
        <v>22.5597</v>
      </c>
      <c r="JR59">
        <v>125.427</v>
      </c>
      <c r="JS59">
        <v>8.98901</v>
      </c>
      <c r="JT59">
        <v>100.286</v>
      </c>
      <c r="JU59">
        <v>100.196</v>
      </c>
    </row>
    <row r="60" spans="1:281">
      <c r="A60">
        <v>44</v>
      </c>
      <c r="B60">
        <v>1651857251.6</v>
      </c>
      <c r="C60">
        <v>251</v>
      </c>
      <c r="D60" t="s">
        <v>515</v>
      </c>
      <c r="E60" t="s">
        <v>516</v>
      </c>
      <c r="F60">
        <v>2</v>
      </c>
      <c r="G60" t="s">
        <v>413</v>
      </c>
      <c r="H60" t="s">
        <v>414</v>
      </c>
      <c r="I60">
        <v>1651857250.225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151.7493734691571</v>
      </c>
      <c r="AK60">
        <v>155.3298848484849</v>
      </c>
      <c r="AL60">
        <v>-3.088581529802097</v>
      </c>
      <c r="AM60">
        <v>66.38384787954378</v>
      </c>
      <c r="AN60">
        <f>(AP60 - AO60 + DI60*1E3/(8.314*(DK60+273.15)) * AR60/DH60 * AQ60) * DH60/(100*CV60) * 1000/(1000 - AP60)</f>
        <v>0</v>
      </c>
      <c r="AO60">
        <v>8.952432114332726</v>
      </c>
      <c r="AP60">
        <v>18.39652852941176</v>
      </c>
      <c r="AQ60">
        <v>3.120421411228149E-05</v>
      </c>
      <c r="AR60">
        <v>80.44866334591464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1238</v>
      </c>
      <c r="CA60">
        <v>300</v>
      </c>
      <c r="CB60">
        <v>300</v>
      </c>
      <c r="CC60">
        <v>300</v>
      </c>
      <c r="CD60">
        <v>10440.5</v>
      </c>
      <c r="CE60">
        <v>1411.69</v>
      </c>
      <c r="CF60">
        <v>-0.00735121</v>
      </c>
      <c r="CG60">
        <v>-0.77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1651857250.225</v>
      </c>
      <c r="DB60">
        <v>155.11675</v>
      </c>
      <c r="DC60">
        <v>145.79075</v>
      </c>
      <c r="DD60">
        <v>18.3954</v>
      </c>
      <c r="DE60">
        <v>8.950330000000001</v>
      </c>
      <c r="DF60">
        <v>155.9295</v>
      </c>
      <c r="DG60">
        <v>18.389325</v>
      </c>
      <c r="DH60">
        <v>500.0432500000001</v>
      </c>
      <c r="DI60">
        <v>90.112875</v>
      </c>
      <c r="DJ60">
        <v>0.1000242</v>
      </c>
      <c r="DK60">
        <v>25.733425</v>
      </c>
      <c r="DL60">
        <v>25.00195</v>
      </c>
      <c r="DM60">
        <v>999.9</v>
      </c>
      <c r="DN60">
        <v>0</v>
      </c>
      <c r="DO60">
        <v>0</v>
      </c>
      <c r="DP60">
        <v>9991.862499999999</v>
      </c>
      <c r="DQ60">
        <v>0</v>
      </c>
      <c r="DR60">
        <v>3.20383</v>
      </c>
      <c r="DS60">
        <v>9.325919999999998</v>
      </c>
      <c r="DT60">
        <v>158.02375</v>
      </c>
      <c r="DU60">
        <v>147.1075</v>
      </c>
      <c r="DV60">
        <v>9.4450675</v>
      </c>
      <c r="DW60">
        <v>145.79075</v>
      </c>
      <c r="DX60">
        <v>8.950330000000001</v>
      </c>
      <c r="DY60">
        <v>1.6576625</v>
      </c>
      <c r="DZ60">
        <v>0.8065399999999999</v>
      </c>
      <c r="EA60">
        <v>14.50555</v>
      </c>
      <c r="EB60">
        <v>3.82293</v>
      </c>
      <c r="EC60">
        <v>1500.01</v>
      </c>
      <c r="ED60">
        <v>0.97299825</v>
      </c>
      <c r="EE60">
        <v>0.0270018</v>
      </c>
      <c r="EF60">
        <v>0</v>
      </c>
      <c r="EG60">
        <v>922.02475</v>
      </c>
      <c r="EH60">
        <v>5.00097</v>
      </c>
      <c r="EI60">
        <v>13686.375</v>
      </c>
      <c r="EJ60">
        <v>12491.675</v>
      </c>
      <c r="EK60">
        <v>37.562</v>
      </c>
      <c r="EL60">
        <v>39.062</v>
      </c>
      <c r="EM60">
        <v>37.9685</v>
      </c>
      <c r="EN60">
        <v>38.812</v>
      </c>
      <c r="EO60">
        <v>38.437</v>
      </c>
      <c r="EP60">
        <v>1454.6425</v>
      </c>
      <c r="EQ60">
        <v>40.3675</v>
      </c>
      <c r="ER60">
        <v>0</v>
      </c>
      <c r="ES60">
        <v>250.8000001907349</v>
      </c>
      <c r="ET60">
        <v>0</v>
      </c>
      <c r="EU60">
        <v>935.43272</v>
      </c>
      <c r="EV60">
        <v>-150.0506920592686</v>
      </c>
      <c r="EW60">
        <v>-2201.876919753442</v>
      </c>
      <c r="EX60">
        <v>13883.136</v>
      </c>
      <c r="EY60">
        <v>15</v>
      </c>
      <c r="EZ60">
        <v>1651857041.1</v>
      </c>
      <c r="FA60" t="s">
        <v>419</v>
      </c>
      <c r="FB60">
        <v>1651857019.6</v>
      </c>
      <c r="FC60">
        <v>1651857041.1</v>
      </c>
      <c r="FD60">
        <v>1</v>
      </c>
      <c r="FE60">
        <v>0.545</v>
      </c>
      <c r="FF60">
        <v>-0.002</v>
      </c>
      <c r="FG60">
        <v>-1.271</v>
      </c>
      <c r="FH60">
        <v>-0.09</v>
      </c>
      <c r="FI60">
        <v>400</v>
      </c>
      <c r="FJ60">
        <v>10</v>
      </c>
      <c r="FK60">
        <v>0.1</v>
      </c>
      <c r="FL60">
        <v>0.02</v>
      </c>
      <c r="FM60">
        <v>6.4989075</v>
      </c>
      <c r="FN60">
        <v>17.55502424015009</v>
      </c>
      <c r="FO60">
        <v>1.690089329705312</v>
      </c>
      <c r="FP60">
        <v>-1</v>
      </c>
      <c r="FQ60">
        <v>9.430512500000001</v>
      </c>
      <c r="FR60">
        <v>0.08754101313318841</v>
      </c>
      <c r="FS60">
        <v>0.008592514693033787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432</v>
      </c>
      <c r="GB60">
        <v>2.97983</v>
      </c>
      <c r="GC60">
        <v>2.70604</v>
      </c>
      <c r="GD60">
        <v>0.0392908</v>
      </c>
      <c r="GE60">
        <v>0.0363872</v>
      </c>
      <c r="GF60">
        <v>0.08792320000000001</v>
      </c>
      <c r="GG60">
        <v>0.0508477</v>
      </c>
      <c r="GH60">
        <v>30308.1</v>
      </c>
      <c r="GI60">
        <v>30466.8</v>
      </c>
      <c r="GJ60">
        <v>29337.3</v>
      </c>
      <c r="GK60">
        <v>29251</v>
      </c>
      <c r="GL60">
        <v>35433.6</v>
      </c>
      <c r="GM60">
        <v>36973.5</v>
      </c>
      <c r="GN60">
        <v>41296.8</v>
      </c>
      <c r="GO60">
        <v>41744.7</v>
      </c>
      <c r="GP60">
        <v>1.9537</v>
      </c>
      <c r="GQ60">
        <v>1.83317</v>
      </c>
      <c r="GR60">
        <v>-0.0360459</v>
      </c>
      <c r="GS60">
        <v>0</v>
      </c>
      <c r="GT60">
        <v>25.5929</v>
      </c>
      <c r="GU60">
        <v>999.9</v>
      </c>
      <c r="GV60">
        <v>39.1</v>
      </c>
      <c r="GW60">
        <v>33.8</v>
      </c>
      <c r="GX60">
        <v>22.9264</v>
      </c>
      <c r="GY60">
        <v>62.4976</v>
      </c>
      <c r="GZ60">
        <v>35.5008</v>
      </c>
      <c r="HA60">
        <v>1</v>
      </c>
      <c r="HB60">
        <v>0.146939</v>
      </c>
      <c r="HC60">
        <v>2.33166</v>
      </c>
      <c r="HD60">
        <v>20.3172</v>
      </c>
      <c r="HE60">
        <v>5.21669</v>
      </c>
      <c r="HF60">
        <v>12.0099</v>
      </c>
      <c r="HG60">
        <v>4.9884</v>
      </c>
      <c r="HH60">
        <v>3.28848</v>
      </c>
      <c r="HI60">
        <v>847.1</v>
      </c>
      <c r="HJ60">
        <v>8428.1</v>
      </c>
      <c r="HK60">
        <v>5139.4</v>
      </c>
      <c r="HL60">
        <v>22.8</v>
      </c>
      <c r="HM60">
        <v>1.86752</v>
      </c>
      <c r="HN60">
        <v>1.86647</v>
      </c>
      <c r="HO60">
        <v>1.866</v>
      </c>
      <c r="HP60">
        <v>1.86589</v>
      </c>
      <c r="HQ60">
        <v>1.8677</v>
      </c>
      <c r="HR60">
        <v>1.87026</v>
      </c>
      <c r="HS60">
        <v>1.8689</v>
      </c>
      <c r="HT60">
        <v>1.87027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-0.805</v>
      </c>
      <c r="II60">
        <v>0.0061</v>
      </c>
      <c r="IJ60">
        <v>-0.4995723906072</v>
      </c>
      <c r="IK60">
        <v>-0.002077099775823331</v>
      </c>
      <c r="IL60">
        <v>4.593143279902166E-07</v>
      </c>
      <c r="IM60">
        <v>-1.865383991892071E-10</v>
      </c>
      <c r="IN60">
        <v>-0.07605349583632376</v>
      </c>
      <c r="IO60">
        <v>-0.01129461987421345</v>
      </c>
      <c r="IP60">
        <v>0.00116580895745559</v>
      </c>
      <c r="IQ60">
        <v>-1.679085872906199E-05</v>
      </c>
      <c r="IR60">
        <v>2</v>
      </c>
      <c r="IS60">
        <v>2290</v>
      </c>
      <c r="IT60">
        <v>0</v>
      </c>
      <c r="IU60">
        <v>32</v>
      </c>
      <c r="IV60">
        <v>3.9</v>
      </c>
      <c r="IW60">
        <v>3.5</v>
      </c>
      <c r="IX60">
        <v>0.421143</v>
      </c>
      <c r="IY60">
        <v>2.27539</v>
      </c>
      <c r="IZ60">
        <v>1.39648</v>
      </c>
      <c r="JA60">
        <v>2.35962</v>
      </c>
      <c r="JB60">
        <v>1.49536</v>
      </c>
      <c r="JC60">
        <v>2.30591</v>
      </c>
      <c r="JD60">
        <v>38.3056</v>
      </c>
      <c r="JE60">
        <v>24.035</v>
      </c>
      <c r="JF60">
        <v>18</v>
      </c>
      <c r="JG60">
        <v>514.657</v>
      </c>
      <c r="JH60">
        <v>422.71</v>
      </c>
      <c r="JI60">
        <v>22.5508</v>
      </c>
      <c r="JJ60">
        <v>29.2436</v>
      </c>
      <c r="JK60">
        <v>29.9999</v>
      </c>
      <c r="JL60">
        <v>29.197</v>
      </c>
      <c r="JM60">
        <v>29.123</v>
      </c>
      <c r="JN60">
        <v>8.40798</v>
      </c>
      <c r="JO60">
        <v>55.4487</v>
      </c>
      <c r="JP60">
        <v>0</v>
      </c>
      <c r="JQ60">
        <v>22.5597</v>
      </c>
      <c r="JR60">
        <v>118.748</v>
      </c>
      <c r="JS60">
        <v>8.98901</v>
      </c>
      <c r="JT60">
        <v>100.286</v>
      </c>
      <c r="JU60">
        <v>100.196</v>
      </c>
    </row>
    <row r="61" spans="1:281">
      <c r="A61">
        <v>45</v>
      </c>
      <c r="B61">
        <v>1651857253.6</v>
      </c>
      <c r="C61">
        <v>253</v>
      </c>
      <c r="D61" t="s">
        <v>517</v>
      </c>
      <c r="E61" t="s">
        <v>518</v>
      </c>
      <c r="F61">
        <v>2</v>
      </c>
      <c r="G61" t="s">
        <v>413</v>
      </c>
      <c r="H61" t="s">
        <v>414</v>
      </c>
      <c r="I61">
        <v>1651857252.6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145.0941302249925</v>
      </c>
      <c r="AK61">
        <v>149.2264303030303</v>
      </c>
      <c r="AL61">
        <v>-3.06101615242753</v>
      </c>
      <c r="AM61">
        <v>66.38384787954378</v>
      </c>
      <c r="AN61">
        <f>(AP61 - AO61 + DI61*1E3/(8.314*(DK61+273.15)) * AR61/DH61 * AQ61) * DH61/(100*CV61) * 1000/(1000 - AP61)</f>
        <v>0</v>
      </c>
      <c r="AO61">
        <v>8.9509374178214</v>
      </c>
      <c r="AP61">
        <v>18.3996944117647</v>
      </c>
      <c r="AQ61">
        <v>3.306476006042092E-05</v>
      </c>
      <c r="AR61">
        <v>80.44866334591464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1238</v>
      </c>
      <c r="CA61">
        <v>300</v>
      </c>
      <c r="CB61">
        <v>300</v>
      </c>
      <c r="CC61">
        <v>300</v>
      </c>
      <c r="CD61">
        <v>10440.5</v>
      </c>
      <c r="CE61">
        <v>1411.69</v>
      </c>
      <c r="CF61">
        <v>-0.00735121</v>
      </c>
      <c r="CG61">
        <v>-0.77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1651857252.6</v>
      </c>
      <c r="DB61">
        <v>147.9726666666667</v>
      </c>
      <c r="DC61">
        <v>137.932</v>
      </c>
      <c r="DD61">
        <v>18.3987</v>
      </c>
      <c r="DE61">
        <v>8.949663333333334</v>
      </c>
      <c r="DF61">
        <v>148.772</v>
      </c>
      <c r="DG61">
        <v>18.3926</v>
      </c>
      <c r="DH61">
        <v>500.0356666666667</v>
      </c>
      <c r="DI61">
        <v>90.1125</v>
      </c>
      <c r="DJ61">
        <v>0.09978093333333334</v>
      </c>
      <c r="DK61">
        <v>25.73386666666667</v>
      </c>
      <c r="DL61">
        <v>25.00463333333333</v>
      </c>
      <c r="DM61">
        <v>999.9</v>
      </c>
      <c r="DN61">
        <v>0</v>
      </c>
      <c r="DO61">
        <v>0</v>
      </c>
      <c r="DP61">
        <v>10003.36666666667</v>
      </c>
      <c r="DQ61">
        <v>0</v>
      </c>
      <c r="DR61">
        <v>3.20383</v>
      </c>
      <c r="DS61">
        <v>10.04111666666667</v>
      </c>
      <c r="DT61">
        <v>150.7463333333334</v>
      </c>
      <c r="DU61">
        <v>139.1773333333333</v>
      </c>
      <c r="DV61">
        <v>9.449036666666666</v>
      </c>
      <c r="DW61">
        <v>137.932</v>
      </c>
      <c r="DX61">
        <v>8.949663333333334</v>
      </c>
      <c r="DY61">
        <v>1.657953333333333</v>
      </c>
      <c r="DZ61">
        <v>0.8064766666666667</v>
      </c>
      <c r="EA61">
        <v>14.50823333333333</v>
      </c>
      <c r="EB61">
        <v>3.82181</v>
      </c>
      <c r="EC61">
        <v>1500.073333333333</v>
      </c>
      <c r="ED61">
        <v>0.9729966666666666</v>
      </c>
      <c r="EE61">
        <v>0.02700316666666666</v>
      </c>
      <c r="EF61">
        <v>0</v>
      </c>
      <c r="EG61">
        <v>916.8223333333334</v>
      </c>
      <c r="EH61">
        <v>5.00097</v>
      </c>
      <c r="EI61">
        <v>13615.7</v>
      </c>
      <c r="EJ61">
        <v>12492.13333333333</v>
      </c>
      <c r="EK61">
        <v>37.562</v>
      </c>
      <c r="EL61">
        <v>39.062</v>
      </c>
      <c r="EM61">
        <v>37.937</v>
      </c>
      <c r="EN61">
        <v>38.812</v>
      </c>
      <c r="EO61">
        <v>38.437</v>
      </c>
      <c r="EP61">
        <v>1454.703333333333</v>
      </c>
      <c r="EQ61">
        <v>40.37</v>
      </c>
      <c r="ER61">
        <v>0</v>
      </c>
      <c r="ES61">
        <v>252.6000001430511</v>
      </c>
      <c r="ET61">
        <v>0</v>
      </c>
      <c r="EU61">
        <v>931.8036538461539</v>
      </c>
      <c r="EV61">
        <v>-144.0349744386335</v>
      </c>
      <c r="EW61">
        <v>-2103.71965951901</v>
      </c>
      <c r="EX61">
        <v>13830.18461538461</v>
      </c>
      <c r="EY61">
        <v>15</v>
      </c>
      <c r="EZ61">
        <v>1651857041.1</v>
      </c>
      <c r="FA61" t="s">
        <v>419</v>
      </c>
      <c r="FB61">
        <v>1651857019.6</v>
      </c>
      <c r="FC61">
        <v>1651857041.1</v>
      </c>
      <c r="FD61">
        <v>1</v>
      </c>
      <c r="FE61">
        <v>0.545</v>
      </c>
      <c r="FF61">
        <v>-0.002</v>
      </c>
      <c r="FG61">
        <v>-1.271</v>
      </c>
      <c r="FH61">
        <v>-0.09</v>
      </c>
      <c r="FI61">
        <v>400</v>
      </c>
      <c r="FJ61">
        <v>10</v>
      </c>
      <c r="FK61">
        <v>0.1</v>
      </c>
      <c r="FL61">
        <v>0.02</v>
      </c>
      <c r="FM61">
        <v>7.358598750000001</v>
      </c>
      <c r="FN61">
        <v>17.63625579737336</v>
      </c>
      <c r="FO61">
        <v>1.697727793252186</v>
      </c>
      <c r="FP61">
        <v>-1</v>
      </c>
      <c r="FQ61">
        <v>9.43513525</v>
      </c>
      <c r="FR61">
        <v>0.08680964352718994</v>
      </c>
      <c r="FS61">
        <v>0.008518713514228636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432</v>
      </c>
      <c r="GB61">
        <v>2.97975</v>
      </c>
      <c r="GC61">
        <v>2.70604</v>
      </c>
      <c r="GD61">
        <v>0.0378339</v>
      </c>
      <c r="GE61">
        <v>0.034773</v>
      </c>
      <c r="GF61">
        <v>0.08793330000000001</v>
      </c>
      <c r="GG61">
        <v>0.0508504</v>
      </c>
      <c r="GH61">
        <v>30354.3</v>
      </c>
      <c r="GI61">
        <v>30517.9</v>
      </c>
      <c r="GJ61">
        <v>29337.5</v>
      </c>
      <c r="GK61">
        <v>29251</v>
      </c>
      <c r="GL61">
        <v>35433.1</v>
      </c>
      <c r="GM61">
        <v>36973.4</v>
      </c>
      <c r="GN61">
        <v>41296.8</v>
      </c>
      <c r="GO61">
        <v>41744.7</v>
      </c>
      <c r="GP61">
        <v>1.95378</v>
      </c>
      <c r="GQ61">
        <v>1.8332</v>
      </c>
      <c r="GR61">
        <v>-0.0358149</v>
      </c>
      <c r="GS61">
        <v>0</v>
      </c>
      <c r="GT61">
        <v>25.5929</v>
      </c>
      <c r="GU61">
        <v>999.9</v>
      </c>
      <c r="GV61">
        <v>39.1</v>
      </c>
      <c r="GW61">
        <v>33.8</v>
      </c>
      <c r="GX61">
        <v>22.926</v>
      </c>
      <c r="GY61">
        <v>62.5676</v>
      </c>
      <c r="GZ61">
        <v>35.3966</v>
      </c>
      <c r="HA61">
        <v>1</v>
      </c>
      <c r="HB61">
        <v>0.146684</v>
      </c>
      <c r="HC61">
        <v>2.32626</v>
      </c>
      <c r="HD61">
        <v>20.3173</v>
      </c>
      <c r="HE61">
        <v>5.21669</v>
      </c>
      <c r="HF61">
        <v>12.0099</v>
      </c>
      <c r="HG61">
        <v>4.98835</v>
      </c>
      <c r="HH61">
        <v>3.2885</v>
      </c>
      <c r="HI61">
        <v>847.1</v>
      </c>
      <c r="HJ61">
        <v>8428.1</v>
      </c>
      <c r="HK61">
        <v>5139.4</v>
      </c>
      <c r="HL61">
        <v>22.8</v>
      </c>
      <c r="HM61">
        <v>1.86752</v>
      </c>
      <c r="HN61">
        <v>1.86646</v>
      </c>
      <c r="HO61">
        <v>1.866</v>
      </c>
      <c r="HP61">
        <v>1.8659</v>
      </c>
      <c r="HQ61">
        <v>1.8677</v>
      </c>
      <c r="HR61">
        <v>1.87026</v>
      </c>
      <c r="HS61">
        <v>1.8689</v>
      </c>
      <c r="HT61">
        <v>1.87027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-0.793</v>
      </c>
      <c r="II61">
        <v>0.0061</v>
      </c>
      <c r="IJ61">
        <v>-0.4995723906072</v>
      </c>
      <c r="IK61">
        <v>-0.002077099775823331</v>
      </c>
      <c r="IL61">
        <v>4.593143279902166E-07</v>
      </c>
      <c r="IM61">
        <v>-1.865383991892071E-10</v>
      </c>
      <c r="IN61">
        <v>-0.07605349583632376</v>
      </c>
      <c r="IO61">
        <v>-0.01129461987421345</v>
      </c>
      <c r="IP61">
        <v>0.00116580895745559</v>
      </c>
      <c r="IQ61">
        <v>-1.679085872906199E-05</v>
      </c>
      <c r="IR61">
        <v>2</v>
      </c>
      <c r="IS61">
        <v>2290</v>
      </c>
      <c r="IT61">
        <v>0</v>
      </c>
      <c r="IU61">
        <v>32</v>
      </c>
      <c r="IV61">
        <v>3.9</v>
      </c>
      <c r="IW61">
        <v>3.5</v>
      </c>
      <c r="IX61">
        <v>0.405273</v>
      </c>
      <c r="IY61">
        <v>2.27539</v>
      </c>
      <c r="IZ61">
        <v>1.39648</v>
      </c>
      <c r="JA61">
        <v>2.35962</v>
      </c>
      <c r="JB61">
        <v>1.49536</v>
      </c>
      <c r="JC61">
        <v>2.35596</v>
      </c>
      <c r="JD61">
        <v>38.3056</v>
      </c>
      <c r="JE61">
        <v>24.0437</v>
      </c>
      <c r="JF61">
        <v>18</v>
      </c>
      <c r="JG61">
        <v>514.701</v>
      </c>
      <c r="JH61">
        <v>422.724</v>
      </c>
      <c r="JI61">
        <v>22.5526</v>
      </c>
      <c r="JJ61">
        <v>29.2424</v>
      </c>
      <c r="JK61">
        <v>29.9998</v>
      </c>
      <c r="JL61">
        <v>29.1963</v>
      </c>
      <c r="JM61">
        <v>29.123</v>
      </c>
      <c r="JN61">
        <v>8.11158</v>
      </c>
      <c r="JO61">
        <v>55.4487</v>
      </c>
      <c r="JP61">
        <v>0</v>
      </c>
      <c r="JQ61">
        <v>22.5546</v>
      </c>
      <c r="JR61">
        <v>112.069</v>
      </c>
      <c r="JS61">
        <v>8.98901</v>
      </c>
      <c r="JT61">
        <v>100.286</v>
      </c>
      <c r="JU61">
        <v>100.196</v>
      </c>
    </row>
    <row r="62" spans="1:281">
      <c r="A62">
        <v>46</v>
      </c>
      <c r="B62">
        <v>1651857255.6</v>
      </c>
      <c r="C62">
        <v>255</v>
      </c>
      <c r="D62" t="s">
        <v>519</v>
      </c>
      <c r="E62" t="s">
        <v>520</v>
      </c>
      <c r="F62">
        <v>2</v>
      </c>
      <c r="G62" t="s">
        <v>413</v>
      </c>
      <c r="H62" t="s">
        <v>414</v>
      </c>
      <c r="I62">
        <v>1651857254.225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138.4064007984148</v>
      </c>
      <c r="AK62">
        <v>143.069406060606</v>
      </c>
      <c r="AL62">
        <v>-3.067290334405402</v>
      </c>
      <c r="AM62">
        <v>66.38384787954378</v>
      </c>
      <c r="AN62">
        <f>(AP62 - AO62 + DI62*1E3/(8.314*(DK62+273.15)) * AR62/DH62 * AQ62) * DH62/(100*CV62) * 1000/(1000 - AP62)</f>
        <v>0</v>
      </c>
      <c r="AO62">
        <v>8.949946202926423</v>
      </c>
      <c r="AP62">
        <v>18.40218617647058</v>
      </c>
      <c r="AQ62">
        <v>5.522166219102846E-05</v>
      </c>
      <c r="AR62">
        <v>80.44866334591464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1238</v>
      </c>
      <c r="CA62">
        <v>300</v>
      </c>
      <c r="CB62">
        <v>300</v>
      </c>
      <c r="CC62">
        <v>300</v>
      </c>
      <c r="CD62">
        <v>10440.5</v>
      </c>
      <c r="CE62">
        <v>1411.69</v>
      </c>
      <c r="CF62">
        <v>-0.00735121</v>
      </c>
      <c r="CG62">
        <v>-0.77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1651857254.225</v>
      </c>
      <c r="DB62">
        <v>143.0805</v>
      </c>
      <c r="DC62">
        <v>132.512</v>
      </c>
      <c r="DD62">
        <v>18.401025</v>
      </c>
      <c r="DE62">
        <v>8.949910000000001</v>
      </c>
      <c r="DF62">
        <v>143.8705</v>
      </c>
      <c r="DG62">
        <v>18.394875</v>
      </c>
      <c r="DH62">
        <v>500.00275</v>
      </c>
      <c r="DI62">
        <v>90.112825</v>
      </c>
      <c r="DJ62">
        <v>0.100008875</v>
      </c>
      <c r="DK62">
        <v>25.7352</v>
      </c>
      <c r="DL62">
        <v>25.00605</v>
      </c>
      <c r="DM62">
        <v>999.9</v>
      </c>
      <c r="DN62">
        <v>0</v>
      </c>
      <c r="DO62">
        <v>0</v>
      </c>
      <c r="DP62">
        <v>9994.375</v>
      </c>
      <c r="DQ62">
        <v>0</v>
      </c>
      <c r="DR62">
        <v>3.20383</v>
      </c>
      <c r="DS62">
        <v>10.568775</v>
      </c>
      <c r="DT62">
        <v>145.763</v>
      </c>
      <c r="DU62">
        <v>133.70875</v>
      </c>
      <c r="DV62">
        <v>9.4511</v>
      </c>
      <c r="DW62">
        <v>132.512</v>
      </c>
      <c r="DX62">
        <v>8.949910000000001</v>
      </c>
      <c r="DY62">
        <v>1.6581675</v>
      </c>
      <c r="DZ62">
        <v>0.80650175</v>
      </c>
      <c r="EA62">
        <v>14.51025</v>
      </c>
      <c r="EB62">
        <v>3.8222525</v>
      </c>
      <c r="EC62">
        <v>1500.01</v>
      </c>
      <c r="ED62">
        <v>0.97299925</v>
      </c>
      <c r="EE62">
        <v>0.02700065</v>
      </c>
      <c r="EF62">
        <v>0</v>
      </c>
      <c r="EG62">
        <v>914.2645</v>
      </c>
      <c r="EH62">
        <v>5.00097</v>
      </c>
      <c r="EI62">
        <v>13576.225</v>
      </c>
      <c r="EJ62">
        <v>12491.675</v>
      </c>
      <c r="EK62">
        <v>37.562</v>
      </c>
      <c r="EL62">
        <v>39.062</v>
      </c>
      <c r="EM62">
        <v>37.937</v>
      </c>
      <c r="EN62">
        <v>38.812</v>
      </c>
      <c r="EO62">
        <v>38.437</v>
      </c>
      <c r="EP62">
        <v>1454.645</v>
      </c>
      <c r="EQ62">
        <v>40.365</v>
      </c>
      <c r="ER62">
        <v>0</v>
      </c>
      <c r="ES62">
        <v>254.4000000953674</v>
      </c>
      <c r="ET62">
        <v>0</v>
      </c>
      <c r="EU62">
        <v>926.85868</v>
      </c>
      <c r="EV62">
        <v>-134.7093844059057</v>
      </c>
      <c r="EW62">
        <v>-1964.330766401792</v>
      </c>
      <c r="EX62">
        <v>13758.4</v>
      </c>
      <c r="EY62">
        <v>15</v>
      </c>
      <c r="EZ62">
        <v>1651857041.1</v>
      </c>
      <c r="FA62" t="s">
        <v>419</v>
      </c>
      <c r="FB62">
        <v>1651857019.6</v>
      </c>
      <c r="FC62">
        <v>1651857041.1</v>
      </c>
      <c r="FD62">
        <v>1</v>
      </c>
      <c r="FE62">
        <v>0.545</v>
      </c>
      <c r="FF62">
        <v>-0.002</v>
      </c>
      <c r="FG62">
        <v>-1.271</v>
      </c>
      <c r="FH62">
        <v>-0.09</v>
      </c>
      <c r="FI62">
        <v>400</v>
      </c>
      <c r="FJ62">
        <v>10</v>
      </c>
      <c r="FK62">
        <v>0.1</v>
      </c>
      <c r="FL62">
        <v>0.02</v>
      </c>
      <c r="FM62">
        <v>7.653549</v>
      </c>
      <c r="FN62">
        <v>17.61227752345215</v>
      </c>
      <c r="FO62">
        <v>1.695399578108063</v>
      </c>
      <c r="FP62">
        <v>-1</v>
      </c>
      <c r="FQ62">
        <v>9.4366</v>
      </c>
      <c r="FR62">
        <v>0.08826709193243204</v>
      </c>
      <c r="FS62">
        <v>0.008656586220907281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432</v>
      </c>
      <c r="GB62">
        <v>2.9798</v>
      </c>
      <c r="GC62">
        <v>2.70623</v>
      </c>
      <c r="GD62">
        <v>0.0363545</v>
      </c>
      <c r="GE62">
        <v>0.0331315</v>
      </c>
      <c r="GF62">
        <v>0.08793719999999999</v>
      </c>
      <c r="GG62">
        <v>0.0508484</v>
      </c>
      <c r="GH62">
        <v>30401</v>
      </c>
      <c r="GI62">
        <v>30569.8</v>
      </c>
      <c r="GJ62">
        <v>29337.6</v>
      </c>
      <c r="GK62">
        <v>29251.1</v>
      </c>
      <c r="GL62">
        <v>35433.2</v>
      </c>
      <c r="GM62">
        <v>36973.6</v>
      </c>
      <c r="GN62">
        <v>41297.1</v>
      </c>
      <c r="GO62">
        <v>41744.8</v>
      </c>
      <c r="GP62">
        <v>1.9538</v>
      </c>
      <c r="GQ62">
        <v>1.833</v>
      </c>
      <c r="GR62">
        <v>-0.0358671</v>
      </c>
      <c r="GS62">
        <v>0</v>
      </c>
      <c r="GT62">
        <v>25.5924</v>
      </c>
      <c r="GU62">
        <v>999.9</v>
      </c>
      <c r="GV62">
        <v>39.1</v>
      </c>
      <c r="GW62">
        <v>33.8</v>
      </c>
      <c r="GX62">
        <v>22.9245</v>
      </c>
      <c r="GY62">
        <v>62.6376</v>
      </c>
      <c r="GZ62">
        <v>35.2764</v>
      </c>
      <c r="HA62">
        <v>1</v>
      </c>
      <c r="HB62">
        <v>0.146392</v>
      </c>
      <c r="HC62">
        <v>2.33434</v>
      </c>
      <c r="HD62">
        <v>20.3172</v>
      </c>
      <c r="HE62">
        <v>5.21684</v>
      </c>
      <c r="HF62">
        <v>12.0099</v>
      </c>
      <c r="HG62">
        <v>4.98855</v>
      </c>
      <c r="HH62">
        <v>3.2885</v>
      </c>
      <c r="HI62">
        <v>847.1</v>
      </c>
      <c r="HJ62">
        <v>8428.1</v>
      </c>
      <c r="HK62">
        <v>5139.4</v>
      </c>
      <c r="HL62">
        <v>22.8</v>
      </c>
      <c r="HM62">
        <v>1.86751</v>
      </c>
      <c r="HN62">
        <v>1.86646</v>
      </c>
      <c r="HO62">
        <v>1.866</v>
      </c>
      <c r="HP62">
        <v>1.86588</v>
      </c>
      <c r="HQ62">
        <v>1.8677</v>
      </c>
      <c r="HR62">
        <v>1.87026</v>
      </c>
      <c r="HS62">
        <v>1.8689</v>
      </c>
      <c r="HT62">
        <v>1.87027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-0.781</v>
      </c>
      <c r="II62">
        <v>0.0062</v>
      </c>
      <c r="IJ62">
        <v>-0.4995723906072</v>
      </c>
      <c r="IK62">
        <v>-0.002077099775823331</v>
      </c>
      <c r="IL62">
        <v>4.593143279902166E-07</v>
      </c>
      <c r="IM62">
        <v>-1.865383991892071E-10</v>
      </c>
      <c r="IN62">
        <v>-0.07605349583632376</v>
      </c>
      <c r="IO62">
        <v>-0.01129461987421345</v>
      </c>
      <c r="IP62">
        <v>0.00116580895745559</v>
      </c>
      <c r="IQ62">
        <v>-1.679085872906199E-05</v>
      </c>
      <c r="IR62">
        <v>2</v>
      </c>
      <c r="IS62">
        <v>2290</v>
      </c>
      <c r="IT62">
        <v>0</v>
      </c>
      <c r="IU62">
        <v>32</v>
      </c>
      <c r="IV62">
        <v>3.9</v>
      </c>
      <c r="IW62">
        <v>3.6</v>
      </c>
      <c r="IX62">
        <v>0.390625</v>
      </c>
      <c r="IY62">
        <v>2.28271</v>
      </c>
      <c r="IZ62">
        <v>1.39648</v>
      </c>
      <c r="JA62">
        <v>2.35962</v>
      </c>
      <c r="JB62">
        <v>1.49536</v>
      </c>
      <c r="JC62">
        <v>2.28394</v>
      </c>
      <c r="JD62">
        <v>38.2812</v>
      </c>
      <c r="JE62">
        <v>24.035</v>
      </c>
      <c r="JF62">
        <v>18</v>
      </c>
      <c r="JG62">
        <v>514.706</v>
      </c>
      <c r="JH62">
        <v>422.597</v>
      </c>
      <c r="JI62">
        <v>22.5536</v>
      </c>
      <c r="JJ62">
        <v>29.2411</v>
      </c>
      <c r="JK62">
        <v>29.9999</v>
      </c>
      <c r="JL62">
        <v>29.195</v>
      </c>
      <c r="JM62">
        <v>29.1218</v>
      </c>
      <c r="JN62">
        <v>7.81634</v>
      </c>
      <c r="JO62">
        <v>55.4487</v>
      </c>
      <c r="JP62">
        <v>0</v>
      </c>
      <c r="JQ62">
        <v>22.5546</v>
      </c>
      <c r="JR62">
        <v>105.389</v>
      </c>
      <c r="JS62">
        <v>8.98901</v>
      </c>
      <c r="JT62">
        <v>100.286</v>
      </c>
      <c r="JU62">
        <v>100.196</v>
      </c>
    </row>
    <row r="63" spans="1:281">
      <c r="A63">
        <v>47</v>
      </c>
      <c r="B63">
        <v>1651857257.1</v>
      </c>
      <c r="C63">
        <v>256.5</v>
      </c>
      <c r="D63" t="s">
        <v>521</v>
      </c>
      <c r="E63" t="s">
        <v>522</v>
      </c>
      <c r="F63">
        <v>2</v>
      </c>
      <c r="G63" t="s">
        <v>413</v>
      </c>
      <c r="H63" t="s">
        <v>414</v>
      </c>
      <c r="I63">
        <v>1651857255.6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133.3570504949526</v>
      </c>
      <c r="AK63">
        <v>138.4408363636363</v>
      </c>
      <c r="AL63">
        <v>-3.080112706854921</v>
      </c>
      <c r="AM63">
        <v>66.38384787954378</v>
      </c>
      <c r="AN63">
        <f>(AP63 - AO63 + DI63*1E3/(8.314*(DK63+273.15)) * AR63/DH63 * AQ63) * DH63/(100*CV63) * 1000/(1000 - AP63)</f>
        <v>0</v>
      </c>
      <c r="AO63">
        <v>8.94977119180643</v>
      </c>
      <c r="AP63">
        <v>18.40310117647059</v>
      </c>
      <c r="AQ63">
        <v>6.452336950965103E-05</v>
      </c>
      <c r="AR63">
        <v>80.44866334591464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1238</v>
      </c>
      <c r="CA63">
        <v>300</v>
      </c>
      <c r="CB63">
        <v>300</v>
      </c>
      <c r="CC63">
        <v>300</v>
      </c>
      <c r="CD63">
        <v>10440.5</v>
      </c>
      <c r="CE63">
        <v>1411.69</v>
      </c>
      <c r="CF63">
        <v>-0.00735121</v>
      </c>
      <c r="CG63">
        <v>-0.77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1651857255.6</v>
      </c>
      <c r="DB63">
        <v>138.92225</v>
      </c>
      <c r="DC63">
        <v>127.90875</v>
      </c>
      <c r="DD63">
        <v>18.4023</v>
      </c>
      <c r="DE63">
        <v>8.94985</v>
      </c>
      <c r="DF63">
        <v>139.70375</v>
      </c>
      <c r="DG63">
        <v>18.396125</v>
      </c>
      <c r="DH63">
        <v>500.03</v>
      </c>
      <c r="DI63">
        <v>90.11342500000001</v>
      </c>
      <c r="DJ63">
        <v>0.10011</v>
      </c>
      <c r="DK63">
        <v>25.734975</v>
      </c>
      <c r="DL63">
        <v>25.00325</v>
      </c>
      <c r="DM63">
        <v>999.9</v>
      </c>
      <c r="DN63">
        <v>0</v>
      </c>
      <c r="DO63">
        <v>0</v>
      </c>
      <c r="DP63">
        <v>9992.1875</v>
      </c>
      <c r="DQ63">
        <v>0</v>
      </c>
      <c r="DR63">
        <v>3.20383</v>
      </c>
      <c r="DS63">
        <v>11.013325</v>
      </c>
      <c r="DT63">
        <v>141.52675</v>
      </c>
      <c r="DU63">
        <v>129.064</v>
      </c>
      <c r="DV63">
        <v>9.4524425</v>
      </c>
      <c r="DW63">
        <v>127.90875</v>
      </c>
      <c r="DX63">
        <v>8.94985</v>
      </c>
      <c r="DY63">
        <v>1.6582925</v>
      </c>
      <c r="DZ63">
        <v>0.80650175</v>
      </c>
      <c r="EA63">
        <v>14.51145</v>
      </c>
      <c r="EB63">
        <v>3.822255</v>
      </c>
      <c r="EC63">
        <v>1500.0025</v>
      </c>
      <c r="ED63">
        <v>0.9730045</v>
      </c>
      <c r="EE63">
        <v>0.026995475</v>
      </c>
      <c r="EF63">
        <v>0</v>
      </c>
      <c r="EG63">
        <v>911.8555</v>
      </c>
      <c r="EH63">
        <v>5.00097</v>
      </c>
      <c r="EI63">
        <v>13541.925</v>
      </c>
      <c r="EJ63">
        <v>12491.625</v>
      </c>
      <c r="EK63">
        <v>37.562</v>
      </c>
      <c r="EL63">
        <v>39.062</v>
      </c>
      <c r="EM63">
        <v>37.9685</v>
      </c>
      <c r="EN63">
        <v>38.812</v>
      </c>
      <c r="EO63">
        <v>38.437</v>
      </c>
      <c r="EP63">
        <v>1454.645</v>
      </c>
      <c r="EQ63">
        <v>40.3575</v>
      </c>
      <c r="ER63">
        <v>0</v>
      </c>
      <c r="ES63">
        <v>256.2000000476837</v>
      </c>
      <c r="ET63">
        <v>0</v>
      </c>
      <c r="EU63">
        <v>923.6408461538463</v>
      </c>
      <c r="EV63">
        <v>-128.1982223141578</v>
      </c>
      <c r="EW63">
        <v>-1864.94701009354</v>
      </c>
      <c r="EX63">
        <v>13711.54230769231</v>
      </c>
      <c r="EY63">
        <v>15</v>
      </c>
      <c r="EZ63">
        <v>1651857041.1</v>
      </c>
      <c r="FA63" t="s">
        <v>419</v>
      </c>
      <c r="FB63">
        <v>1651857019.6</v>
      </c>
      <c r="FC63">
        <v>1651857041.1</v>
      </c>
      <c r="FD63">
        <v>1</v>
      </c>
      <c r="FE63">
        <v>0.545</v>
      </c>
      <c r="FF63">
        <v>-0.002</v>
      </c>
      <c r="FG63">
        <v>-1.271</v>
      </c>
      <c r="FH63">
        <v>-0.09</v>
      </c>
      <c r="FI63">
        <v>400</v>
      </c>
      <c r="FJ63">
        <v>10</v>
      </c>
      <c r="FK63">
        <v>0.1</v>
      </c>
      <c r="FL63">
        <v>0.02</v>
      </c>
      <c r="FM63">
        <v>8.028547317073171</v>
      </c>
      <c r="FN63">
        <v>17.56382195121951</v>
      </c>
      <c r="FO63">
        <v>1.732799083386612</v>
      </c>
      <c r="FP63">
        <v>-1</v>
      </c>
      <c r="FQ63">
        <v>9.438229756097561</v>
      </c>
      <c r="FR63">
        <v>0.0902314285714526</v>
      </c>
      <c r="FS63">
        <v>0.009022584262271104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432</v>
      </c>
      <c r="GB63">
        <v>2.97981</v>
      </c>
      <c r="GC63">
        <v>2.70617</v>
      </c>
      <c r="GD63">
        <v>0.0352345</v>
      </c>
      <c r="GE63">
        <v>0.0318902</v>
      </c>
      <c r="GF63">
        <v>0.0879462</v>
      </c>
      <c r="GG63">
        <v>0.0508472</v>
      </c>
      <c r="GH63">
        <v>30436.4</v>
      </c>
      <c r="GI63">
        <v>30609.2</v>
      </c>
      <c r="GJ63">
        <v>29337.6</v>
      </c>
      <c r="GK63">
        <v>29251.2</v>
      </c>
      <c r="GL63">
        <v>35432.9</v>
      </c>
      <c r="GM63">
        <v>36973.7</v>
      </c>
      <c r="GN63">
        <v>41297.2</v>
      </c>
      <c r="GO63">
        <v>41744.9</v>
      </c>
      <c r="GP63">
        <v>1.95385</v>
      </c>
      <c r="GQ63">
        <v>1.83293</v>
      </c>
      <c r="GR63">
        <v>-0.0362918</v>
      </c>
      <c r="GS63">
        <v>0</v>
      </c>
      <c r="GT63">
        <v>25.5916</v>
      </c>
      <c r="GU63">
        <v>999.9</v>
      </c>
      <c r="GV63">
        <v>39.1</v>
      </c>
      <c r="GW63">
        <v>33.8</v>
      </c>
      <c r="GX63">
        <v>22.9266</v>
      </c>
      <c r="GY63">
        <v>62.4376</v>
      </c>
      <c r="GZ63">
        <v>35.4407</v>
      </c>
      <c r="HA63">
        <v>1</v>
      </c>
      <c r="HB63">
        <v>0.146324</v>
      </c>
      <c r="HC63">
        <v>2.33858</v>
      </c>
      <c r="HD63">
        <v>20.3173</v>
      </c>
      <c r="HE63">
        <v>5.21684</v>
      </c>
      <c r="HF63">
        <v>12.0099</v>
      </c>
      <c r="HG63">
        <v>4.9887</v>
      </c>
      <c r="HH63">
        <v>3.2885</v>
      </c>
      <c r="HI63">
        <v>847.3</v>
      </c>
      <c r="HJ63">
        <v>8430.299999999999</v>
      </c>
      <c r="HK63">
        <v>5139.4</v>
      </c>
      <c r="HL63">
        <v>22.8</v>
      </c>
      <c r="HM63">
        <v>1.86752</v>
      </c>
      <c r="HN63">
        <v>1.86646</v>
      </c>
      <c r="HO63">
        <v>1.866</v>
      </c>
      <c r="HP63">
        <v>1.8659</v>
      </c>
      <c r="HQ63">
        <v>1.86771</v>
      </c>
      <c r="HR63">
        <v>1.87026</v>
      </c>
      <c r="HS63">
        <v>1.8689</v>
      </c>
      <c r="HT63">
        <v>1.87027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-0.773</v>
      </c>
      <c r="II63">
        <v>0.0062</v>
      </c>
      <c r="IJ63">
        <v>-0.4995723906072</v>
      </c>
      <c r="IK63">
        <v>-0.002077099775823331</v>
      </c>
      <c r="IL63">
        <v>4.593143279902166E-07</v>
      </c>
      <c r="IM63">
        <v>-1.865383991892071E-10</v>
      </c>
      <c r="IN63">
        <v>-0.07605349583632376</v>
      </c>
      <c r="IO63">
        <v>-0.01129461987421345</v>
      </c>
      <c r="IP63">
        <v>0.00116580895745559</v>
      </c>
      <c r="IQ63">
        <v>-1.679085872906199E-05</v>
      </c>
      <c r="IR63">
        <v>2</v>
      </c>
      <c r="IS63">
        <v>2290</v>
      </c>
      <c r="IT63">
        <v>0</v>
      </c>
      <c r="IU63">
        <v>32</v>
      </c>
      <c r="IV63">
        <v>4</v>
      </c>
      <c r="IW63">
        <v>3.6</v>
      </c>
      <c r="IX63">
        <v>0.378418</v>
      </c>
      <c r="IY63">
        <v>2.27783</v>
      </c>
      <c r="IZ63">
        <v>1.39648</v>
      </c>
      <c r="JA63">
        <v>2.3584</v>
      </c>
      <c r="JB63">
        <v>1.49536</v>
      </c>
      <c r="JC63">
        <v>2.35107</v>
      </c>
      <c r="JD63">
        <v>38.3056</v>
      </c>
      <c r="JE63">
        <v>24.0437</v>
      </c>
      <c r="JF63">
        <v>18</v>
      </c>
      <c r="JG63">
        <v>514.734</v>
      </c>
      <c r="JH63">
        <v>422.546</v>
      </c>
      <c r="JI63">
        <v>22.5532</v>
      </c>
      <c r="JJ63">
        <v>29.2402</v>
      </c>
      <c r="JK63">
        <v>29.9999</v>
      </c>
      <c r="JL63">
        <v>29.1945</v>
      </c>
      <c r="JM63">
        <v>29.1209</v>
      </c>
      <c r="JN63">
        <v>7.57631</v>
      </c>
      <c r="JO63">
        <v>55.4487</v>
      </c>
      <c r="JP63">
        <v>0</v>
      </c>
      <c r="JQ63">
        <v>22.5546</v>
      </c>
      <c r="JR63">
        <v>98.7103</v>
      </c>
      <c r="JS63">
        <v>8.98901</v>
      </c>
      <c r="JT63">
        <v>100.286</v>
      </c>
      <c r="JU63">
        <v>100.196</v>
      </c>
    </row>
    <row r="64" spans="1:281">
      <c r="A64">
        <v>48</v>
      </c>
      <c r="B64">
        <v>1651857259.6</v>
      </c>
      <c r="C64">
        <v>259</v>
      </c>
      <c r="D64" t="s">
        <v>523</v>
      </c>
      <c r="E64" t="s">
        <v>524</v>
      </c>
      <c r="F64">
        <v>2</v>
      </c>
      <c r="G64" t="s">
        <v>413</v>
      </c>
      <c r="H64" t="s">
        <v>414</v>
      </c>
      <c r="I64">
        <v>1651857258.35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124.9037656800128</v>
      </c>
      <c r="AK64">
        <v>130.7386121212121</v>
      </c>
      <c r="AL64">
        <v>-3.082168392451523</v>
      </c>
      <c r="AM64">
        <v>66.38384787954378</v>
      </c>
      <c r="AN64">
        <f>(AP64 - AO64 + DI64*1E3/(8.314*(DK64+273.15)) * AR64/DH64 * AQ64) * DH64/(100*CV64) * 1000/(1000 - AP64)</f>
        <v>0</v>
      </c>
      <c r="AO64">
        <v>8.949854993460667</v>
      </c>
      <c r="AP64">
        <v>18.40596911764706</v>
      </c>
      <c r="AQ64">
        <v>4.04238568385883E-05</v>
      </c>
      <c r="AR64">
        <v>80.44866334591464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1238</v>
      </c>
      <c r="CA64">
        <v>300</v>
      </c>
      <c r="CB64">
        <v>300</v>
      </c>
      <c r="CC64">
        <v>300</v>
      </c>
      <c r="CD64">
        <v>10440.5</v>
      </c>
      <c r="CE64">
        <v>1411.69</v>
      </c>
      <c r="CF64">
        <v>-0.00735121</v>
      </c>
      <c r="CG64">
        <v>-0.77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1651857258.35</v>
      </c>
      <c r="DB64">
        <v>130.60075</v>
      </c>
      <c r="DC64">
        <v>118.719</v>
      </c>
      <c r="DD64">
        <v>18.405175</v>
      </c>
      <c r="DE64">
        <v>8.948625</v>
      </c>
      <c r="DF64">
        <v>131.36575</v>
      </c>
      <c r="DG64">
        <v>18.398975</v>
      </c>
      <c r="DH64">
        <v>500.03025</v>
      </c>
      <c r="DI64">
        <v>90.11297500000001</v>
      </c>
      <c r="DJ64">
        <v>0.09986737499999999</v>
      </c>
      <c r="DK64">
        <v>25.731525</v>
      </c>
      <c r="DL64">
        <v>24.9957</v>
      </c>
      <c r="DM64">
        <v>999.9</v>
      </c>
      <c r="DN64">
        <v>0</v>
      </c>
      <c r="DO64">
        <v>0</v>
      </c>
      <c r="DP64">
        <v>10012.505</v>
      </c>
      <c r="DQ64">
        <v>0</v>
      </c>
      <c r="DR64">
        <v>3.20383</v>
      </c>
      <c r="DS64">
        <v>11.881775</v>
      </c>
      <c r="DT64">
        <v>133.0495</v>
      </c>
      <c r="DU64">
        <v>119.79075</v>
      </c>
      <c r="DV64">
        <v>9.456572500000002</v>
      </c>
      <c r="DW64">
        <v>118.719</v>
      </c>
      <c r="DX64">
        <v>8.948625</v>
      </c>
      <c r="DY64">
        <v>1.6585475</v>
      </c>
      <c r="DZ64">
        <v>0.80638725</v>
      </c>
      <c r="EA64">
        <v>14.513775</v>
      </c>
      <c r="EB64">
        <v>3.8202375</v>
      </c>
      <c r="EC64">
        <v>1500.005</v>
      </c>
      <c r="ED64">
        <v>0.9729995</v>
      </c>
      <c r="EE64">
        <v>0.02700055</v>
      </c>
      <c r="EF64">
        <v>0</v>
      </c>
      <c r="EG64">
        <v>907.63125</v>
      </c>
      <c r="EH64">
        <v>5.00097</v>
      </c>
      <c r="EI64">
        <v>13475.3</v>
      </c>
      <c r="EJ64">
        <v>12491.65</v>
      </c>
      <c r="EK64">
        <v>37.562</v>
      </c>
      <c r="EL64">
        <v>39.062</v>
      </c>
      <c r="EM64">
        <v>37.937</v>
      </c>
      <c r="EN64">
        <v>38.79649999999999</v>
      </c>
      <c r="EO64">
        <v>38.437</v>
      </c>
      <c r="EP64">
        <v>1454.64</v>
      </c>
      <c r="EQ64">
        <v>40.365</v>
      </c>
      <c r="ER64">
        <v>0</v>
      </c>
      <c r="ES64">
        <v>258.6000001430511</v>
      </c>
      <c r="ET64">
        <v>0</v>
      </c>
      <c r="EU64">
        <v>918.7898076923077</v>
      </c>
      <c r="EV64">
        <v>-117.2915214368648</v>
      </c>
      <c r="EW64">
        <v>-1702.752137975289</v>
      </c>
      <c r="EX64">
        <v>13639.80384615385</v>
      </c>
      <c r="EY64">
        <v>15</v>
      </c>
      <c r="EZ64">
        <v>1651857041.1</v>
      </c>
      <c r="FA64" t="s">
        <v>419</v>
      </c>
      <c r="FB64">
        <v>1651857019.6</v>
      </c>
      <c r="FC64">
        <v>1651857041.1</v>
      </c>
      <c r="FD64">
        <v>1</v>
      </c>
      <c r="FE64">
        <v>0.545</v>
      </c>
      <c r="FF64">
        <v>-0.002</v>
      </c>
      <c r="FG64">
        <v>-1.271</v>
      </c>
      <c r="FH64">
        <v>-0.09</v>
      </c>
      <c r="FI64">
        <v>400</v>
      </c>
      <c r="FJ64">
        <v>10</v>
      </c>
      <c r="FK64">
        <v>0.1</v>
      </c>
      <c r="FL64">
        <v>0.02</v>
      </c>
      <c r="FM64">
        <v>8.933485853658537</v>
      </c>
      <c r="FN64">
        <v>17.55064557491289</v>
      </c>
      <c r="FO64">
        <v>1.73140191232983</v>
      </c>
      <c r="FP64">
        <v>-1</v>
      </c>
      <c r="FQ64">
        <v>9.442597317073171</v>
      </c>
      <c r="FR64">
        <v>0.08864278745645048</v>
      </c>
      <c r="FS64">
        <v>0.008839129199023389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432</v>
      </c>
      <c r="GB64">
        <v>2.97977</v>
      </c>
      <c r="GC64">
        <v>2.70609</v>
      </c>
      <c r="GD64">
        <v>0.0333569</v>
      </c>
      <c r="GE64">
        <v>0.0298186</v>
      </c>
      <c r="GF64">
        <v>0.08795269999999999</v>
      </c>
      <c r="GG64">
        <v>0.0508391</v>
      </c>
      <c r="GH64">
        <v>30495.7</v>
      </c>
      <c r="GI64">
        <v>30674.8</v>
      </c>
      <c r="GJ64">
        <v>29337.7</v>
      </c>
      <c r="GK64">
        <v>29251.3</v>
      </c>
      <c r="GL64">
        <v>35432.7</v>
      </c>
      <c r="GM64">
        <v>36974</v>
      </c>
      <c r="GN64">
        <v>41297.4</v>
      </c>
      <c r="GO64">
        <v>41745</v>
      </c>
      <c r="GP64">
        <v>1.9536</v>
      </c>
      <c r="GQ64">
        <v>1.83312</v>
      </c>
      <c r="GR64">
        <v>-0.03618</v>
      </c>
      <c r="GS64">
        <v>0</v>
      </c>
      <c r="GT64">
        <v>25.5908</v>
      </c>
      <c r="GU64">
        <v>999.9</v>
      </c>
      <c r="GV64">
        <v>39.1</v>
      </c>
      <c r="GW64">
        <v>33.8</v>
      </c>
      <c r="GX64">
        <v>22.9227</v>
      </c>
      <c r="GY64">
        <v>62.3876</v>
      </c>
      <c r="GZ64">
        <v>35.2043</v>
      </c>
      <c r="HA64">
        <v>1</v>
      </c>
      <c r="HB64">
        <v>0.146339</v>
      </c>
      <c r="HC64">
        <v>2.33236</v>
      </c>
      <c r="HD64">
        <v>20.3172</v>
      </c>
      <c r="HE64">
        <v>5.21654</v>
      </c>
      <c r="HF64">
        <v>12.0099</v>
      </c>
      <c r="HG64">
        <v>4.9887</v>
      </c>
      <c r="HH64">
        <v>3.2885</v>
      </c>
      <c r="HI64">
        <v>847.3</v>
      </c>
      <c r="HJ64">
        <v>8430.299999999999</v>
      </c>
      <c r="HK64">
        <v>5139.4</v>
      </c>
      <c r="HL64">
        <v>22.8</v>
      </c>
      <c r="HM64">
        <v>1.86752</v>
      </c>
      <c r="HN64">
        <v>1.86647</v>
      </c>
      <c r="HO64">
        <v>1.866</v>
      </c>
      <c r="HP64">
        <v>1.86592</v>
      </c>
      <c r="HQ64">
        <v>1.8677</v>
      </c>
      <c r="HR64">
        <v>1.87024</v>
      </c>
      <c r="HS64">
        <v>1.8689</v>
      </c>
      <c r="HT64">
        <v>1.87027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-0.758</v>
      </c>
      <c r="II64">
        <v>0.0062</v>
      </c>
      <c r="IJ64">
        <v>-0.4995723906072</v>
      </c>
      <c r="IK64">
        <v>-0.002077099775823331</v>
      </c>
      <c r="IL64">
        <v>4.593143279902166E-07</v>
      </c>
      <c r="IM64">
        <v>-1.865383991892071E-10</v>
      </c>
      <c r="IN64">
        <v>-0.07605349583632376</v>
      </c>
      <c r="IO64">
        <v>-0.01129461987421345</v>
      </c>
      <c r="IP64">
        <v>0.00116580895745559</v>
      </c>
      <c r="IQ64">
        <v>-1.679085872906199E-05</v>
      </c>
      <c r="IR64">
        <v>2</v>
      </c>
      <c r="IS64">
        <v>2290</v>
      </c>
      <c r="IT64">
        <v>0</v>
      </c>
      <c r="IU64">
        <v>32</v>
      </c>
      <c r="IV64">
        <v>4</v>
      </c>
      <c r="IW64">
        <v>3.6</v>
      </c>
      <c r="IX64">
        <v>0.361328</v>
      </c>
      <c r="IY64">
        <v>2.28516</v>
      </c>
      <c r="IZ64">
        <v>1.39648</v>
      </c>
      <c r="JA64">
        <v>2.35962</v>
      </c>
      <c r="JB64">
        <v>1.49536</v>
      </c>
      <c r="JC64">
        <v>2.28516</v>
      </c>
      <c r="JD64">
        <v>38.3056</v>
      </c>
      <c r="JE64">
        <v>24.035</v>
      </c>
      <c r="JF64">
        <v>18</v>
      </c>
      <c r="JG64">
        <v>514.5700000000001</v>
      </c>
      <c r="JH64">
        <v>422.662</v>
      </c>
      <c r="JI64">
        <v>22.5522</v>
      </c>
      <c r="JJ64">
        <v>29.2387</v>
      </c>
      <c r="JK64">
        <v>29.9999</v>
      </c>
      <c r="JL64">
        <v>29.1945</v>
      </c>
      <c r="JM64">
        <v>29.1206</v>
      </c>
      <c r="JN64">
        <v>7.22293</v>
      </c>
      <c r="JO64">
        <v>55.4487</v>
      </c>
      <c r="JP64">
        <v>0</v>
      </c>
      <c r="JQ64">
        <v>22.553</v>
      </c>
      <c r="JR64">
        <v>92.03060000000001</v>
      </c>
      <c r="JS64">
        <v>8.98901</v>
      </c>
      <c r="JT64">
        <v>100.287</v>
      </c>
      <c r="JU64">
        <v>100.197</v>
      </c>
    </row>
    <row r="65" spans="1:281">
      <c r="A65">
        <v>49</v>
      </c>
      <c r="B65">
        <v>1651857261.1</v>
      </c>
      <c r="C65">
        <v>260.5</v>
      </c>
      <c r="D65" t="s">
        <v>525</v>
      </c>
      <c r="E65" t="s">
        <v>526</v>
      </c>
      <c r="F65">
        <v>2</v>
      </c>
      <c r="G65" t="s">
        <v>413</v>
      </c>
      <c r="H65" t="s">
        <v>414</v>
      </c>
      <c r="I65">
        <v>1651857259.6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119.8591005881454</v>
      </c>
      <c r="AK65">
        <v>126.125</v>
      </c>
      <c r="AL65">
        <v>-3.077931587362259</v>
      </c>
      <c r="AM65">
        <v>66.38384787954378</v>
      </c>
      <c r="AN65">
        <f>(AP65 - AO65 + DI65*1E3/(8.314*(DK65+273.15)) * AR65/DH65 * AQ65) * DH65/(100*CV65) * 1000/(1000 - AP65)</f>
        <v>0</v>
      </c>
      <c r="AO65">
        <v>8.949565618076907</v>
      </c>
      <c r="AP65">
        <v>18.40717617647059</v>
      </c>
      <c r="AQ65">
        <v>2.996439021659401E-05</v>
      </c>
      <c r="AR65">
        <v>80.44866334591464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1238</v>
      </c>
      <c r="CA65">
        <v>300</v>
      </c>
      <c r="CB65">
        <v>300</v>
      </c>
      <c r="CC65">
        <v>300</v>
      </c>
      <c r="CD65">
        <v>10440.5</v>
      </c>
      <c r="CE65">
        <v>1411.69</v>
      </c>
      <c r="CF65">
        <v>-0.00735121</v>
      </c>
      <c r="CG65">
        <v>-0.77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1651857259.6</v>
      </c>
      <c r="DB65">
        <v>126.82375</v>
      </c>
      <c r="DC65">
        <v>114.56575</v>
      </c>
      <c r="DD65">
        <v>18.4063</v>
      </c>
      <c r="DE65">
        <v>8.9478125</v>
      </c>
      <c r="DF65">
        <v>127.5815</v>
      </c>
      <c r="DG65">
        <v>18.400075</v>
      </c>
      <c r="DH65">
        <v>500.01675</v>
      </c>
      <c r="DI65">
        <v>90.11222500000001</v>
      </c>
      <c r="DJ65">
        <v>0.0998959</v>
      </c>
      <c r="DK65">
        <v>25.731525</v>
      </c>
      <c r="DL65">
        <v>24.99665</v>
      </c>
      <c r="DM65">
        <v>999.9</v>
      </c>
      <c r="DN65">
        <v>0</v>
      </c>
      <c r="DO65">
        <v>0</v>
      </c>
      <c r="DP65">
        <v>10009.69</v>
      </c>
      <c r="DQ65">
        <v>0</v>
      </c>
      <c r="DR65">
        <v>3.20383</v>
      </c>
      <c r="DS65">
        <v>12.25815</v>
      </c>
      <c r="DT65">
        <v>129.202</v>
      </c>
      <c r="DU65">
        <v>115.6</v>
      </c>
      <c r="DV65">
        <v>9.458502500000002</v>
      </c>
      <c r="DW65">
        <v>114.56575</v>
      </c>
      <c r="DX65">
        <v>8.9478125</v>
      </c>
      <c r="DY65">
        <v>1.658635</v>
      </c>
      <c r="DZ65">
        <v>0.8063075</v>
      </c>
      <c r="EA65">
        <v>14.5146</v>
      </c>
      <c r="EB65">
        <v>3.818835</v>
      </c>
      <c r="EC65">
        <v>1500.065</v>
      </c>
      <c r="ED65">
        <v>0.9730045</v>
      </c>
      <c r="EE65">
        <v>0.026995475</v>
      </c>
      <c r="EF65">
        <v>0</v>
      </c>
      <c r="EG65">
        <v>905.624</v>
      </c>
      <c r="EH65">
        <v>5.00097</v>
      </c>
      <c r="EI65">
        <v>13447.45</v>
      </c>
      <c r="EJ65">
        <v>12492.15</v>
      </c>
      <c r="EK65">
        <v>37.562</v>
      </c>
      <c r="EL65">
        <v>39.062</v>
      </c>
      <c r="EM65">
        <v>37.937</v>
      </c>
      <c r="EN65">
        <v>38.79649999999999</v>
      </c>
      <c r="EO65">
        <v>38.437</v>
      </c>
      <c r="EP65">
        <v>1454.705</v>
      </c>
      <c r="EQ65">
        <v>40.36</v>
      </c>
      <c r="ER65">
        <v>0</v>
      </c>
      <c r="ES65">
        <v>259.8000001907349</v>
      </c>
      <c r="ET65">
        <v>0</v>
      </c>
      <c r="EU65">
        <v>916.507576923077</v>
      </c>
      <c r="EV65">
        <v>-111.949846131256</v>
      </c>
      <c r="EW65">
        <v>-1621.432478518671</v>
      </c>
      <c r="EX65">
        <v>13606.48076923077</v>
      </c>
      <c r="EY65">
        <v>15</v>
      </c>
      <c r="EZ65">
        <v>1651857041.1</v>
      </c>
      <c r="FA65" t="s">
        <v>419</v>
      </c>
      <c r="FB65">
        <v>1651857019.6</v>
      </c>
      <c r="FC65">
        <v>1651857041.1</v>
      </c>
      <c r="FD65">
        <v>1</v>
      </c>
      <c r="FE65">
        <v>0.545</v>
      </c>
      <c r="FF65">
        <v>-0.002</v>
      </c>
      <c r="FG65">
        <v>-1.271</v>
      </c>
      <c r="FH65">
        <v>-0.09</v>
      </c>
      <c r="FI65">
        <v>400</v>
      </c>
      <c r="FJ65">
        <v>10</v>
      </c>
      <c r="FK65">
        <v>0.1</v>
      </c>
      <c r="FL65">
        <v>0.02</v>
      </c>
      <c r="FM65">
        <v>9.230187804878048</v>
      </c>
      <c r="FN65">
        <v>17.636573728223</v>
      </c>
      <c r="FO65">
        <v>1.739968121641695</v>
      </c>
      <c r="FP65">
        <v>-1</v>
      </c>
      <c r="FQ65">
        <v>9.444199024390244</v>
      </c>
      <c r="FR65">
        <v>0.0864010452961803</v>
      </c>
      <c r="FS65">
        <v>0.008598615261426679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432</v>
      </c>
      <c r="GB65">
        <v>2.97971</v>
      </c>
      <c r="GC65">
        <v>2.70617</v>
      </c>
      <c r="GD65">
        <v>0.0322276</v>
      </c>
      <c r="GE65">
        <v>0.0285625</v>
      </c>
      <c r="GF65">
        <v>0.0879548</v>
      </c>
      <c r="GG65">
        <v>0.0508367</v>
      </c>
      <c r="GH65">
        <v>30531.4</v>
      </c>
      <c r="GI65">
        <v>30714.5</v>
      </c>
      <c r="GJ65">
        <v>29337.8</v>
      </c>
      <c r="GK65">
        <v>29251.3</v>
      </c>
      <c r="GL65">
        <v>35432.6</v>
      </c>
      <c r="GM65">
        <v>36974.2</v>
      </c>
      <c r="GN65">
        <v>41297.3</v>
      </c>
      <c r="GO65">
        <v>41745.1</v>
      </c>
      <c r="GP65">
        <v>1.95365</v>
      </c>
      <c r="GQ65">
        <v>1.83317</v>
      </c>
      <c r="GR65">
        <v>-0.0361837</v>
      </c>
      <c r="GS65">
        <v>0</v>
      </c>
      <c r="GT65">
        <v>25.5908</v>
      </c>
      <c r="GU65">
        <v>999.9</v>
      </c>
      <c r="GV65">
        <v>39.1</v>
      </c>
      <c r="GW65">
        <v>33.8</v>
      </c>
      <c r="GX65">
        <v>22.9272</v>
      </c>
      <c r="GY65">
        <v>62.7576</v>
      </c>
      <c r="GZ65">
        <v>35.5889</v>
      </c>
      <c r="HA65">
        <v>1</v>
      </c>
      <c r="HB65">
        <v>0.146349</v>
      </c>
      <c r="HC65">
        <v>2.33144</v>
      </c>
      <c r="HD65">
        <v>20.3171</v>
      </c>
      <c r="HE65">
        <v>5.21654</v>
      </c>
      <c r="HF65">
        <v>12.0099</v>
      </c>
      <c r="HG65">
        <v>4.98865</v>
      </c>
      <c r="HH65">
        <v>3.28855</v>
      </c>
      <c r="HI65">
        <v>847.3</v>
      </c>
      <c r="HJ65">
        <v>8430.299999999999</v>
      </c>
      <c r="HK65">
        <v>5139.4</v>
      </c>
      <c r="HL65">
        <v>22.8</v>
      </c>
      <c r="HM65">
        <v>1.86751</v>
      </c>
      <c r="HN65">
        <v>1.86647</v>
      </c>
      <c r="HO65">
        <v>1.866</v>
      </c>
      <c r="HP65">
        <v>1.86591</v>
      </c>
      <c r="HQ65">
        <v>1.8677</v>
      </c>
      <c r="HR65">
        <v>1.87023</v>
      </c>
      <c r="HS65">
        <v>1.8689</v>
      </c>
      <c r="HT65">
        <v>1.87027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-0.748</v>
      </c>
      <c r="II65">
        <v>0.0063</v>
      </c>
      <c r="IJ65">
        <v>-0.4995723906072</v>
      </c>
      <c r="IK65">
        <v>-0.002077099775823331</v>
      </c>
      <c r="IL65">
        <v>4.593143279902166E-07</v>
      </c>
      <c r="IM65">
        <v>-1.865383991892071E-10</v>
      </c>
      <c r="IN65">
        <v>-0.07605349583632376</v>
      </c>
      <c r="IO65">
        <v>-0.01129461987421345</v>
      </c>
      <c r="IP65">
        <v>0.00116580895745559</v>
      </c>
      <c r="IQ65">
        <v>-1.679085872906199E-05</v>
      </c>
      <c r="IR65">
        <v>2</v>
      </c>
      <c r="IS65">
        <v>2290</v>
      </c>
      <c r="IT65">
        <v>0</v>
      </c>
      <c r="IU65">
        <v>32</v>
      </c>
      <c r="IV65">
        <v>4</v>
      </c>
      <c r="IW65">
        <v>3.7</v>
      </c>
      <c r="IX65">
        <v>0.349121</v>
      </c>
      <c r="IY65">
        <v>2.28149</v>
      </c>
      <c r="IZ65">
        <v>1.39648</v>
      </c>
      <c r="JA65">
        <v>2.35962</v>
      </c>
      <c r="JB65">
        <v>1.49536</v>
      </c>
      <c r="JC65">
        <v>2.35596</v>
      </c>
      <c r="JD65">
        <v>38.3056</v>
      </c>
      <c r="JE65">
        <v>24.0437</v>
      </c>
      <c r="JF65">
        <v>18</v>
      </c>
      <c r="JG65">
        <v>514.602</v>
      </c>
      <c r="JH65">
        <v>422.692</v>
      </c>
      <c r="JI65">
        <v>22.5519</v>
      </c>
      <c r="JJ65">
        <v>29.2383</v>
      </c>
      <c r="JK65">
        <v>29.9999</v>
      </c>
      <c r="JL65">
        <v>29.1945</v>
      </c>
      <c r="JM65">
        <v>29.1206</v>
      </c>
      <c r="JN65">
        <v>6.98392</v>
      </c>
      <c r="JO65">
        <v>55.4487</v>
      </c>
      <c r="JP65">
        <v>0</v>
      </c>
      <c r="JQ65">
        <v>22.553</v>
      </c>
      <c r="JR65">
        <v>85.3519</v>
      </c>
      <c r="JS65">
        <v>8.98901</v>
      </c>
      <c r="JT65">
        <v>100.287</v>
      </c>
      <c r="JU65">
        <v>100.197</v>
      </c>
    </row>
    <row r="66" spans="1:281">
      <c r="A66">
        <v>50</v>
      </c>
      <c r="B66">
        <v>1651857263.1</v>
      </c>
      <c r="C66">
        <v>262.5</v>
      </c>
      <c r="D66" t="s">
        <v>527</v>
      </c>
      <c r="E66" t="s">
        <v>528</v>
      </c>
      <c r="F66">
        <v>2</v>
      </c>
      <c r="G66" t="s">
        <v>413</v>
      </c>
      <c r="H66" t="s">
        <v>414</v>
      </c>
      <c r="I66">
        <v>1651857262.1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113.1458826709565</v>
      </c>
      <c r="AK66">
        <v>119.9855939393939</v>
      </c>
      <c r="AL66">
        <v>-3.071245781569392</v>
      </c>
      <c r="AM66">
        <v>66.38384787954378</v>
      </c>
      <c r="AN66">
        <f>(AP66 - AO66 + DI66*1E3/(8.314*(DK66+273.15)) * AR66/DH66 * AQ66) * DH66/(100*CV66) * 1000/(1000 - AP66)</f>
        <v>0</v>
      </c>
      <c r="AO66">
        <v>8.948352985524538</v>
      </c>
      <c r="AP66">
        <v>18.4085282352941</v>
      </c>
      <c r="AQ66">
        <v>3.825287140051433E-05</v>
      </c>
      <c r="AR66">
        <v>80.44866334591464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1238</v>
      </c>
      <c r="CA66">
        <v>300</v>
      </c>
      <c r="CB66">
        <v>300</v>
      </c>
      <c r="CC66">
        <v>300</v>
      </c>
      <c r="CD66">
        <v>10440.5</v>
      </c>
      <c r="CE66">
        <v>1411.69</v>
      </c>
      <c r="CF66">
        <v>-0.00735121</v>
      </c>
      <c r="CG66">
        <v>-0.77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1651857262.1</v>
      </c>
      <c r="DB66">
        <v>119.2793333333333</v>
      </c>
      <c r="DC66">
        <v>106.2196666666667</v>
      </c>
      <c r="DD66">
        <v>18.40836666666667</v>
      </c>
      <c r="DE66">
        <v>8.94702</v>
      </c>
      <c r="DF66">
        <v>120.0223333333333</v>
      </c>
      <c r="DG66">
        <v>18.4021</v>
      </c>
      <c r="DH66">
        <v>500.0273333333333</v>
      </c>
      <c r="DI66">
        <v>90.11266666666666</v>
      </c>
      <c r="DJ66">
        <v>0.1000203333333333</v>
      </c>
      <c r="DK66">
        <v>25.7341</v>
      </c>
      <c r="DL66">
        <v>24.99546666666667</v>
      </c>
      <c r="DM66">
        <v>999.9</v>
      </c>
      <c r="DN66">
        <v>0</v>
      </c>
      <c r="DO66">
        <v>0</v>
      </c>
      <c r="DP66">
        <v>9998.733333333334</v>
      </c>
      <c r="DQ66">
        <v>0</v>
      </c>
      <c r="DR66">
        <v>3.21788</v>
      </c>
      <c r="DS66">
        <v>13.05993333333333</v>
      </c>
      <c r="DT66">
        <v>121.5163333333333</v>
      </c>
      <c r="DU66">
        <v>107.1786666666667</v>
      </c>
      <c r="DV66">
        <v>9.461333333333334</v>
      </c>
      <c r="DW66">
        <v>106.2196666666667</v>
      </c>
      <c r="DX66">
        <v>8.94702</v>
      </c>
      <c r="DY66">
        <v>1.658823333333333</v>
      </c>
      <c r="DZ66">
        <v>0.8062403333333333</v>
      </c>
      <c r="EA66">
        <v>14.51643333333333</v>
      </c>
      <c r="EB66">
        <v>3.817653333333334</v>
      </c>
      <c r="EC66">
        <v>1499.946666666667</v>
      </c>
      <c r="ED66">
        <v>0.973002</v>
      </c>
      <c r="EE66">
        <v>0.0269982</v>
      </c>
      <c r="EF66">
        <v>0</v>
      </c>
      <c r="EG66">
        <v>902.4936666666666</v>
      </c>
      <c r="EH66">
        <v>5.00097</v>
      </c>
      <c r="EI66">
        <v>13398.5</v>
      </c>
      <c r="EJ66">
        <v>12491.16666666667</v>
      </c>
      <c r="EK66">
        <v>37.562</v>
      </c>
      <c r="EL66">
        <v>39.062</v>
      </c>
      <c r="EM66">
        <v>37.979</v>
      </c>
      <c r="EN66">
        <v>38.812</v>
      </c>
      <c r="EO66">
        <v>38.437</v>
      </c>
      <c r="EP66">
        <v>1454.586666666667</v>
      </c>
      <c r="EQ66">
        <v>40.36000000000001</v>
      </c>
      <c r="ER66">
        <v>0</v>
      </c>
      <c r="ES66">
        <v>262.2000000476837</v>
      </c>
      <c r="ET66">
        <v>0</v>
      </c>
      <c r="EU66">
        <v>912.2469230769231</v>
      </c>
      <c r="EV66">
        <v>-100.1595898176035</v>
      </c>
      <c r="EW66">
        <v>-1477.285471304118</v>
      </c>
      <c r="EX66">
        <v>13544.16153846154</v>
      </c>
      <c r="EY66">
        <v>15</v>
      </c>
      <c r="EZ66">
        <v>1651857041.1</v>
      </c>
      <c r="FA66" t="s">
        <v>419</v>
      </c>
      <c r="FB66">
        <v>1651857019.6</v>
      </c>
      <c r="FC66">
        <v>1651857041.1</v>
      </c>
      <c r="FD66">
        <v>1</v>
      </c>
      <c r="FE66">
        <v>0.545</v>
      </c>
      <c r="FF66">
        <v>-0.002</v>
      </c>
      <c r="FG66">
        <v>-1.271</v>
      </c>
      <c r="FH66">
        <v>-0.09</v>
      </c>
      <c r="FI66">
        <v>400</v>
      </c>
      <c r="FJ66">
        <v>10</v>
      </c>
      <c r="FK66">
        <v>0.1</v>
      </c>
      <c r="FL66">
        <v>0.02</v>
      </c>
      <c r="FM66">
        <v>10.12189365853659</v>
      </c>
      <c r="FN66">
        <v>18.12132313588849</v>
      </c>
      <c r="FO66">
        <v>1.78763167099931</v>
      </c>
      <c r="FP66">
        <v>-1</v>
      </c>
      <c r="FQ66">
        <v>9.44854512195122</v>
      </c>
      <c r="FR66">
        <v>0.08206641114983579</v>
      </c>
      <c r="FS66">
        <v>0.008150683383574355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432</v>
      </c>
      <c r="GB66">
        <v>2.97988</v>
      </c>
      <c r="GC66">
        <v>2.70615</v>
      </c>
      <c r="GD66">
        <v>0.0307135</v>
      </c>
      <c r="GE66">
        <v>0.0268735</v>
      </c>
      <c r="GF66">
        <v>0.0879663</v>
      </c>
      <c r="GG66">
        <v>0.0508383</v>
      </c>
      <c r="GH66">
        <v>30579</v>
      </c>
      <c r="GI66">
        <v>30768</v>
      </c>
      <c r="GJ66">
        <v>29337.6</v>
      </c>
      <c r="GK66">
        <v>29251.4</v>
      </c>
      <c r="GL66">
        <v>35431.8</v>
      </c>
      <c r="GM66">
        <v>36974.3</v>
      </c>
      <c r="GN66">
        <v>41297</v>
      </c>
      <c r="GO66">
        <v>41745.3</v>
      </c>
      <c r="GP66">
        <v>1.95373</v>
      </c>
      <c r="GQ66">
        <v>1.83307</v>
      </c>
      <c r="GR66">
        <v>-0.0365414</v>
      </c>
      <c r="GS66">
        <v>0</v>
      </c>
      <c r="GT66">
        <v>25.5908</v>
      </c>
      <c r="GU66">
        <v>999.9</v>
      </c>
      <c r="GV66">
        <v>39.1</v>
      </c>
      <c r="GW66">
        <v>33.8</v>
      </c>
      <c r="GX66">
        <v>22.9276</v>
      </c>
      <c r="GY66">
        <v>62.4076</v>
      </c>
      <c r="GZ66">
        <v>35.2524</v>
      </c>
      <c r="HA66">
        <v>1</v>
      </c>
      <c r="HB66">
        <v>0.146336</v>
      </c>
      <c r="HC66">
        <v>2.32841</v>
      </c>
      <c r="HD66">
        <v>20.3174</v>
      </c>
      <c r="HE66">
        <v>5.21639</v>
      </c>
      <c r="HF66">
        <v>12.0099</v>
      </c>
      <c r="HG66">
        <v>4.9887</v>
      </c>
      <c r="HH66">
        <v>3.28855</v>
      </c>
      <c r="HI66">
        <v>847.3</v>
      </c>
      <c r="HJ66">
        <v>8430.299999999999</v>
      </c>
      <c r="HK66">
        <v>5139.4</v>
      </c>
      <c r="HL66">
        <v>22.8</v>
      </c>
      <c r="HM66">
        <v>1.86751</v>
      </c>
      <c r="HN66">
        <v>1.86647</v>
      </c>
      <c r="HO66">
        <v>1.866</v>
      </c>
      <c r="HP66">
        <v>1.86589</v>
      </c>
      <c r="HQ66">
        <v>1.86771</v>
      </c>
      <c r="HR66">
        <v>1.87025</v>
      </c>
      <c r="HS66">
        <v>1.8689</v>
      </c>
      <c r="HT66">
        <v>1.87027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-0.737</v>
      </c>
      <c r="II66">
        <v>0.0062</v>
      </c>
      <c r="IJ66">
        <v>-0.4995723906072</v>
      </c>
      <c r="IK66">
        <v>-0.002077099775823331</v>
      </c>
      <c r="IL66">
        <v>4.593143279902166E-07</v>
      </c>
      <c r="IM66">
        <v>-1.865383991892071E-10</v>
      </c>
      <c r="IN66">
        <v>-0.07605349583632376</v>
      </c>
      <c r="IO66">
        <v>-0.01129461987421345</v>
      </c>
      <c r="IP66">
        <v>0.00116580895745559</v>
      </c>
      <c r="IQ66">
        <v>-1.679085872906199E-05</v>
      </c>
      <c r="IR66">
        <v>2</v>
      </c>
      <c r="IS66">
        <v>2290</v>
      </c>
      <c r="IT66">
        <v>0</v>
      </c>
      <c r="IU66">
        <v>32</v>
      </c>
      <c r="IV66">
        <v>4.1</v>
      </c>
      <c r="IW66">
        <v>3.7</v>
      </c>
      <c r="IX66">
        <v>0.334473</v>
      </c>
      <c r="IY66">
        <v>2.29126</v>
      </c>
      <c r="IZ66">
        <v>1.39648</v>
      </c>
      <c r="JA66">
        <v>2.35962</v>
      </c>
      <c r="JB66">
        <v>1.49536</v>
      </c>
      <c r="JC66">
        <v>2.29248</v>
      </c>
      <c r="JD66">
        <v>38.3056</v>
      </c>
      <c r="JE66">
        <v>24.035</v>
      </c>
      <c r="JF66">
        <v>18</v>
      </c>
      <c r="JG66">
        <v>514.644</v>
      </c>
      <c r="JH66">
        <v>422.633</v>
      </c>
      <c r="JI66">
        <v>22.5514</v>
      </c>
      <c r="JJ66">
        <v>29.237</v>
      </c>
      <c r="JK66">
        <v>29.9999</v>
      </c>
      <c r="JL66">
        <v>29.1934</v>
      </c>
      <c r="JM66">
        <v>29.1206</v>
      </c>
      <c r="JN66">
        <v>6.68642</v>
      </c>
      <c r="JO66">
        <v>55.4487</v>
      </c>
      <c r="JP66">
        <v>0</v>
      </c>
      <c r="JQ66">
        <v>22.553</v>
      </c>
      <c r="JR66">
        <v>78.6681</v>
      </c>
      <c r="JS66">
        <v>8.98901</v>
      </c>
      <c r="JT66">
        <v>100.286</v>
      </c>
      <c r="JU66">
        <v>100.197</v>
      </c>
    </row>
    <row r="67" spans="1:281">
      <c r="A67">
        <v>51</v>
      </c>
      <c r="B67">
        <v>1651857265.1</v>
      </c>
      <c r="C67">
        <v>264.5</v>
      </c>
      <c r="D67" t="s">
        <v>529</v>
      </c>
      <c r="E67" t="s">
        <v>530</v>
      </c>
      <c r="F67">
        <v>2</v>
      </c>
      <c r="G67" t="s">
        <v>413</v>
      </c>
      <c r="H67" t="s">
        <v>414</v>
      </c>
      <c r="I67">
        <v>1651857263.725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106.4027357455267</v>
      </c>
      <c r="AK67">
        <v>113.8625272727273</v>
      </c>
      <c r="AL67">
        <v>-3.063646381746954</v>
      </c>
      <c r="AM67">
        <v>66.38384787954378</v>
      </c>
      <c r="AN67">
        <f>(AP67 - AO67 + DI67*1E3/(8.314*(DK67+273.15)) * AR67/DH67 * AQ67) * DH67/(100*CV67) * 1000/(1000 - AP67)</f>
        <v>0</v>
      </c>
      <c r="AO67">
        <v>8.947227798267873</v>
      </c>
      <c r="AP67">
        <v>18.41191176470588</v>
      </c>
      <c r="AQ67">
        <v>2.087533174416065E-05</v>
      </c>
      <c r="AR67">
        <v>80.44866334591464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1238</v>
      </c>
      <c r="CA67">
        <v>300</v>
      </c>
      <c r="CB67">
        <v>300</v>
      </c>
      <c r="CC67">
        <v>300</v>
      </c>
      <c r="CD67">
        <v>10440.5</v>
      </c>
      <c r="CE67">
        <v>1411.69</v>
      </c>
      <c r="CF67">
        <v>-0.00735121</v>
      </c>
      <c r="CG67">
        <v>-0.77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1651857263.725</v>
      </c>
      <c r="DB67">
        <v>114.3965</v>
      </c>
      <c r="DC67">
        <v>100.7477</v>
      </c>
      <c r="DD67">
        <v>18.41075</v>
      </c>
      <c r="DE67">
        <v>8.947632500000001</v>
      </c>
      <c r="DF67">
        <v>115.12925</v>
      </c>
      <c r="DG67">
        <v>18.40445</v>
      </c>
      <c r="DH67">
        <v>500.033</v>
      </c>
      <c r="DI67">
        <v>90.11337499999999</v>
      </c>
      <c r="DJ67">
        <v>0.1001405</v>
      </c>
      <c r="DK67">
        <v>25.7355</v>
      </c>
      <c r="DL67">
        <v>24.990775</v>
      </c>
      <c r="DM67">
        <v>999.9</v>
      </c>
      <c r="DN67">
        <v>0</v>
      </c>
      <c r="DO67">
        <v>0</v>
      </c>
      <c r="DP67">
        <v>9983.424999999999</v>
      </c>
      <c r="DQ67">
        <v>0</v>
      </c>
      <c r="DR67">
        <v>3.21788</v>
      </c>
      <c r="DS67">
        <v>13.648775</v>
      </c>
      <c r="DT67">
        <v>116.542</v>
      </c>
      <c r="DU67">
        <v>101.657525</v>
      </c>
      <c r="DV67">
        <v>9.4630975</v>
      </c>
      <c r="DW67">
        <v>100.7477</v>
      </c>
      <c r="DX67">
        <v>8.947632500000001</v>
      </c>
      <c r="DY67">
        <v>1.6590525</v>
      </c>
      <c r="DZ67">
        <v>0.8063017499999999</v>
      </c>
      <c r="EA67">
        <v>14.518525</v>
      </c>
      <c r="EB67">
        <v>3.818735</v>
      </c>
      <c r="EC67">
        <v>1499.84</v>
      </c>
      <c r="ED67">
        <v>0.973007</v>
      </c>
      <c r="EE67">
        <v>0.02699319999999999</v>
      </c>
      <c r="EF67">
        <v>0</v>
      </c>
      <c r="EG67">
        <v>900.4127500000001</v>
      </c>
      <c r="EH67">
        <v>5.00097</v>
      </c>
      <c r="EI67">
        <v>13367.725</v>
      </c>
      <c r="EJ67">
        <v>12490.275</v>
      </c>
      <c r="EK67">
        <v>37.562</v>
      </c>
      <c r="EL67">
        <v>39.062</v>
      </c>
      <c r="EM67">
        <v>37.98425</v>
      </c>
      <c r="EN67">
        <v>38.812</v>
      </c>
      <c r="EO67">
        <v>38.437</v>
      </c>
      <c r="EP67">
        <v>1454.49</v>
      </c>
      <c r="EQ67">
        <v>40.35</v>
      </c>
      <c r="ER67">
        <v>0</v>
      </c>
      <c r="ES67">
        <v>264</v>
      </c>
      <c r="ET67">
        <v>0</v>
      </c>
      <c r="EU67">
        <v>908.78308</v>
      </c>
      <c r="EV67">
        <v>-90.89253861645393</v>
      </c>
      <c r="EW67">
        <v>-1354.276925306071</v>
      </c>
      <c r="EX67">
        <v>13493.896</v>
      </c>
      <c r="EY67">
        <v>15</v>
      </c>
      <c r="EZ67">
        <v>1651857041.1</v>
      </c>
      <c r="FA67" t="s">
        <v>419</v>
      </c>
      <c r="FB67">
        <v>1651857019.6</v>
      </c>
      <c r="FC67">
        <v>1651857041.1</v>
      </c>
      <c r="FD67">
        <v>1</v>
      </c>
      <c r="FE67">
        <v>0.545</v>
      </c>
      <c r="FF67">
        <v>-0.002</v>
      </c>
      <c r="FG67">
        <v>-1.271</v>
      </c>
      <c r="FH67">
        <v>-0.09</v>
      </c>
      <c r="FI67">
        <v>400</v>
      </c>
      <c r="FJ67">
        <v>10</v>
      </c>
      <c r="FK67">
        <v>0.1</v>
      </c>
      <c r="FL67">
        <v>0.02</v>
      </c>
      <c r="FM67">
        <v>10.65480125</v>
      </c>
      <c r="FN67">
        <v>18.46204198874296</v>
      </c>
      <c r="FO67">
        <v>1.77688211795435</v>
      </c>
      <c r="FP67">
        <v>-1</v>
      </c>
      <c r="FQ67">
        <v>9.4508425</v>
      </c>
      <c r="FR67">
        <v>0.08271602251407452</v>
      </c>
      <c r="FS67">
        <v>0.008013729702828829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432</v>
      </c>
      <c r="GB67">
        <v>2.9798</v>
      </c>
      <c r="GC67">
        <v>2.70618</v>
      </c>
      <c r="GD67">
        <v>0.0291885</v>
      </c>
      <c r="GE67">
        <v>0.0251549</v>
      </c>
      <c r="GF67">
        <v>0.0879732</v>
      </c>
      <c r="GG67">
        <v>0.05084</v>
      </c>
      <c r="GH67">
        <v>30626.9</v>
      </c>
      <c r="GI67">
        <v>30822.3</v>
      </c>
      <c r="GJ67">
        <v>29337.4</v>
      </c>
      <c r="GK67">
        <v>29251.4</v>
      </c>
      <c r="GL67">
        <v>35431.4</v>
      </c>
      <c r="GM67">
        <v>36974.2</v>
      </c>
      <c r="GN67">
        <v>41296.8</v>
      </c>
      <c r="GO67">
        <v>41745.3</v>
      </c>
      <c r="GP67">
        <v>1.95378</v>
      </c>
      <c r="GQ67">
        <v>1.83293</v>
      </c>
      <c r="GR67">
        <v>-0.036709</v>
      </c>
      <c r="GS67">
        <v>0</v>
      </c>
      <c r="GT67">
        <v>25.5908</v>
      </c>
      <c r="GU67">
        <v>999.9</v>
      </c>
      <c r="GV67">
        <v>39.1</v>
      </c>
      <c r="GW67">
        <v>33.8</v>
      </c>
      <c r="GX67">
        <v>22.9252</v>
      </c>
      <c r="GY67">
        <v>62.8076</v>
      </c>
      <c r="GZ67">
        <v>35.649</v>
      </c>
      <c r="HA67">
        <v>1</v>
      </c>
      <c r="HB67">
        <v>0.146296</v>
      </c>
      <c r="HC67">
        <v>2.32525</v>
      </c>
      <c r="HD67">
        <v>20.3176</v>
      </c>
      <c r="HE67">
        <v>5.21639</v>
      </c>
      <c r="HF67">
        <v>12.0099</v>
      </c>
      <c r="HG67">
        <v>4.9884</v>
      </c>
      <c r="HH67">
        <v>3.28848</v>
      </c>
      <c r="HI67">
        <v>847.3</v>
      </c>
      <c r="HJ67">
        <v>8430.299999999999</v>
      </c>
      <c r="HK67">
        <v>5139.4</v>
      </c>
      <c r="HL67">
        <v>22.8</v>
      </c>
      <c r="HM67">
        <v>1.86752</v>
      </c>
      <c r="HN67">
        <v>1.86647</v>
      </c>
      <c r="HO67">
        <v>1.866</v>
      </c>
      <c r="HP67">
        <v>1.86588</v>
      </c>
      <c r="HQ67">
        <v>1.86771</v>
      </c>
      <c r="HR67">
        <v>1.87027</v>
      </c>
      <c r="HS67">
        <v>1.8689</v>
      </c>
      <c r="HT67">
        <v>1.87027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-0.724</v>
      </c>
      <c r="II67">
        <v>0.0063</v>
      </c>
      <c r="IJ67">
        <v>-0.4995723906072</v>
      </c>
      <c r="IK67">
        <v>-0.002077099775823331</v>
      </c>
      <c r="IL67">
        <v>4.593143279902166E-07</v>
      </c>
      <c r="IM67">
        <v>-1.865383991892071E-10</v>
      </c>
      <c r="IN67">
        <v>-0.07605349583632376</v>
      </c>
      <c r="IO67">
        <v>-0.01129461987421345</v>
      </c>
      <c r="IP67">
        <v>0.00116580895745559</v>
      </c>
      <c r="IQ67">
        <v>-1.679085872906199E-05</v>
      </c>
      <c r="IR67">
        <v>2</v>
      </c>
      <c r="IS67">
        <v>2290</v>
      </c>
      <c r="IT67">
        <v>0</v>
      </c>
      <c r="IU67">
        <v>32</v>
      </c>
      <c r="IV67">
        <v>4.1</v>
      </c>
      <c r="IW67">
        <v>3.7</v>
      </c>
      <c r="IX67">
        <v>0.319824</v>
      </c>
      <c r="IY67">
        <v>2.29248</v>
      </c>
      <c r="IZ67">
        <v>1.39648</v>
      </c>
      <c r="JA67">
        <v>2.35962</v>
      </c>
      <c r="JB67">
        <v>1.49536</v>
      </c>
      <c r="JC67">
        <v>2.33032</v>
      </c>
      <c r="JD67">
        <v>38.3056</v>
      </c>
      <c r="JE67">
        <v>24.035</v>
      </c>
      <c r="JF67">
        <v>18</v>
      </c>
      <c r="JG67">
        <v>514.6660000000001</v>
      </c>
      <c r="JH67">
        <v>422.543</v>
      </c>
      <c r="JI67">
        <v>22.5514</v>
      </c>
      <c r="JJ67">
        <v>29.2358</v>
      </c>
      <c r="JK67">
        <v>29.9999</v>
      </c>
      <c r="JL67">
        <v>29.1922</v>
      </c>
      <c r="JM67">
        <v>29.1206</v>
      </c>
      <c r="JN67">
        <v>6.39487</v>
      </c>
      <c r="JO67">
        <v>55.4487</v>
      </c>
      <c r="JP67">
        <v>0</v>
      </c>
      <c r="JQ67">
        <v>22.553</v>
      </c>
      <c r="JR67">
        <v>71.9897</v>
      </c>
      <c r="JS67">
        <v>8.98901</v>
      </c>
      <c r="JT67">
        <v>100.286</v>
      </c>
      <c r="JU67">
        <v>100.197</v>
      </c>
    </row>
    <row r="68" spans="1:281">
      <c r="A68">
        <v>52</v>
      </c>
      <c r="B68">
        <v>1651857267.1</v>
      </c>
      <c r="C68">
        <v>266.5</v>
      </c>
      <c r="D68" t="s">
        <v>531</v>
      </c>
      <c r="E68" t="s">
        <v>532</v>
      </c>
      <c r="F68">
        <v>2</v>
      </c>
      <c r="G68" t="s">
        <v>413</v>
      </c>
      <c r="H68" t="s">
        <v>414</v>
      </c>
      <c r="I68">
        <v>1651857266.1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99.59563916788233</v>
      </c>
      <c r="AK68">
        <v>107.6983757575758</v>
      </c>
      <c r="AL68">
        <v>-3.074731300365116</v>
      </c>
      <c r="AM68">
        <v>66.38384787954378</v>
      </c>
      <c r="AN68">
        <f>(AP68 - AO68 + DI68*1E3/(8.314*(DK68+273.15)) * AR68/DH68 * AQ68) * DH68/(100*CV68) * 1000/(1000 - AP68)</f>
        <v>0</v>
      </c>
      <c r="AO68">
        <v>8.947320697192904</v>
      </c>
      <c r="AP68">
        <v>18.41285382352942</v>
      </c>
      <c r="AQ68">
        <v>3.700617191572584E-05</v>
      </c>
      <c r="AR68">
        <v>80.44866334591464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1238</v>
      </c>
      <c r="CA68">
        <v>300</v>
      </c>
      <c r="CB68">
        <v>300</v>
      </c>
      <c r="CC68">
        <v>300</v>
      </c>
      <c r="CD68">
        <v>10440.5</v>
      </c>
      <c r="CE68">
        <v>1411.69</v>
      </c>
      <c r="CF68">
        <v>-0.00735121</v>
      </c>
      <c r="CG68">
        <v>-0.77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1651857266.1</v>
      </c>
      <c r="DB68">
        <v>107.2286666666667</v>
      </c>
      <c r="DC68">
        <v>92.73596666666667</v>
      </c>
      <c r="DD68">
        <v>18.41226666666667</v>
      </c>
      <c r="DE68">
        <v>8.947183333333333</v>
      </c>
      <c r="DF68">
        <v>107.9473333333333</v>
      </c>
      <c r="DG68">
        <v>18.40596666666666</v>
      </c>
      <c r="DH68">
        <v>500.0833333333333</v>
      </c>
      <c r="DI68">
        <v>90.11463333333334</v>
      </c>
      <c r="DJ68">
        <v>0.1001756666666667</v>
      </c>
      <c r="DK68">
        <v>25.73553333333333</v>
      </c>
      <c r="DL68">
        <v>24.98803333333333</v>
      </c>
      <c r="DM68">
        <v>999.9</v>
      </c>
      <c r="DN68">
        <v>0</v>
      </c>
      <c r="DO68">
        <v>0</v>
      </c>
      <c r="DP68">
        <v>9968.123333333335</v>
      </c>
      <c r="DQ68">
        <v>0</v>
      </c>
      <c r="DR68">
        <v>3.20383</v>
      </c>
      <c r="DS68">
        <v>14.4927</v>
      </c>
      <c r="DT68">
        <v>109.24</v>
      </c>
      <c r="DU68">
        <v>93.57319999999999</v>
      </c>
      <c r="DV68">
        <v>9.4651</v>
      </c>
      <c r="DW68">
        <v>92.73596666666667</v>
      </c>
      <c r="DX68">
        <v>8.947183333333333</v>
      </c>
      <c r="DY68">
        <v>1.659216666666667</v>
      </c>
      <c r="DZ68">
        <v>0.8062723333333333</v>
      </c>
      <c r="EA68">
        <v>14.52006666666667</v>
      </c>
      <c r="EB68">
        <v>3.818213333333333</v>
      </c>
      <c r="EC68">
        <v>1499.94</v>
      </c>
      <c r="ED68">
        <v>0.973002</v>
      </c>
      <c r="EE68">
        <v>0.02699806666666666</v>
      </c>
      <c r="EF68">
        <v>0</v>
      </c>
      <c r="EG68">
        <v>897.9866666666667</v>
      </c>
      <c r="EH68">
        <v>5.00097</v>
      </c>
      <c r="EI68">
        <v>13331.06666666667</v>
      </c>
      <c r="EJ68">
        <v>12491.1</v>
      </c>
      <c r="EK68">
        <v>37.562</v>
      </c>
      <c r="EL68">
        <v>39.062</v>
      </c>
      <c r="EM68">
        <v>37.937</v>
      </c>
      <c r="EN68">
        <v>38.812</v>
      </c>
      <c r="EO68">
        <v>38.437</v>
      </c>
      <c r="EP68">
        <v>1454.58</v>
      </c>
      <c r="EQ68">
        <v>40.36000000000001</v>
      </c>
      <c r="ER68">
        <v>0</v>
      </c>
      <c r="ES68">
        <v>265.8000001907349</v>
      </c>
      <c r="ET68">
        <v>0</v>
      </c>
      <c r="EU68">
        <v>906.6111153846153</v>
      </c>
      <c r="EV68">
        <v>-84.8601367515395</v>
      </c>
      <c r="EW68">
        <v>-1265.241025501902</v>
      </c>
      <c r="EX68">
        <v>13461.69615384615</v>
      </c>
      <c r="EY68">
        <v>15</v>
      </c>
      <c r="EZ68">
        <v>1651857041.1</v>
      </c>
      <c r="FA68" t="s">
        <v>419</v>
      </c>
      <c r="FB68">
        <v>1651857019.6</v>
      </c>
      <c r="FC68">
        <v>1651857041.1</v>
      </c>
      <c r="FD68">
        <v>1</v>
      </c>
      <c r="FE68">
        <v>0.545</v>
      </c>
      <c r="FF68">
        <v>-0.002</v>
      </c>
      <c r="FG68">
        <v>-1.271</v>
      </c>
      <c r="FH68">
        <v>-0.09</v>
      </c>
      <c r="FI68">
        <v>400</v>
      </c>
      <c r="FJ68">
        <v>10</v>
      </c>
      <c r="FK68">
        <v>0.1</v>
      </c>
      <c r="FL68">
        <v>0.02</v>
      </c>
      <c r="FM68">
        <v>11.05000975609756</v>
      </c>
      <c r="FN68">
        <v>18.73675149825785</v>
      </c>
      <c r="FO68">
        <v>1.848739273645544</v>
      </c>
      <c r="FP68">
        <v>-1</v>
      </c>
      <c r="FQ68">
        <v>9.452381219512196</v>
      </c>
      <c r="FR68">
        <v>0.08249268292685204</v>
      </c>
      <c r="FS68">
        <v>0.008186147786716395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432</v>
      </c>
      <c r="GB68">
        <v>2.97986</v>
      </c>
      <c r="GC68">
        <v>2.70598</v>
      </c>
      <c r="GD68">
        <v>0.0276479</v>
      </c>
      <c r="GE68">
        <v>0.0234299</v>
      </c>
      <c r="GF68">
        <v>0.0879766</v>
      </c>
      <c r="GG68">
        <v>0.0508342</v>
      </c>
      <c r="GH68">
        <v>30675.8</v>
      </c>
      <c r="GI68">
        <v>30876.9</v>
      </c>
      <c r="GJ68">
        <v>29337.7</v>
      </c>
      <c r="GK68">
        <v>29251.4</v>
      </c>
      <c r="GL68">
        <v>35431.9</v>
      </c>
      <c r="GM68">
        <v>36974.3</v>
      </c>
      <c r="GN68">
        <v>41297.6</v>
      </c>
      <c r="GO68">
        <v>41745.2</v>
      </c>
      <c r="GP68">
        <v>1.9538</v>
      </c>
      <c r="GQ68">
        <v>1.8329</v>
      </c>
      <c r="GR68">
        <v>-0.0367686</v>
      </c>
      <c r="GS68">
        <v>0</v>
      </c>
      <c r="GT68">
        <v>25.5908</v>
      </c>
      <c r="GU68">
        <v>999.9</v>
      </c>
      <c r="GV68">
        <v>39.1</v>
      </c>
      <c r="GW68">
        <v>33.8</v>
      </c>
      <c r="GX68">
        <v>22.926</v>
      </c>
      <c r="GY68">
        <v>62.3976</v>
      </c>
      <c r="GZ68">
        <v>35.2204</v>
      </c>
      <c r="HA68">
        <v>1</v>
      </c>
      <c r="HB68">
        <v>0.14627</v>
      </c>
      <c r="HC68">
        <v>2.32472</v>
      </c>
      <c r="HD68">
        <v>20.3174</v>
      </c>
      <c r="HE68">
        <v>5.21669</v>
      </c>
      <c r="HF68">
        <v>12.0099</v>
      </c>
      <c r="HG68">
        <v>4.98815</v>
      </c>
      <c r="HH68">
        <v>3.28845</v>
      </c>
      <c r="HI68">
        <v>847.5</v>
      </c>
      <c r="HJ68">
        <v>8432.5</v>
      </c>
      <c r="HK68">
        <v>5139.4</v>
      </c>
      <c r="HL68">
        <v>22.8</v>
      </c>
      <c r="HM68">
        <v>1.86752</v>
      </c>
      <c r="HN68">
        <v>1.86646</v>
      </c>
      <c r="HO68">
        <v>1.866</v>
      </c>
      <c r="HP68">
        <v>1.86587</v>
      </c>
      <c r="HQ68">
        <v>1.8677</v>
      </c>
      <c r="HR68">
        <v>1.87026</v>
      </c>
      <c r="HS68">
        <v>1.8689</v>
      </c>
      <c r="HT68">
        <v>1.87027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-0.713</v>
      </c>
      <c r="II68">
        <v>0.0063</v>
      </c>
      <c r="IJ68">
        <v>-0.4995723906072</v>
      </c>
      <c r="IK68">
        <v>-0.002077099775823331</v>
      </c>
      <c r="IL68">
        <v>4.593143279902166E-07</v>
      </c>
      <c r="IM68">
        <v>-1.865383991892071E-10</v>
      </c>
      <c r="IN68">
        <v>-0.07605349583632376</v>
      </c>
      <c r="IO68">
        <v>-0.01129461987421345</v>
      </c>
      <c r="IP68">
        <v>0.00116580895745559</v>
      </c>
      <c r="IQ68">
        <v>-1.679085872906199E-05</v>
      </c>
      <c r="IR68">
        <v>2</v>
      </c>
      <c r="IS68">
        <v>2290</v>
      </c>
      <c r="IT68">
        <v>0</v>
      </c>
      <c r="IU68">
        <v>32</v>
      </c>
      <c r="IV68">
        <v>4.1</v>
      </c>
      <c r="IW68">
        <v>3.8</v>
      </c>
      <c r="IX68">
        <v>0.303955</v>
      </c>
      <c r="IY68">
        <v>2.2937</v>
      </c>
      <c r="IZ68">
        <v>1.39648</v>
      </c>
      <c r="JA68">
        <v>2.35962</v>
      </c>
      <c r="JB68">
        <v>1.49536</v>
      </c>
      <c r="JC68">
        <v>2.33276</v>
      </c>
      <c r="JD68">
        <v>38.3056</v>
      </c>
      <c r="JE68">
        <v>24.0437</v>
      </c>
      <c r="JF68">
        <v>18</v>
      </c>
      <c r="JG68">
        <v>514.6799999999999</v>
      </c>
      <c r="JH68">
        <v>422.529</v>
      </c>
      <c r="JI68">
        <v>22.5518</v>
      </c>
      <c r="JJ68">
        <v>29.2345</v>
      </c>
      <c r="JK68">
        <v>29.9999</v>
      </c>
      <c r="JL68">
        <v>29.192</v>
      </c>
      <c r="JM68">
        <v>29.1206</v>
      </c>
      <c r="JN68">
        <v>6.10074</v>
      </c>
      <c r="JO68">
        <v>55.4487</v>
      </c>
      <c r="JP68">
        <v>0</v>
      </c>
      <c r="JQ68">
        <v>22.553</v>
      </c>
      <c r="JR68">
        <v>65.3107</v>
      </c>
      <c r="JS68">
        <v>8.98901</v>
      </c>
      <c r="JT68">
        <v>100.287</v>
      </c>
      <c r="JU68">
        <v>100.197</v>
      </c>
    </row>
    <row r="69" spans="1:281">
      <c r="A69">
        <v>53</v>
      </c>
      <c r="B69">
        <v>1651857269.1</v>
      </c>
      <c r="C69">
        <v>268.5</v>
      </c>
      <c r="D69" t="s">
        <v>533</v>
      </c>
      <c r="E69" t="s">
        <v>534</v>
      </c>
      <c r="F69">
        <v>2</v>
      </c>
      <c r="G69" t="s">
        <v>413</v>
      </c>
      <c r="H69" t="s">
        <v>414</v>
      </c>
      <c r="I69">
        <v>1651857267.725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92.78581471076365</v>
      </c>
      <c r="AK69">
        <v>101.5279818181818</v>
      </c>
      <c r="AL69">
        <v>-3.08388142667602</v>
      </c>
      <c r="AM69">
        <v>66.38384787954378</v>
      </c>
      <c r="AN69">
        <f>(AP69 - AO69 + DI69*1E3/(8.314*(DK69+273.15)) * AR69/DH69 * AQ69) * DH69/(100*CV69) * 1000/(1000 - AP69)</f>
        <v>0</v>
      </c>
      <c r="AO69">
        <v>8.947660847255655</v>
      </c>
      <c r="AP69">
        <v>18.41450558823529</v>
      </c>
      <c r="AQ69">
        <v>3.212784038369775E-05</v>
      </c>
      <c r="AR69">
        <v>80.44866334591464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1238</v>
      </c>
      <c r="CA69">
        <v>300</v>
      </c>
      <c r="CB69">
        <v>300</v>
      </c>
      <c r="CC69">
        <v>300</v>
      </c>
      <c r="CD69">
        <v>10440.5</v>
      </c>
      <c r="CE69">
        <v>1411.69</v>
      </c>
      <c r="CF69">
        <v>-0.00735121</v>
      </c>
      <c r="CG69">
        <v>-0.77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1651857267.725</v>
      </c>
      <c r="DB69">
        <v>102.31115</v>
      </c>
      <c r="DC69">
        <v>87.25812500000001</v>
      </c>
      <c r="DD69">
        <v>18.413875</v>
      </c>
      <c r="DE69">
        <v>8.9460975</v>
      </c>
      <c r="DF69">
        <v>103.02</v>
      </c>
      <c r="DG69">
        <v>18.407525</v>
      </c>
      <c r="DH69">
        <v>500.0545</v>
      </c>
      <c r="DI69">
        <v>90.1163</v>
      </c>
      <c r="DJ69">
        <v>0.09989482500000001</v>
      </c>
      <c r="DK69">
        <v>25.735775</v>
      </c>
      <c r="DL69">
        <v>24.988225</v>
      </c>
      <c r="DM69">
        <v>999.9</v>
      </c>
      <c r="DN69">
        <v>0</v>
      </c>
      <c r="DO69">
        <v>0</v>
      </c>
      <c r="DP69">
        <v>9995.169999999998</v>
      </c>
      <c r="DQ69">
        <v>0</v>
      </c>
      <c r="DR69">
        <v>3.20383</v>
      </c>
      <c r="DS69">
        <v>15.053</v>
      </c>
      <c r="DT69">
        <v>104.2305</v>
      </c>
      <c r="DU69">
        <v>88.04582499999999</v>
      </c>
      <c r="DV69">
        <v>9.4677875</v>
      </c>
      <c r="DW69">
        <v>87.25812500000001</v>
      </c>
      <c r="DX69">
        <v>8.9460975</v>
      </c>
      <c r="DY69">
        <v>1.6593925</v>
      </c>
      <c r="DZ69">
        <v>0.8061892499999999</v>
      </c>
      <c r="EA69">
        <v>14.5217</v>
      </c>
      <c r="EB69">
        <v>3.8167525</v>
      </c>
      <c r="EC69">
        <v>1499.915</v>
      </c>
      <c r="ED69">
        <v>0.973003</v>
      </c>
      <c r="EE69">
        <v>0.026997</v>
      </c>
      <c r="EF69">
        <v>0</v>
      </c>
      <c r="EG69">
        <v>896.1804999999999</v>
      </c>
      <c r="EH69">
        <v>5.00097</v>
      </c>
      <c r="EI69">
        <v>13308</v>
      </c>
      <c r="EJ69">
        <v>12490.9</v>
      </c>
      <c r="EK69">
        <v>37.562</v>
      </c>
      <c r="EL69">
        <v>39.062</v>
      </c>
      <c r="EM69">
        <v>37.95274999999999</v>
      </c>
      <c r="EN69">
        <v>38.812</v>
      </c>
      <c r="EO69">
        <v>38.437</v>
      </c>
      <c r="EP69">
        <v>1454.5575</v>
      </c>
      <c r="EQ69">
        <v>40.3575</v>
      </c>
      <c r="ER69">
        <v>0</v>
      </c>
      <c r="ES69">
        <v>268.2000000476837</v>
      </c>
      <c r="ET69">
        <v>0</v>
      </c>
      <c r="EU69">
        <v>903.3384230769232</v>
      </c>
      <c r="EV69">
        <v>-76.93220520040495</v>
      </c>
      <c r="EW69">
        <v>-1141.760684656674</v>
      </c>
      <c r="EX69">
        <v>13413.35769230769</v>
      </c>
      <c r="EY69">
        <v>15</v>
      </c>
      <c r="EZ69">
        <v>1651857041.1</v>
      </c>
      <c r="FA69" t="s">
        <v>419</v>
      </c>
      <c r="FB69">
        <v>1651857019.6</v>
      </c>
      <c r="FC69">
        <v>1651857041.1</v>
      </c>
      <c r="FD69">
        <v>1</v>
      </c>
      <c r="FE69">
        <v>0.545</v>
      </c>
      <c r="FF69">
        <v>-0.002</v>
      </c>
      <c r="FG69">
        <v>-1.271</v>
      </c>
      <c r="FH69">
        <v>-0.09</v>
      </c>
      <c r="FI69">
        <v>400</v>
      </c>
      <c r="FJ69">
        <v>10</v>
      </c>
      <c r="FK69">
        <v>0.1</v>
      </c>
      <c r="FL69">
        <v>0.02</v>
      </c>
      <c r="FM69">
        <v>12.00191756097561</v>
      </c>
      <c r="FN69">
        <v>19.49779547038328</v>
      </c>
      <c r="FO69">
        <v>1.92341100215062</v>
      </c>
      <c r="FP69">
        <v>-1</v>
      </c>
      <c r="FQ69">
        <v>9.456394146341463</v>
      </c>
      <c r="FR69">
        <v>0.07758376306617379</v>
      </c>
      <c r="FS69">
        <v>0.007690203453050862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432</v>
      </c>
      <c r="GB69">
        <v>2.97983</v>
      </c>
      <c r="GC69">
        <v>2.706</v>
      </c>
      <c r="GD69">
        <v>0.0260938</v>
      </c>
      <c r="GE69">
        <v>0.0217058</v>
      </c>
      <c r="GF69">
        <v>0.0879865</v>
      </c>
      <c r="GG69">
        <v>0.0508328</v>
      </c>
      <c r="GH69">
        <v>30724.9</v>
      </c>
      <c r="GI69">
        <v>30931.7</v>
      </c>
      <c r="GJ69">
        <v>29337.7</v>
      </c>
      <c r="GK69">
        <v>29251.6</v>
      </c>
      <c r="GL69">
        <v>35431.5</v>
      </c>
      <c r="GM69">
        <v>36974.5</v>
      </c>
      <c r="GN69">
        <v>41297.6</v>
      </c>
      <c r="GO69">
        <v>41745.4</v>
      </c>
      <c r="GP69">
        <v>1.95385</v>
      </c>
      <c r="GQ69">
        <v>1.8331</v>
      </c>
      <c r="GR69">
        <v>-0.036601</v>
      </c>
      <c r="GS69">
        <v>0</v>
      </c>
      <c r="GT69">
        <v>25.5908</v>
      </c>
      <c r="GU69">
        <v>999.9</v>
      </c>
      <c r="GV69">
        <v>39.1</v>
      </c>
      <c r="GW69">
        <v>33.8</v>
      </c>
      <c r="GX69">
        <v>22.924</v>
      </c>
      <c r="GY69">
        <v>62.4376</v>
      </c>
      <c r="GZ69">
        <v>35.5088</v>
      </c>
      <c r="HA69">
        <v>1</v>
      </c>
      <c r="HB69">
        <v>0.146034</v>
      </c>
      <c r="HC69">
        <v>2.31503</v>
      </c>
      <c r="HD69">
        <v>20.3174</v>
      </c>
      <c r="HE69">
        <v>5.21654</v>
      </c>
      <c r="HF69">
        <v>12.0099</v>
      </c>
      <c r="HG69">
        <v>4.98815</v>
      </c>
      <c r="HH69">
        <v>3.28845</v>
      </c>
      <c r="HI69">
        <v>847.5</v>
      </c>
      <c r="HJ69">
        <v>8432.5</v>
      </c>
      <c r="HK69">
        <v>5139.4</v>
      </c>
      <c r="HL69">
        <v>22.8</v>
      </c>
      <c r="HM69">
        <v>1.86752</v>
      </c>
      <c r="HN69">
        <v>1.86646</v>
      </c>
      <c r="HO69">
        <v>1.866</v>
      </c>
      <c r="HP69">
        <v>1.86588</v>
      </c>
      <c r="HQ69">
        <v>1.8677</v>
      </c>
      <c r="HR69">
        <v>1.87026</v>
      </c>
      <c r="HS69">
        <v>1.8689</v>
      </c>
      <c r="HT69">
        <v>1.87027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-0.701</v>
      </c>
      <c r="II69">
        <v>0.0063</v>
      </c>
      <c r="IJ69">
        <v>-0.4995723906072</v>
      </c>
      <c r="IK69">
        <v>-0.002077099775823331</v>
      </c>
      <c r="IL69">
        <v>4.593143279902166E-07</v>
      </c>
      <c r="IM69">
        <v>-1.865383991892071E-10</v>
      </c>
      <c r="IN69">
        <v>-0.07605349583632376</v>
      </c>
      <c r="IO69">
        <v>-0.01129461987421345</v>
      </c>
      <c r="IP69">
        <v>0.00116580895745559</v>
      </c>
      <c r="IQ69">
        <v>-1.679085872906199E-05</v>
      </c>
      <c r="IR69">
        <v>2</v>
      </c>
      <c r="IS69">
        <v>2290</v>
      </c>
      <c r="IT69">
        <v>0</v>
      </c>
      <c r="IU69">
        <v>32</v>
      </c>
      <c r="IV69">
        <v>4.2</v>
      </c>
      <c r="IW69">
        <v>3.8</v>
      </c>
      <c r="IX69">
        <v>0.290527</v>
      </c>
      <c r="IY69">
        <v>2.30225</v>
      </c>
      <c r="IZ69">
        <v>1.39648</v>
      </c>
      <c r="JA69">
        <v>2.35962</v>
      </c>
      <c r="JB69">
        <v>1.49536</v>
      </c>
      <c r="JC69">
        <v>2.31689</v>
      </c>
      <c r="JD69">
        <v>38.3056</v>
      </c>
      <c r="JE69">
        <v>24.035</v>
      </c>
      <c r="JF69">
        <v>18</v>
      </c>
      <c r="JG69">
        <v>514.713</v>
      </c>
      <c r="JH69">
        <v>422.641</v>
      </c>
      <c r="JI69">
        <v>22.552</v>
      </c>
      <c r="JJ69">
        <v>29.2333</v>
      </c>
      <c r="JK69">
        <v>29.9999</v>
      </c>
      <c r="JL69">
        <v>29.192</v>
      </c>
      <c r="JM69">
        <v>29.1196</v>
      </c>
      <c r="JN69">
        <v>5.80749</v>
      </c>
      <c r="JO69">
        <v>55.4487</v>
      </c>
      <c r="JP69">
        <v>0</v>
      </c>
      <c r="JQ69">
        <v>22.561</v>
      </c>
      <c r="JR69">
        <v>58.6338</v>
      </c>
      <c r="JS69">
        <v>8.98901</v>
      </c>
      <c r="JT69">
        <v>100.287</v>
      </c>
      <c r="JU69">
        <v>100.198</v>
      </c>
    </row>
    <row r="70" spans="1:281">
      <c r="A70">
        <v>54</v>
      </c>
      <c r="B70">
        <v>1651857271.1</v>
      </c>
      <c r="C70">
        <v>270.5</v>
      </c>
      <c r="D70" t="s">
        <v>535</v>
      </c>
      <c r="E70" t="s">
        <v>536</v>
      </c>
      <c r="F70">
        <v>2</v>
      </c>
      <c r="G70" t="s">
        <v>413</v>
      </c>
      <c r="H70" t="s">
        <v>414</v>
      </c>
      <c r="I70">
        <v>1651857270.1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85.99659038473777</v>
      </c>
      <c r="AK70">
        <v>95.3618424242424</v>
      </c>
      <c r="AL70">
        <v>-3.084926662629433</v>
      </c>
      <c r="AM70">
        <v>66.38384787954378</v>
      </c>
      <c r="AN70">
        <f>(AP70 - AO70 + DI70*1E3/(8.314*(DK70+273.15)) * AR70/DH70 * AQ70) * DH70/(100*CV70) * 1000/(1000 - AP70)</f>
        <v>0</v>
      </c>
      <c r="AO70">
        <v>8.946707192675635</v>
      </c>
      <c r="AP70">
        <v>18.41928617647058</v>
      </c>
      <c r="AQ70">
        <v>-2.658689911036617E-06</v>
      </c>
      <c r="AR70">
        <v>80.44866334591464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1238</v>
      </c>
      <c r="CA70">
        <v>300</v>
      </c>
      <c r="CB70">
        <v>300</v>
      </c>
      <c r="CC70">
        <v>300</v>
      </c>
      <c r="CD70">
        <v>10440.5</v>
      </c>
      <c r="CE70">
        <v>1411.69</v>
      </c>
      <c r="CF70">
        <v>-0.00735121</v>
      </c>
      <c r="CG70">
        <v>-0.77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1651857270.1</v>
      </c>
      <c r="DB70">
        <v>95.11916666666666</v>
      </c>
      <c r="DC70">
        <v>79.315</v>
      </c>
      <c r="DD70">
        <v>18.4182</v>
      </c>
      <c r="DE70">
        <v>8.945433333333334</v>
      </c>
      <c r="DF70">
        <v>95.81373333333333</v>
      </c>
      <c r="DG70">
        <v>18.4118</v>
      </c>
      <c r="DH70">
        <v>500.0386666666666</v>
      </c>
      <c r="DI70">
        <v>90.11629999999998</v>
      </c>
      <c r="DJ70">
        <v>0.09972666666666667</v>
      </c>
      <c r="DK70">
        <v>25.73726666666667</v>
      </c>
      <c r="DL70">
        <v>24.99093333333333</v>
      </c>
      <c r="DM70">
        <v>999.9</v>
      </c>
      <c r="DN70">
        <v>0</v>
      </c>
      <c r="DO70">
        <v>0</v>
      </c>
      <c r="DP70">
        <v>10026.66666666667</v>
      </c>
      <c r="DQ70">
        <v>0</v>
      </c>
      <c r="DR70">
        <v>3.20383</v>
      </c>
      <c r="DS70">
        <v>15.80416666666667</v>
      </c>
      <c r="DT70">
        <v>96.904</v>
      </c>
      <c r="DU70">
        <v>80.03096666666666</v>
      </c>
      <c r="DV70">
        <v>9.472743333333334</v>
      </c>
      <c r="DW70">
        <v>79.315</v>
      </c>
      <c r="DX70">
        <v>8.945433333333334</v>
      </c>
      <c r="DY70">
        <v>1.659776666666667</v>
      </c>
      <c r="DZ70">
        <v>0.8061293333333334</v>
      </c>
      <c r="EA70">
        <v>14.5253</v>
      </c>
      <c r="EB70">
        <v>3.815696666666666</v>
      </c>
      <c r="EC70">
        <v>1500.05</v>
      </c>
      <c r="ED70">
        <v>0.972997</v>
      </c>
      <c r="EE70">
        <v>0.02700303333333333</v>
      </c>
      <c r="EF70">
        <v>0</v>
      </c>
      <c r="EG70">
        <v>893.9960000000001</v>
      </c>
      <c r="EH70">
        <v>5.00097</v>
      </c>
      <c r="EI70">
        <v>13276.46666666667</v>
      </c>
      <c r="EJ70">
        <v>12492</v>
      </c>
      <c r="EK70">
        <v>37.562</v>
      </c>
      <c r="EL70">
        <v>39.062</v>
      </c>
      <c r="EM70">
        <v>37.937</v>
      </c>
      <c r="EN70">
        <v>38.812</v>
      </c>
      <c r="EO70">
        <v>38.437</v>
      </c>
      <c r="EP70">
        <v>1454.68</v>
      </c>
      <c r="EQ70">
        <v>40.37</v>
      </c>
      <c r="ER70">
        <v>0</v>
      </c>
      <c r="ES70">
        <v>270</v>
      </c>
      <c r="ET70">
        <v>0</v>
      </c>
      <c r="EU70">
        <v>900.74136</v>
      </c>
      <c r="EV70">
        <v>-69.95776935449805</v>
      </c>
      <c r="EW70">
        <v>-1030.800001537544</v>
      </c>
      <c r="EX70">
        <v>13374.472</v>
      </c>
      <c r="EY70">
        <v>15</v>
      </c>
      <c r="EZ70">
        <v>1651857041.1</v>
      </c>
      <c r="FA70" t="s">
        <v>419</v>
      </c>
      <c r="FB70">
        <v>1651857019.6</v>
      </c>
      <c r="FC70">
        <v>1651857041.1</v>
      </c>
      <c r="FD70">
        <v>1</v>
      </c>
      <c r="FE70">
        <v>0.545</v>
      </c>
      <c r="FF70">
        <v>-0.002</v>
      </c>
      <c r="FG70">
        <v>-1.271</v>
      </c>
      <c r="FH70">
        <v>-0.09</v>
      </c>
      <c r="FI70">
        <v>400</v>
      </c>
      <c r="FJ70">
        <v>10</v>
      </c>
      <c r="FK70">
        <v>0.1</v>
      </c>
      <c r="FL70">
        <v>0.02</v>
      </c>
      <c r="FM70">
        <v>12.56686425</v>
      </c>
      <c r="FN70">
        <v>19.77367373358347</v>
      </c>
      <c r="FO70">
        <v>1.902720755532571</v>
      </c>
      <c r="FP70">
        <v>-1</v>
      </c>
      <c r="FQ70">
        <v>9.45885</v>
      </c>
      <c r="FR70">
        <v>0.07554461538458573</v>
      </c>
      <c r="FS70">
        <v>0.007298790310729622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432</v>
      </c>
      <c r="GB70">
        <v>2.97963</v>
      </c>
      <c r="GC70">
        <v>2.70621</v>
      </c>
      <c r="GD70">
        <v>0.0245329</v>
      </c>
      <c r="GE70">
        <v>0.0199778</v>
      </c>
      <c r="GF70">
        <v>0.0880046</v>
      </c>
      <c r="GG70">
        <v>0.0508351</v>
      </c>
      <c r="GH70">
        <v>30773.8</v>
      </c>
      <c r="GI70">
        <v>30986.4</v>
      </c>
      <c r="GJ70">
        <v>29337.3</v>
      </c>
      <c r="GK70">
        <v>29251.7</v>
      </c>
      <c r="GL70">
        <v>35430.1</v>
      </c>
      <c r="GM70">
        <v>36974.5</v>
      </c>
      <c r="GN70">
        <v>41296.9</v>
      </c>
      <c r="GO70">
        <v>41745.6</v>
      </c>
      <c r="GP70">
        <v>1.95385</v>
      </c>
      <c r="GQ70">
        <v>1.83323</v>
      </c>
      <c r="GR70">
        <v>-0.0364892</v>
      </c>
      <c r="GS70">
        <v>0</v>
      </c>
      <c r="GT70">
        <v>25.5908</v>
      </c>
      <c r="GU70">
        <v>999.9</v>
      </c>
      <c r="GV70">
        <v>39.1</v>
      </c>
      <c r="GW70">
        <v>33.8</v>
      </c>
      <c r="GX70">
        <v>22.9267</v>
      </c>
      <c r="GY70">
        <v>62.3576</v>
      </c>
      <c r="GZ70">
        <v>35.5449</v>
      </c>
      <c r="HA70">
        <v>1</v>
      </c>
      <c r="HB70">
        <v>0.14579</v>
      </c>
      <c r="HC70">
        <v>2.29531</v>
      </c>
      <c r="HD70">
        <v>20.3177</v>
      </c>
      <c r="HE70">
        <v>5.21639</v>
      </c>
      <c r="HF70">
        <v>12.0099</v>
      </c>
      <c r="HG70">
        <v>4.98835</v>
      </c>
      <c r="HH70">
        <v>3.28845</v>
      </c>
      <c r="HI70">
        <v>847.5</v>
      </c>
      <c r="HJ70">
        <v>8432.5</v>
      </c>
      <c r="HK70">
        <v>5139.4</v>
      </c>
      <c r="HL70">
        <v>22.8</v>
      </c>
      <c r="HM70">
        <v>1.86752</v>
      </c>
      <c r="HN70">
        <v>1.86647</v>
      </c>
      <c r="HO70">
        <v>1.866</v>
      </c>
      <c r="HP70">
        <v>1.86589</v>
      </c>
      <c r="HQ70">
        <v>1.8677</v>
      </c>
      <c r="HR70">
        <v>1.87026</v>
      </c>
      <c r="HS70">
        <v>1.8689</v>
      </c>
      <c r="HT70">
        <v>1.87027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-0.6889999999999999</v>
      </c>
      <c r="II70">
        <v>0.0064</v>
      </c>
      <c r="IJ70">
        <v>-0.4995723906072</v>
      </c>
      <c r="IK70">
        <v>-0.002077099775823331</v>
      </c>
      <c r="IL70">
        <v>4.593143279902166E-07</v>
      </c>
      <c r="IM70">
        <v>-1.865383991892071E-10</v>
      </c>
      <c r="IN70">
        <v>-0.07605349583632376</v>
      </c>
      <c r="IO70">
        <v>-0.01129461987421345</v>
      </c>
      <c r="IP70">
        <v>0.00116580895745559</v>
      </c>
      <c r="IQ70">
        <v>-1.679085872906199E-05</v>
      </c>
      <c r="IR70">
        <v>2</v>
      </c>
      <c r="IS70">
        <v>2290</v>
      </c>
      <c r="IT70">
        <v>0</v>
      </c>
      <c r="IU70">
        <v>32</v>
      </c>
      <c r="IV70">
        <v>4.2</v>
      </c>
      <c r="IW70">
        <v>3.8</v>
      </c>
      <c r="IX70">
        <v>0.274658</v>
      </c>
      <c r="IY70">
        <v>2.29736</v>
      </c>
      <c r="IZ70">
        <v>1.39648</v>
      </c>
      <c r="JA70">
        <v>2.35962</v>
      </c>
      <c r="JB70">
        <v>1.49536</v>
      </c>
      <c r="JC70">
        <v>2.35962</v>
      </c>
      <c r="JD70">
        <v>38.3301</v>
      </c>
      <c r="JE70">
        <v>24.035</v>
      </c>
      <c r="JF70">
        <v>18</v>
      </c>
      <c r="JG70">
        <v>514.713</v>
      </c>
      <c r="JH70">
        <v>422.707</v>
      </c>
      <c r="JI70">
        <v>22.5535</v>
      </c>
      <c r="JJ70">
        <v>29.232</v>
      </c>
      <c r="JK70">
        <v>29.9999</v>
      </c>
      <c r="JL70">
        <v>29.192</v>
      </c>
      <c r="JM70">
        <v>29.1184</v>
      </c>
      <c r="JN70">
        <v>5.5137</v>
      </c>
      <c r="JO70">
        <v>55.4487</v>
      </c>
      <c r="JP70">
        <v>0</v>
      </c>
      <c r="JQ70">
        <v>22.561</v>
      </c>
      <c r="JR70">
        <v>51.9553</v>
      </c>
      <c r="JS70">
        <v>8.98901</v>
      </c>
      <c r="JT70">
        <v>100.286</v>
      </c>
      <c r="JU70">
        <v>100.198</v>
      </c>
    </row>
    <row r="71" spans="1:281">
      <c r="A71">
        <v>55</v>
      </c>
      <c r="B71">
        <v>1651857273.1</v>
      </c>
      <c r="C71">
        <v>272.5</v>
      </c>
      <c r="D71" t="s">
        <v>537</v>
      </c>
      <c r="E71" t="s">
        <v>538</v>
      </c>
      <c r="F71">
        <v>2</v>
      </c>
      <c r="G71" t="s">
        <v>413</v>
      </c>
      <c r="H71" t="s">
        <v>414</v>
      </c>
      <c r="I71">
        <v>1651857271.725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79.25952942575442</v>
      </c>
      <c r="AK71">
        <v>89.21098727272725</v>
      </c>
      <c r="AL71">
        <v>-3.078106665467251</v>
      </c>
      <c r="AM71">
        <v>66.38384787954378</v>
      </c>
      <c r="AN71">
        <f>(AP71 - AO71 + DI71*1E3/(8.314*(DK71+273.15)) * AR71/DH71 * AQ71) * DH71/(100*CV71) * 1000/(1000 - AP71)</f>
        <v>0</v>
      </c>
      <c r="AO71">
        <v>8.945859431362022</v>
      </c>
      <c r="AP71">
        <v>18.42242117647058</v>
      </c>
      <c r="AQ71">
        <v>3.159347409534523E-05</v>
      </c>
      <c r="AR71">
        <v>80.44866334591464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1238</v>
      </c>
      <c r="CA71">
        <v>300</v>
      </c>
      <c r="CB71">
        <v>300</v>
      </c>
      <c r="CC71">
        <v>300</v>
      </c>
      <c r="CD71">
        <v>10440.5</v>
      </c>
      <c r="CE71">
        <v>1411.69</v>
      </c>
      <c r="CF71">
        <v>-0.00735121</v>
      </c>
      <c r="CG71">
        <v>-0.77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1651857271.725</v>
      </c>
      <c r="DB71">
        <v>90.20820000000001</v>
      </c>
      <c r="DC71">
        <v>73.8707</v>
      </c>
      <c r="DD71">
        <v>18.420775</v>
      </c>
      <c r="DE71">
        <v>8.945217499999998</v>
      </c>
      <c r="DF71">
        <v>90.89292499999999</v>
      </c>
      <c r="DG71">
        <v>18.414375</v>
      </c>
      <c r="DH71">
        <v>500.02975</v>
      </c>
      <c r="DI71">
        <v>90.1161</v>
      </c>
      <c r="DJ71">
        <v>0.100059325</v>
      </c>
      <c r="DK71">
        <v>25.7382</v>
      </c>
      <c r="DL71">
        <v>24.992375</v>
      </c>
      <c r="DM71">
        <v>999.9</v>
      </c>
      <c r="DN71">
        <v>0</v>
      </c>
      <c r="DO71">
        <v>0</v>
      </c>
      <c r="DP71">
        <v>9998.282499999999</v>
      </c>
      <c r="DQ71">
        <v>0</v>
      </c>
      <c r="DR71">
        <v>3.20383</v>
      </c>
      <c r="DS71">
        <v>16.337475</v>
      </c>
      <c r="DT71">
        <v>91.90107500000001</v>
      </c>
      <c r="DU71">
        <v>74.53745000000001</v>
      </c>
      <c r="DV71">
        <v>9.475565</v>
      </c>
      <c r="DW71">
        <v>73.8707</v>
      </c>
      <c r="DX71">
        <v>8.945217499999998</v>
      </c>
      <c r="DY71">
        <v>1.6600075</v>
      </c>
      <c r="DZ71">
        <v>0.8061082500000001</v>
      </c>
      <c r="EA71">
        <v>14.527425</v>
      </c>
      <c r="EB71">
        <v>3.8153275</v>
      </c>
      <c r="EC71">
        <v>1500</v>
      </c>
      <c r="ED71">
        <v>0.9729995</v>
      </c>
      <c r="EE71">
        <v>0.02700075</v>
      </c>
      <c r="EF71">
        <v>0</v>
      </c>
      <c r="EG71">
        <v>892.6685</v>
      </c>
      <c r="EH71">
        <v>5.00097</v>
      </c>
      <c r="EI71">
        <v>13257.025</v>
      </c>
      <c r="EJ71">
        <v>12491.6</v>
      </c>
      <c r="EK71">
        <v>37.562</v>
      </c>
      <c r="EL71">
        <v>39.062</v>
      </c>
      <c r="EM71">
        <v>37.937</v>
      </c>
      <c r="EN71">
        <v>38.812</v>
      </c>
      <c r="EO71">
        <v>38.437</v>
      </c>
      <c r="EP71">
        <v>1454.635</v>
      </c>
      <c r="EQ71">
        <v>40.365</v>
      </c>
      <c r="ER71">
        <v>0</v>
      </c>
      <c r="ES71">
        <v>271.8000001907349</v>
      </c>
      <c r="ET71">
        <v>0</v>
      </c>
      <c r="EU71">
        <v>899.0873846153845</v>
      </c>
      <c r="EV71">
        <v>-65.48738461459443</v>
      </c>
      <c r="EW71">
        <v>-961.3059826527946</v>
      </c>
      <c r="EX71">
        <v>13350.00769230769</v>
      </c>
      <c r="EY71">
        <v>15</v>
      </c>
      <c r="EZ71">
        <v>1651857041.1</v>
      </c>
      <c r="FA71" t="s">
        <v>419</v>
      </c>
      <c r="FB71">
        <v>1651857019.6</v>
      </c>
      <c r="FC71">
        <v>1651857041.1</v>
      </c>
      <c r="FD71">
        <v>1</v>
      </c>
      <c r="FE71">
        <v>0.545</v>
      </c>
      <c r="FF71">
        <v>-0.002</v>
      </c>
      <c r="FG71">
        <v>-1.271</v>
      </c>
      <c r="FH71">
        <v>-0.09</v>
      </c>
      <c r="FI71">
        <v>400</v>
      </c>
      <c r="FJ71">
        <v>10</v>
      </c>
      <c r="FK71">
        <v>0.1</v>
      </c>
      <c r="FL71">
        <v>0.02</v>
      </c>
      <c r="FM71">
        <v>12.97661097560975</v>
      </c>
      <c r="FN71">
        <v>19.84261777003487</v>
      </c>
      <c r="FO71">
        <v>1.957010869378947</v>
      </c>
      <c r="FP71">
        <v>-1</v>
      </c>
      <c r="FQ71">
        <v>9.460590731707319</v>
      </c>
      <c r="FR71">
        <v>0.07767512195121495</v>
      </c>
      <c r="FS71">
        <v>0.007703017587439958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432</v>
      </c>
      <c r="GB71">
        <v>2.97984</v>
      </c>
      <c r="GC71">
        <v>2.70625</v>
      </c>
      <c r="GD71">
        <v>0.0229693</v>
      </c>
      <c r="GE71">
        <v>0.0182287</v>
      </c>
      <c r="GF71">
        <v>0.0880121</v>
      </c>
      <c r="GG71">
        <v>0.0508233</v>
      </c>
      <c r="GH71">
        <v>30823</v>
      </c>
      <c r="GI71">
        <v>31041.8</v>
      </c>
      <c r="GJ71">
        <v>29337.3</v>
      </c>
      <c r="GK71">
        <v>29251.9</v>
      </c>
      <c r="GL71">
        <v>35429.6</v>
      </c>
      <c r="GM71">
        <v>36974.9</v>
      </c>
      <c r="GN71">
        <v>41296.7</v>
      </c>
      <c r="GO71">
        <v>41745.5</v>
      </c>
      <c r="GP71">
        <v>1.95405</v>
      </c>
      <c r="GQ71">
        <v>1.83328</v>
      </c>
      <c r="GR71">
        <v>-0.0363253</v>
      </c>
      <c r="GS71">
        <v>0</v>
      </c>
      <c r="GT71">
        <v>25.5908</v>
      </c>
      <c r="GU71">
        <v>999.9</v>
      </c>
      <c r="GV71">
        <v>39.1</v>
      </c>
      <c r="GW71">
        <v>33.8</v>
      </c>
      <c r="GX71">
        <v>22.9268</v>
      </c>
      <c r="GY71">
        <v>62.6676</v>
      </c>
      <c r="GZ71">
        <v>35.2684</v>
      </c>
      <c r="HA71">
        <v>1</v>
      </c>
      <c r="HB71">
        <v>0.14577</v>
      </c>
      <c r="HC71">
        <v>2.29051</v>
      </c>
      <c r="HD71">
        <v>20.3178</v>
      </c>
      <c r="HE71">
        <v>5.21684</v>
      </c>
      <c r="HF71">
        <v>12.0099</v>
      </c>
      <c r="HG71">
        <v>4.98845</v>
      </c>
      <c r="HH71">
        <v>3.28842</v>
      </c>
      <c r="HI71">
        <v>847.5</v>
      </c>
      <c r="HJ71">
        <v>8432.5</v>
      </c>
      <c r="HK71">
        <v>5139.4</v>
      </c>
      <c r="HL71">
        <v>22.8</v>
      </c>
      <c r="HM71">
        <v>1.86752</v>
      </c>
      <c r="HN71">
        <v>1.86647</v>
      </c>
      <c r="HO71">
        <v>1.866</v>
      </c>
      <c r="HP71">
        <v>1.86588</v>
      </c>
      <c r="HQ71">
        <v>1.86769</v>
      </c>
      <c r="HR71">
        <v>1.87022</v>
      </c>
      <c r="HS71">
        <v>1.8689</v>
      </c>
      <c r="HT71">
        <v>1.87027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-0.676</v>
      </c>
      <c r="II71">
        <v>0.0064</v>
      </c>
      <c r="IJ71">
        <v>-0.4995723906072</v>
      </c>
      <c r="IK71">
        <v>-0.002077099775823331</v>
      </c>
      <c r="IL71">
        <v>4.593143279902166E-07</v>
      </c>
      <c r="IM71">
        <v>-1.865383991892071E-10</v>
      </c>
      <c r="IN71">
        <v>-0.07605349583632376</v>
      </c>
      <c r="IO71">
        <v>-0.01129461987421345</v>
      </c>
      <c r="IP71">
        <v>0.00116580895745559</v>
      </c>
      <c r="IQ71">
        <v>-1.679085872906199E-05</v>
      </c>
      <c r="IR71">
        <v>2</v>
      </c>
      <c r="IS71">
        <v>2290</v>
      </c>
      <c r="IT71">
        <v>0</v>
      </c>
      <c r="IU71">
        <v>32</v>
      </c>
      <c r="IV71">
        <v>4.2</v>
      </c>
      <c r="IW71">
        <v>3.9</v>
      </c>
      <c r="IX71">
        <v>0.26001</v>
      </c>
      <c r="IY71">
        <v>2.30713</v>
      </c>
      <c r="IZ71">
        <v>1.39648</v>
      </c>
      <c r="JA71">
        <v>2.35962</v>
      </c>
      <c r="JB71">
        <v>1.49536</v>
      </c>
      <c r="JC71">
        <v>2.27905</v>
      </c>
      <c r="JD71">
        <v>38.3056</v>
      </c>
      <c r="JE71">
        <v>24.0437</v>
      </c>
      <c r="JF71">
        <v>18</v>
      </c>
      <c r="JG71">
        <v>514.842</v>
      </c>
      <c r="JH71">
        <v>422.734</v>
      </c>
      <c r="JI71">
        <v>22.5569</v>
      </c>
      <c r="JJ71">
        <v>29.2312</v>
      </c>
      <c r="JK71">
        <v>29.9999</v>
      </c>
      <c r="JL71">
        <v>29.1916</v>
      </c>
      <c r="JM71">
        <v>29.118</v>
      </c>
      <c r="JN71">
        <v>5.22417</v>
      </c>
      <c r="JO71">
        <v>55.4487</v>
      </c>
      <c r="JP71">
        <v>0</v>
      </c>
      <c r="JQ71">
        <v>22.5667</v>
      </c>
      <c r="JR71">
        <v>45.2762</v>
      </c>
      <c r="JS71">
        <v>8.98901</v>
      </c>
      <c r="JT71">
        <v>100.285</v>
      </c>
      <c r="JU71">
        <v>100.198</v>
      </c>
    </row>
    <row r="72" spans="1:281">
      <c r="A72">
        <v>56</v>
      </c>
      <c r="B72">
        <v>1651857275.1</v>
      </c>
      <c r="C72">
        <v>274.5</v>
      </c>
      <c r="D72" t="s">
        <v>539</v>
      </c>
      <c r="E72" t="s">
        <v>540</v>
      </c>
      <c r="F72">
        <v>2</v>
      </c>
      <c r="G72" t="s">
        <v>413</v>
      </c>
      <c r="H72" t="s">
        <v>414</v>
      </c>
      <c r="I72">
        <v>1651857274.1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72.48839958027045</v>
      </c>
      <c r="AK72">
        <v>83.09912606060603</v>
      </c>
      <c r="AL72">
        <v>-3.063060633353518</v>
      </c>
      <c r="AM72">
        <v>66.38384787954378</v>
      </c>
      <c r="AN72">
        <f>(AP72 - AO72 + DI72*1E3/(8.314*(DK72+273.15)) * AR72/DH72 * AQ72) * DH72/(100*CV72) * 1000/(1000 - AP72)</f>
        <v>0</v>
      </c>
      <c r="AO72">
        <v>8.945792237237011</v>
      </c>
      <c r="AP72">
        <v>18.424015</v>
      </c>
      <c r="AQ72">
        <v>5.974760442580193E-05</v>
      </c>
      <c r="AR72">
        <v>80.44866334591464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1238</v>
      </c>
      <c r="CA72">
        <v>300</v>
      </c>
      <c r="CB72">
        <v>300</v>
      </c>
      <c r="CC72">
        <v>300</v>
      </c>
      <c r="CD72">
        <v>10440.5</v>
      </c>
      <c r="CE72">
        <v>1411.69</v>
      </c>
      <c r="CF72">
        <v>-0.00735121</v>
      </c>
      <c r="CG72">
        <v>-0.77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1651857274.1</v>
      </c>
      <c r="DB72">
        <v>83.06783333333334</v>
      </c>
      <c r="DC72">
        <v>65.90003333333334</v>
      </c>
      <c r="DD72">
        <v>18.42363333333333</v>
      </c>
      <c r="DE72">
        <v>8.941003333333333</v>
      </c>
      <c r="DF72">
        <v>83.73820000000001</v>
      </c>
      <c r="DG72">
        <v>18.4172</v>
      </c>
      <c r="DH72">
        <v>500.0650000000001</v>
      </c>
      <c r="DI72">
        <v>90.11406666666666</v>
      </c>
      <c r="DJ72">
        <v>0.10025</v>
      </c>
      <c r="DK72">
        <v>25.73816666666667</v>
      </c>
      <c r="DL72">
        <v>24.99866666666667</v>
      </c>
      <c r="DM72">
        <v>999.9</v>
      </c>
      <c r="DN72">
        <v>0</v>
      </c>
      <c r="DO72">
        <v>0</v>
      </c>
      <c r="DP72">
        <v>9962.706666666667</v>
      </c>
      <c r="DQ72">
        <v>0</v>
      </c>
      <c r="DR72">
        <v>3.20383</v>
      </c>
      <c r="DS72">
        <v>17.16786666666667</v>
      </c>
      <c r="DT72">
        <v>84.62700000000001</v>
      </c>
      <c r="DU72">
        <v>66.49453333333334</v>
      </c>
      <c r="DV72">
        <v>9.482656666666665</v>
      </c>
      <c r="DW72">
        <v>65.90003333333334</v>
      </c>
      <c r="DX72">
        <v>8.941003333333333</v>
      </c>
      <c r="DY72">
        <v>1.660226666666667</v>
      </c>
      <c r="DZ72">
        <v>0.8057103333333333</v>
      </c>
      <c r="EA72">
        <v>14.5295</v>
      </c>
      <c r="EB72">
        <v>3.808306666666667</v>
      </c>
      <c r="EC72">
        <v>1500.043333333333</v>
      </c>
      <c r="ED72">
        <v>0.9729953333333334</v>
      </c>
      <c r="EE72">
        <v>0.0270047</v>
      </c>
      <c r="EF72">
        <v>0</v>
      </c>
      <c r="EG72">
        <v>891.2183333333334</v>
      </c>
      <c r="EH72">
        <v>5.00097</v>
      </c>
      <c r="EI72">
        <v>13231.73333333333</v>
      </c>
      <c r="EJ72">
        <v>12491.93333333333</v>
      </c>
      <c r="EK72">
        <v>37.562</v>
      </c>
      <c r="EL72">
        <v>39.062</v>
      </c>
      <c r="EM72">
        <v>37.937</v>
      </c>
      <c r="EN72">
        <v>38.812</v>
      </c>
      <c r="EO72">
        <v>38.437</v>
      </c>
      <c r="EP72">
        <v>1454.67</v>
      </c>
      <c r="EQ72">
        <v>40.37333333333333</v>
      </c>
      <c r="ER72">
        <v>0</v>
      </c>
      <c r="ES72">
        <v>274.2000000476837</v>
      </c>
      <c r="ET72">
        <v>0</v>
      </c>
      <c r="EU72">
        <v>896.6298846153846</v>
      </c>
      <c r="EV72">
        <v>-57.52413681132441</v>
      </c>
      <c r="EW72">
        <v>-851.1145304325302</v>
      </c>
      <c r="EX72">
        <v>13313.76538461539</v>
      </c>
      <c r="EY72">
        <v>15</v>
      </c>
      <c r="EZ72">
        <v>1651857041.1</v>
      </c>
      <c r="FA72" t="s">
        <v>419</v>
      </c>
      <c r="FB72">
        <v>1651857019.6</v>
      </c>
      <c r="FC72">
        <v>1651857041.1</v>
      </c>
      <c r="FD72">
        <v>1</v>
      </c>
      <c r="FE72">
        <v>0.545</v>
      </c>
      <c r="FF72">
        <v>-0.002</v>
      </c>
      <c r="FG72">
        <v>-1.271</v>
      </c>
      <c r="FH72">
        <v>-0.09</v>
      </c>
      <c r="FI72">
        <v>400</v>
      </c>
      <c r="FJ72">
        <v>10</v>
      </c>
      <c r="FK72">
        <v>0.1</v>
      </c>
      <c r="FL72">
        <v>0.02</v>
      </c>
      <c r="FM72">
        <v>13.96930487804878</v>
      </c>
      <c r="FN72">
        <v>20.05970801393729</v>
      </c>
      <c r="FO72">
        <v>1.978317603290331</v>
      </c>
      <c r="FP72">
        <v>-1</v>
      </c>
      <c r="FQ72">
        <v>9.465040243902438</v>
      </c>
      <c r="FR72">
        <v>0.08866034843208545</v>
      </c>
      <c r="FS72">
        <v>0.008870360480976088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432</v>
      </c>
      <c r="GB72">
        <v>2.97979</v>
      </c>
      <c r="GC72">
        <v>2.70595</v>
      </c>
      <c r="GD72">
        <v>0.0213997</v>
      </c>
      <c r="GE72">
        <v>0.0164741</v>
      </c>
      <c r="GF72">
        <v>0.08801589999999999</v>
      </c>
      <c r="GG72">
        <v>0.0508041</v>
      </c>
      <c r="GH72">
        <v>30873.2</v>
      </c>
      <c r="GI72">
        <v>31097.6</v>
      </c>
      <c r="GJ72">
        <v>29337.9</v>
      </c>
      <c r="GK72">
        <v>29252.2</v>
      </c>
      <c r="GL72">
        <v>35430</v>
      </c>
      <c r="GM72">
        <v>36975.6</v>
      </c>
      <c r="GN72">
        <v>41297.3</v>
      </c>
      <c r="GO72">
        <v>41745.4</v>
      </c>
      <c r="GP72">
        <v>1.95425</v>
      </c>
      <c r="GQ72">
        <v>1.83318</v>
      </c>
      <c r="GR72">
        <v>-0.0361428</v>
      </c>
      <c r="GS72">
        <v>0</v>
      </c>
      <c r="GT72">
        <v>25.5908</v>
      </c>
      <c r="GU72">
        <v>999.9</v>
      </c>
      <c r="GV72">
        <v>39.1</v>
      </c>
      <c r="GW72">
        <v>33.8</v>
      </c>
      <c r="GX72">
        <v>22.9262</v>
      </c>
      <c r="GY72">
        <v>62.3176</v>
      </c>
      <c r="GZ72">
        <v>35.637</v>
      </c>
      <c r="HA72">
        <v>1</v>
      </c>
      <c r="HB72">
        <v>0.145739</v>
      </c>
      <c r="HC72">
        <v>2.2818</v>
      </c>
      <c r="HD72">
        <v>20.3179</v>
      </c>
      <c r="HE72">
        <v>5.21699</v>
      </c>
      <c r="HF72">
        <v>12.0099</v>
      </c>
      <c r="HG72">
        <v>4.98835</v>
      </c>
      <c r="HH72">
        <v>3.28842</v>
      </c>
      <c r="HI72">
        <v>847.5</v>
      </c>
      <c r="HJ72">
        <v>8432.5</v>
      </c>
      <c r="HK72">
        <v>5139.4</v>
      </c>
      <c r="HL72">
        <v>22.8</v>
      </c>
      <c r="HM72">
        <v>1.86752</v>
      </c>
      <c r="HN72">
        <v>1.86646</v>
      </c>
      <c r="HO72">
        <v>1.866</v>
      </c>
      <c r="HP72">
        <v>1.8659</v>
      </c>
      <c r="HQ72">
        <v>1.86769</v>
      </c>
      <c r="HR72">
        <v>1.87021</v>
      </c>
      <c r="HS72">
        <v>1.8689</v>
      </c>
      <c r="HT72">
        <v>1.87027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-0.664</v>
      </c>
      <c r="II72">
        <v>0.0065</v>
      </c>
      <c r="IJ72">
        <v>-0.4995723906072</v>
      </c>
      <c r="IK72">
        <v>-0.002077099775823331</v>
      </c>
      <c r="IL72">
        <v>4.593143279902166E-07</v>
      </c>
      <c r="IM72">
        <v>-1.865383991892071E-10</v>
      </c>
      <c r="IN72">
        <v>-0.07605349583632376</v>
      </c>
      <c r="IO72">
        <v>-0.01129461987421345</v>
      </c>
      <c r="IP72">
        <v>0.00116580895745559</v>
      </c>
      <c r="IQ72">
        <v>-1.679085872906199E-05</v>
      </c>
      <c r="IR72">
        <v>2</v>
      </c>
      <c r="IS72">
        <v>2290</v>
      </c>
      <c r="IT72">
        <v>0</v>
      </c>
      <c r="IU72">
        <v>32</v>
      </c>
      <c r="IV72">
        <v>4.3</v>
      </c>
      <c r="IW72">
        <v>3.9</v>
      </c>
      <c r="IX72">
        <v>0.245361</v>
      </c>
      <c r="IY72">
        <v>2.31445</v>
      </c>
      <c r="IZ72">
        <v>1.39648</v>
      </c>
      <c r="JA72">
        <v>2.35962</v>
      </c>
      <c r="JB72">
        <v>1.49536</v>
      </c>
      <c r="JC72">
        <v>2.34009</v>
      </c>
      <c r="JD72">
        <v>38.3056</v>
      </c>
      <c r="JE72">
        <v>24.0437</v>
      </c>
      <c r="JF72">
        <v>18</v>
      </c>
      <c r="JG72">
        <v>514.9640000000001</v>
      </c>
      <c r="JH72">
        <v>422.675</v>
      </c>
      <c r="JI72">
        <v>22.5595</v>
      </c>
      <c r="JJ72">
        <v>29.2302</v>
      </c>
      <c r="JK72">
        <v>29.9999</v>
      </c>
      <c r="JL72">
        <v>29.1904</v>
      </c>
      <c r="JM72">
        <v>29.118</v>
      </c>
      <c r="JN72">
        <v>4.93011</v>
      </c>
      <c r="JO72">
        <v>55.4487</v>
      </c>
      <c r="JP72">
        <v>0</v>
      </c>
      <c r="JQ72">
        <v>22.5667</v>
      </c>
      <c r="JR72">
        <v>38.5978</v>
      </c>
      <c r="JS72">
        <v>8.988939999999999</v>
      </c>
      <c r="JT72">
        <v>100.287</v>
      </c>
      <c r="JU72">
        <v>100.198</v>
      </c>
    </row>
    <row r="73" spans="1:281">
      <c r="A73">
        <v>57</v>
      </c>
      <c r="B73">
        <v>1651857277.1</v>
      </c>
      <c r="C73">
        <v>276.5</v>
      </c>
      <c r="D73" t="s">
        <v>541</v>
      </c>
      <c r="E73" t="s">
        <v>542</v>
      </c>
      <c r="F73">
        <v>2</v>
      </c>
      <c r="G73" t="s">
        <v>413</v>
      </c>
      <c r="H73" t="s">
        <v>414</v>
      </c>
      <c r="I73">
        <v>1651857275.725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65.71099162921593</v>
      </c>
      <c r="AK73">
        <v>76.97596242424237</v>
      </c>
      <c r="AL73">
        <v>-3.059840252402274</v>
      </c>
      <c r="AM73">
        <v>66.38384787954378</v>
      </c>
      <c r="AN73">
        <f>(AP73 - AO73 + DI73*1E3/(8.314*(DK73+273.15)) * AR73/DH73 * AQ73) * DH73/(100*CV73) * 1000/(1000 - AP73)</f>
        <v>0</v>
      </c>
      <c r="AO73">
        <v>8.943863764042991</v>
      </c>
      <c r="AP73">
        <v>18.42733235294117</v>
      </c>
      <c r="AQ73">
        <v>3.832571658918786E-05</v>
      </c>
      <c r="AR73">
        <v>80.44866334591464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1238</v>
      </c>
      <c r="CA73">
        <v>300</v>
      </c>
      <c r="CB73">
        <v>300</v>
      </c>
      <c r="CC73">
        <v>300</v>
      </c>
      <c r="CD73">
        <v>10440.5</v>
      </c>
      <c r="CE73">
        <v>1411.69</v>
      </c>
      <c r="CF73">
        <v>-0.00735121</v>
      </c>
      <c r="CG73">
        <v>-0.77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1651857275.725</v>
      </c>
      <c r="DB73">
        <v>78.185925</v>
      </c>
      <c r="DC73">
        <v>60.447375</v>
      </c>
      <c r="DD73">
        <v>18.426175</v>
      </c>
      <c r="DE73">
        <v>8.9394025</v>
      </c>
      <c r="DF73">
        <v>78.84649999999999</v>
      </c>
      <c r="DG73">
        <v>18.419675</v>
      </c>
      <c r="DH73">
        <v>500.0275</v>
      </c>
      <c r="DI73">
        <v>90.111625</v>
      </c>
      <c r="DJ73">
        <v>0.10000105</v>
      </c>
      <c r="DK73">
        <v>25.738125</v>
      </c>
      <c r="DL73">
        <v>24.998825</v>
      </c>
      <c r="DM73">
        <v>999.9</v>
      </c>
      <c r="DN73">
        <v>0</v>
      </c>
      <c r="DO73">
        <v>0</v>
      </c>
      <c r="DP73">
        <v>9975.467500000001</v>
      </c>
      <c r="DQ73">
        <v>0</v>
      </c>
      <c r="DR73">
        <v>3.20383</v>
      </c>
      <c r="DS73">
        <v>17.73855</v>
      </c>
      <c r="DT73">
        <v>79.65362500000001</v>
      </c>
      <c r="DU73">
        <v>60.9926</v>
      </c>
      <c r="DV73">
        <v>9.486772500000001</v>
      </c>
      <c r="DW73">
        <v>60.447375</v>
      </c>
      <c r="DX73">
        <v>8.9394025</v>
      </c>
      <c r="DY73">
        <v>1.6604125</v>
      </c>
      <c r="DZ73">
        <v>0.80554375</v>
      </c>
      <c r="EA73">
        <v>14.531175</v>
      </c>
      <c r="EB73">
        <v>3.805375</v>
      </c>
      <c r="EC73">
        <v>1500.15</v>
      </c>
      <c r="ED73">
        <v>0.97299075</v>
      </c>
      <c r="EE73">
        <v>0.02700925</v>
      </c>
      <c r="EF73">
        <v>0</v>
      </c>
      <c r="EG73">
        <v>890.2517499999999</v>
      </c>
      <c r="EH73">
        <v>5.00097</v>
      </c>
      <c r="EI73">
        <v>13217.95</v>
      </c>
      <c r="EJ73">
        <v>12492.8</v>
      </c>
      <c r="EK73">
        <v>37.562</v>
      </c>
      <c r="EL73">
        <v>39.062</v>
      </c>
      <c r="EM73">
        <v>37.937</v>
      </c>
      <c r="EN73">
        <v>38.812</v>
      </c>
      <c r="EO73">
        <v>38.437</v>
      </c>
      <c r="EP73">
        <v>1454.7675</v>
      </c>
      <c r="EQ73">
        <v>40.3825</v>
      </c>
      <c r="ER73">
        <v>0</v>
      </c>
      <c r="ES73">
        <v>276</v>
      </c>
      <c r="ET73">
        <v>0</v>
      </c>
      <c r="EU73">
        <v>894.6981599999999</v>
      </c>
      <c r="EV73">
        <v>-50.59284624490268</v>
      </c>
      <c r="EW73">
        <v>-755.6000010508405</v>
      </c>
      <c r="EX73">
        <v>13284.836</v>
      </c>
      <c r="EY73">
        <v>15</v>
      </c>
      <c r="EZ73">
        <v>1651857041.1</v>
      </c>
      <c r="FA73" t="s">
        <v>419</v>
      </c>
      <c r="FB73">
        <v>1651857019.6</v>
      </c>
      <c r="FC73">
        <v>1651857041.1</v>
      </c>
      <c r="FD73">
        <v>1</v>
      </c>
      <c r="FE73">
        <v>0.545</v>
      </c>
      <c r="FF73">
        <v>-0.002</v>
      </c>
      <c r="FG73">
        <v>-1.271</v>
      </c>
      <c r="FH73">
        <v>-0.09</v>
      </c>
      <c r="FI73">
        <v>400</v>
      </c>
      <c r="FJ73">
        <v>10</v>
      </c>
      <c r="FK73">
        <v>0.1</v>
      </c>
      <c r="FL73">
        <v>0.02</v>
      </c>
      <c r="FM73">
        <v>14.5525425</v>
      </c>
      <c r="FN73">
        <v>20.23025403377109</v>
      </c>
      <c r="FO73">
        <v>1.94636730075383</v>
      </c>
      <c r="FP73">
        <v>-1</v>
      </c>
      <c r="FQ73">
        <v>9.467981499999999</v>
      </c>
      <c r="FR73">
        <v>0.09679992495306845</v>
      </c>
      <c r="FS73">
        <v>0.009515742364629277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432</v>
      </c>
      <c r="GB73">
        <v>2.97969</v>
      </c>
      <c r="GC73">
        <v>2.7058</v>
      </c>
      <c r="GD73">
        <v>0.0198241</v>
      </c>
      <c r="GE73">
        <v>0.0147123</v>
      </c>
      <c r="GF73">
        <v>0.0880267</v>
      </c>
      <c r="GG73">
        <v>0.0508011</v>
      </c>
      <c r="GH73">
        <v>30923.6</v>
      </c>
      <c r="GI73">
        <v>31153.1</v>
      </c>
      <c r="GJ73">
        <v>29338.6</v>
      </c>
      <c r="GK73">
        <v>29251.9</v>
      </c>
      <c r="GL73">
        <v>35430.4</v>
      </c>
      <c r="GM73">
        <v>36975.5</v>
      </c>
      <c r="GN73">
        <v>41298.3</v>
      </c>
      <c r="GO73">
        <v>41745.3</v>
      </c>
      <c r="GP73">
        <v>1.95403</v>
      </c>
      <c r="GQ73">
        <v>1.8331</v>
      </c>
      <c r="GR73">
        <v>-0.0362322</v>
      </c>
      <c r="GS73">
        <v>0</v>
      </c>
      <c r="GT73">
        <v>25.5908</v>
      </c>
      <c r="GU73">
        <v>999.9</v>
      </c>
      <c r="GV73">
        <v>39.1</v>
      </c>
      <c r="GW73">
        <v>33.8</v>
      </c>
      <c r="GX73">
        <v>22.9274</v>
      </c>
      <c r="GY73">
        <v>62.6576</v>
      </c>
      <c r="GZ73">
        <v>35.3766</v>
      </c>
      <c r="HA73">
        <v>1</v>
      </c>
      <c r="HB73">
        <v>0.145722</v>
      </c>
      <c r="HC73">
        <v>2.27341</v>
      </c>
      <c r="HD73">
        <v>20.3181</v>
      </c>
      <c r="HE73">
        <v>5.21714</v>
      </c>
      <c r="HF73">
        <v>12.0099</v>
      </c>
      <c r="HG73">
        <v>4.9879</v>
      </c>
      <c r="HH73">
        <v>3.28855</v>
      </c>
      <c r="HI73">
        <v>847.5</v>
      </c>
      <c r="HJ73">
        <v>8432.5</v>
      </c>
      <c r="HK73">
        <v>5139.4</v>
      </c>
      <c r="HL73">
        <v>22.8</v>
      </c>
      <c r="HM73">
        <v>1.86751</v>
      </c>
      <c r="HN73">
        <v>1.86647</v>
      </c>
      <c r="HO73">
        <v>1.866</v>
      </c>
      <c r="HP73">
        <v>1.86591</v>
      </c>
      <c r="HQ73">
        <v>1.86771</v>
      </c>
      <c r="HR73">
        <v>1.87023</v>
      </c>
      <c r="HS73">
        <v>1.8689</v>
      </c>
      <c r="HT73">
        <v>1.87027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-0.652</v>
      </c>
      <c r="II73">
        <v>0.0065</v>
      </c>
      <c r="IJ73">
        <v>-0.4995723906072</v>
      </c>
      <c r="IK73">
        <v>-0.002077099775823331</v>
      </c>
      <c r="IL73">
        <v>4.593143279902166E-07</v>
      </c>
      <c r="IM73">
        <v>-1.865383991892071E-10</v>
      </c>
      <c r="IN73">
        <v>-0.07605349583632376</v>
      </c>
      <c r="IO73">
        <v>-0.01129461987421345</v>
      </c>
      <c r="IP73">
        <v>0.00116580895745559</v>
      </c>
      <c r="IQ73">
        <v>-1.679085872906199E-05</v>
      </c>
      <c r="IR73">
        <v>2</v>
      </c>
      <c r="IS73">
        <v>2290</v>
      </c>
      <c r="IT73">
        <v>0</v>
      </c>
      <c r="IU73">
        <v>32</v>
      </c>
      <c r="IV73">
        <v>4.3</v>
      </c>
      <c r="IW73">
        <v>3.9</v>
      </c>
      <c r="IX73">
        <v>0.230713</v>
      </c>
      <c r="IY73">
        <v>2.31323</v>
      </c>
      <c r="IZ73">
        <v>1.39648</v>
      </c>
      <c r="JA73">
        <v>2.36084</v>
      </c>
      <c r="JB73">
        <v>1.49536</v>
      </c>
      <c r="JC73">
        <v>2.34253</v>
      </c>
      <c r="JD73">
        <v>38.3301</v>
      </c>
      <c r="JE73">
        <v>24.0437</v>
      </c>
      <c r="JF73">
        <v>18</v>
      </c>
      <c r="JG73">
        <v>514.808</v>
      </c>
      <c r="JH73">
        <v>422.63</v>
      </c>
      <c r="JI73">
        <v>22.5623</v>
      </c>
      <c r="JJ73">
        <v>29.2289</v>
      </c>
      <c r="JK73">
        <v>29.9999</v>
      </c>
      <c r="JL73">
        <v>29.1896</v>
      </c>
      <c r="JM73">
        <v>29.118</v>
      </c>
      <c r="JN73">
        <v>4.64047</v>
      </c>
      <c r="JO73">
        <v>55.4487</v>
      </c>
      <c r="JP73">
        <v>0</v>
      </c>
      <c r="JQ73">
        <v>22.5667</v>
      </c>
      <c r="JR73">
        <v>31.9178</v>
      </c>
      <c r="JS73">
        <v>8.98879</v>
      </c>
      <c r="JT73">
        <v>100.289</v>
      </c>
      <c r="JU73">
        <v>100.198</v>
      </c>
    </row>
    <row r="74" spans="1:281">
      <c r="A74">
        <v>58</v>
      </c>
      <c r="B74">
        <v>1651857279.1</v>
      </c>
      <c r="C74">
        <v>278.5</v>
      </c>
      <c r="D74" t="s">
        <v>543</v>
      </c>
      <c r="E74" t="s">
        <v>544</v>
      </c>
      <c r="F74">
        <v>2</v>
      </c>
      <c r="G74" t="s">
        <v>413</v>
      </c>
      <c r="H74" t="s">
        <v>414</v>
      </c>
      <c r="I74">
        <v>1651857278.1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58.93959925079552</v>
      </c>
      <c r="AK74">
        <v>70.82482121212122</v>
      </c>
      <c r="AL74">
        <v>-3.068953386256521</v>
      </c>
      <c r="AM74">
        <v>66.38384787954378</v>
      </c>
      <c r="AN74">
        <f>(AP74 - AO74 + DI74*1E3/(8.314*(DK74+273.15)) * AR74/DH74 * AQ74) * DH74/(100*CV74) * 1000/(1000 - AP74)</f>
        <v>0</v>
      </c>
      <c r="AO74">
        <v>8.940118927127637</v>
      </c>
      <c r="AP74">
        <v>18.43114499999999</v>
      </c>
      <c r="AQ74">
        <v>2.660706403723221E-05</v>
      </c>
      <c r="AR74">
        <v>80.44866334591464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1238</v>
      </c>
      <c r="CA74">
        <v>300</v>
      </c>
      <c r="CB74">
        <v>300</v>
      </c>
      <c r="CC74">
        <v>300</v>
      </c>
      <c r="CD74">
        <v>10440.5</v>
      </c>
      <c r="CE74">
        <v>1411.69</v>
      </c>
      <c r="CF74">
        <v>-0.00735121</v>
      </c>
      <c r="CG74">
        <v>-0.77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1651857278.1</v>
      </c>
      <c r="DB74">
        <v>71.02760000000001</v>
      </c>
      <c r="DC74">
        <v>52.3673</v>
      </c>
      <c r="DD74">
        <v>18.42996666666667</v>
      </c>
      <c r="DE74">
        <v>8.941203333333334</v>
      </c>
      <c r="DF74">
        <v>71.6738</v>
      </c>
      <c r="DG74">
        <v>18.42336666666667</v>
      </c>
      <c r="DH74">
        <v>500.0063333333333</v>
      </c>
      <c r="DI74">
        <v>90.11033333333334</v>
      </c>
      <c r="DJ74">
        <v>0.09986733333333332</v>
      </c>
      <c r="DK74">
        <v>25.73833333333333</v>
      </c>
      <c r="DL74">
        <v>24.99506666666667</v>
      </c>
      <c r="DM74">
        <v>999.9</v>
      </c>
      <c r="DN74">
        <v>0</v>
      </c>
      <c r="DO74">
        <v>0</v>
      </c>
      <c r="DP74">
        <v>9992.286666666667</v>
      </c>
      <c r="DQ74">
        <v>0</v>
      </c>
      <c r="DR74">
        <v>3.20383</v>
      </c>
      <c r="DS74">
        <v>18.66033333333333</v>
      </c>
      <c r="DT74">
        <v>72.3612</v>
      </c>
      <c r="DU74">
        <v>52.83973333333333</v>
      </c>
      <c r="DV74">
        <v>9.488743333333334</v>
      </c>
      <c r="DW74">
        <v>52.3673</v>
      </c>
      <c r="DX74">
        <v>8.941203333333334</v>
      </c>
      <c r="DY74">
        <v>1.660726666666667</v>
      </c>
      <c r="DZ74">
        <v>0.8056953333333333</v>
      </c>
      <c r="EA74">
        <v>14.53416666666667</v>
      </c>
      <c r="EB74">
        <v>3.80804</v>
      </c>
      <c r="EC74">
        <v>1500.033333333333</v>
      </c>
      <c r="ED74">
        <v>0.9730036666666666</v>
      </c>
      <c r="EE74">
        <v>0.02699626666666667</v>
      </c>
      <c r="EF74">
        <v>0</v>
      </c>
      <c r="EG74">
        <v>888.6796666666668</v>
      </c>
      <c r="EH74">
        <v>5.00097</v>
      </c>
      <c r="EI74">
        <v>13196.63333333333</v>
      </c>
      <c r="EJ74">
        <v>12491.9</v>
      </c>
      <c r="EK74">
        <v>37.562</v>
      </c>
      <c r="EL74">
        <v>39.062</v>
      </c>
      <c r="EM74">
        <v>37.958</v>
      </c>
      <c r="EN74">
        <v>38.77066666666666</v>
      </c>
      <c r="EO74">
        <v>38.437</v>
      </c>
      <c r="EP74">
        <v>1454.673333333333</v>
      </c>
      <c r="EQ74">
        <v>40.36000000000001</v>
      </c>
      <c r="ER74">
        <v>0</v>
      </c>
      <c r="ES74">
        <v>277.8000001907349</v>
      </c>
      <c r="ET74">
        <v>0</v>
      </c>
      <c r="EU74">
        <v>893.487923076923</v>
      </c>
      <c r="EV74">
        <v>-46.37340170865128</v>
      </c>
      <c r="EW74">
        <v>-696.4683757742461</v>
      </c>
      <c r="EX74">
        <v>13267.28846153846</v>
      </c>
      <c r="EY74">
        <v>15</v>
      </c>
      <c r="EZ74">
        <v>1651857041.1</v>
      </c>
      <c r="FA74" t="s">
        <v>419</v>
      </c>
      <c r="FB74">
        <v>1651857019.6</v>
      </c>
      <c r="FC74">
        <v>1651857041.1</v>
      </c>
      <c r="FD74">
        <v>1</v>
      </c>
      <c r="FE74">
        <v>0.545</v>
      </c>
      <c r="FF74">
        <v>-0.002</v>
      </c>
      <c r="FG74">
        <v>-1.271</v>
      </c>
      <c r="FH74">
        <v>-0.09</v>
      </c>
      <c r="FI74">
        <v>400</v>
      </c>
      <c r="FJ74">
        <v>10</v>
      </c>
      <c r="FK74">
        <v>0.1</v>
      </c>
      <c r="FL74">
        <v>0.02</v>
      </c>
      <c r="FM74">
        <v>15.31858048780488</v>
      </c>
      <c r="FN74">
        <v>20.54112961672472</v>
      </c>
      <c r="FO74">
        <v>2.025780322067971</v>
      </c>
      <c r="FP74">
        <v>-1</v>
      </c>
      <c r="FQ74">
        <v>9.471782682926829</v>
      </c>
      <c r="FR74">
        <v>0.1043040418118448</v>
      </c>
      <c r="FS74">
        <v>0.01047111567759662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432</v>
      </c>
      <c r="GB74">
        <v>2.97979</v>
      </c>
      <c r="GC74">
        <v>2.70618</v>
      </c>
      <c r="GD74">
        <v>0.0182386</v>
      </c>
      <c r="GE74">
        <v>0.0129141</v>
      </c>
      <c r="GF74">
        <v>0.08804149999999999</v>
      </c>
      <c r="GG74">
        <v>0.0508122</v>
      </c>
      <c r="GH74">
        <v>30973.6</v>
      </c>
      <c r="GI74">
        <v>31209.4</v>
      </c>
      <c r="GJ74">
        <v>29338.6</v>
      </c>
      <c r="GK74">
        <v>29251.5</v>
      </c>
      <c r="GL74">
        <v>35429.9</v>
      </c>
      <c r="GM74">
        <v>36975</v>
      </c>
      <c r="GN74">
        <v>41298.5</v>
      </c>
      <c r="GO74">
        <v>41745.2</v>
      </c>
      <c r="GP74">
        <v>1.95405</v>
      </c>
      <c r="GQ74">
        <v>1.83302</v>
      </c>
      <c r="GR74">
        <v>-0.0361763</v>
      </c>
      <c r="GS74">
        <v>0</v>
      </c>
      <c r="GT74">
        <v>25.5908</v>
      </c>
      <c r="GU74">
        <v>999.9</v>
      </c>
      <c r="GV74">
        <v>39.1</v>
      </c>
      <c r="GW74">
        <v>33.8</v>
      </c>
      <c r="GX74">
        <v>22.9275</v>
      </c>
      <c r="GY74">
        <v>62.6376</v>
      </c>
      <c r="GZ74">
        <v>35.4247</v>
      </c>
      <c r="HA74">
        <v>1</v>
      </c>
      <c r="HB74">
        <v>0.145727</v>
      </c>
      <c r="HC74">
        <v>2.28257</v>
      </c>
      <c r="HD74">
        <v>20.318</v>
      </c>
      <c r="HE74">
        <v>5.21759</v>
      </c>
      <c r="HF74">
        <v>12.0099</v>
      </c>
      <c r="HG74">
        <v>4.98805</v>
      </c>
      <c r="HH74">
        <v>3.28865</v>
      </c>
      <c r="HI74">
        <v>847.7</v>
      </c>
      <c r="HJ74">
        <v>8434.700000000001</v>
      </c>
      <c r="HK74">
        <v>5139.4</v>
      </c>
      <c r="HL74">
        <v>22.8</v>
      </c>
      <c r="HM74">
        <v>1.86751</v>
      </c>
      <c r="HN74">
        <v>1.86647</v>
      </c>
      <c r="HO74">
        <v>1.866</v>
      </c>
      <c r="HP74">
        <v>1.86591</v>
      </c>
      <c r="HQ74">
        <v>1.86772</v>
      </c>
      <c r="HR74">
        <v>1.87024</v>
      </c>
      <c r="HS74">
        <v>1.8689</v>
      </c>
      <c r="HT74">
        <v>1.87027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-0.64</v>
      </c>
      <c r="II74">
        <v>0.0066</v>
      </c>
      <c r="IJ74">
        <v>-0.4995723906072</v>
      </c>
      <c r="IK74">
        <v>-0.002077099775823331</v>
      </c>
      <c r="IL74">
        <v>4.593143279902166E-07</v>
      </c>
      <c r="IM74">
        <v>-1.865383991892071E-10</v>
      </c>
      <c r="IN74">
        <v>-0.07605349583632376</v>
      </c>
      <c r="IO74">
        <v>-0.01129461987421345</v>
      </c>
      <c r="IP74">
        <v>0.00116580895745559</v>
      </c>
      <c r="IQ74">
        <v>-1.679085872906199E-05</v>
      </c>
      <c r="IR74">
        <v>2</v>
      </c>
      <c r="IS74">
        <v>2290</v>
      </c>
      <c r="IT74">
        <v>0</v>
      </c>
      <c r="IU74">
        <v>32</v>
      </c>
      <c r="IV74">
        <v>4.3</v>
      </c>
      <c r="IW74">
        <v>4</v>
      </c>
      <c r="IX74">
        <v>0.217285</v>
      </c>
      <c r="IY74">
        <v>2.323</v>
      </c>
      <c r="IZ74">
        <v>1.39648</v>
      </c>
      <c r="JA74">
        <v>2.35962</v>
      </c>
      <c r="JB74">
        <v>1.49536</v>
      </c>
      <c r="JC74">
        <v>2.28638</v>
      </c>
      <c r="JD74">
        <v>38.3301</v>
      </c>
      <c r="JE74">
        <v>24.035</v>
      </c>
      <c r="JF74">
        <v>18</v>
      </c>
      <c r="JG74">
        <v>514.825</v>
      </c>
      <c r="JH74">
        <v>422.585</v>
      </c>
      <c r="JI74">
        <v>22.5657</v>
      </c>
      <c r="JJ74">
        <v>29.2283</v>
      </c>
      <c r="JK74">
        <v>29.9999</v>
      </c>
      <c r="JL74">
        <v>29.1896</v>
      </c>
      <c r="JM74">
        <v>29.118</v>
      </c>
      <c r="JN74">
        <v>4.35365</v>
      </c>
      <c r="JO74">
        <v>55.4487</v>
      </c>
      <c r="JP74">
        <v>0</v>
      </c>
      <c r="JQ74">
        <v>22.5684</v>
      </c>
      <c r="JR74">
        <v>25.2313</v>
      </c>
      <c r="JS74">
        <v>8.98221</v>
      </c>
      <c r="JT74">
        <v>100.29</v>
      </c>
      <c r="JU74">
        <v>100.197</v>
      </c>
    </row>
    <row r="75" spans="1:281">
      <c r="A75">
        <v>59</v>
      </c>
      <c r="B75">
        <v>1651857281.1</v>
      </c>
      <c r="C75">
        <v>280.5</v>
      </c>
      <c r="D75" t="s">
        <v>545</v>
      </c>
      <c r="E75" t="s">
        <v>546</v>
      </c>
      <c r="F75">
        <v>2</v>
      </c>
      <c r="G75" t="s">
        <v>413</v>
      </c>
      <c r="H75" t="s">
        <v>414</v>
      </c>
      <c r="I75">
        <v>1651857279.725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52.04897818096588</v>
      </c>
      <c r="AK75">
        <v>64.66106181818184</v>
      </c>
      <c r="AL75">
        <v>-3.078994138007142</v>
      </c>
      <c r="AM75">
        <v>66.38384787954378</v>
      </c>
      <c r="AN75">
        <f>(AP75 - AO75 + DI75*1E3/(8.314*(DK75+273.15)) * AR75/DH75 * AQ75) * DH75/(100*CV75) * 1000/(1000 - AP75)</f>
        <v>0</v>
      </c>
      <c r="AO75">
        <v>8.939570282857488</v>
      </c>
      <c r="AP75">
        <v>18.43572352941176</v>
      </c>
      <c r="AQ75">
        <v>3.190916381031269E-05</v>
      </c>
      <c r="AR75">
        <v>80.44866334591464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1238</v>
      </c>
      <c r="CA75">
        <v>300</v>
      </c>
      <c r="CB75">
        <v>300</v>
      </c>
      <c r="CC75">
        <v>300</v>
      </c>
      <c r="CD75">
        <v>10440.5</v>
      </c>
      <c r="CE75">
        <v>1411.69</v>
      </c>
      <c r="CF75">
        <v>-0.00735121</v>
      </c>
      <c r="CG75">
        <v>-0.77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1651857279.725</v>
      </c>
      <c r="DB75">
        <v>66.11557499999999</v>
      </c>
      <c r="DC75">
        <v>46.84065</v>
      </c>
      <c r="DD75">
        <v>18.4338</v>
      </c>
      <c r="DE75">
        <v>8.942625</v>
      </c>
      <c r="DF75">
        <v>66.75184999999999</v>
      </c>
      <c r="DG75">
        <v>18.427175</v>
      </c>
      <c r="DH75">
        <v>500.02075</v>
      </c>
      <c r="DI75">
        <v>90.109475</v>
      </c>
      <c r="DJ75">
        <v>0.100083125</v>
      </c>
      <c r="DK75">
        <v>25.73865</v>
      </c>
      <c r="DL75">
        <v>24.996175</v>
      </c>
      <c r="DM75">
        <v>999.9</v>
      </c>
      <c r="DN75">
        <v>0</v>
      </c>
      <c r="DO75">
        <v>0</v>
      </c>
      <c r="DP75">
        <v>10000.76</v>
      </c>
      <c r="DQ75">
        <v>0</v>
      </c>
      <c r="DR75">
        <v>3.20383</v>
      </c>
      <c r="DS75">
        <v>19.274975</v>
      </c>
      <c r="DT75">
        <v>67.357225</v>
      </c>
      <c r="DU75">
        <v>47.2633</v>
      </c>
      <c r="DV75">
        <v>9.4911925</v>
      </c>
      <c r="DW75">
        <v>46.84065</v>
      </c>
      <c r="DX75">
        <v>8.942625</v>
      </c>
      <c r="DY75">
        <v>1.6610625</v>
      </c>
      <c r="DZ75">
        <v>0.80581525</v>
      </c>
      <c r="EA75">
        <v>14.53725</v>
      </c>
      <c r="EB75">
        <v>3.8101575</v>
      </c>
      <c r="EC75">
        <v>1499.995</v>
      </c>
      <c r="ED75">
        <v>0.97299925</v>
      </c>
      <c r="EE75">
        <v>0.027000725</v>
      </c>
      <c r="EF75">
        <v>0</v>
      </c>
      <c r="EG75">
        <v>887.9794999999999</v>
      </c>
      <c r="EH75">
        <v>5.00097</v>
      </c>
      <c r="EI75">
        <v>13186.025</v>
      </c>
      <c r="EJ75">
        <v>12491.55</v>
      </c>
      <c r="EK75">
        <v>37.562</v>
      </c>
      <c r="EL75">
        <v>39.062</v>
      </c>
      <c r="EM75">
        <v>37.937</v>
      </c>
      <c r="EN75">
        <v>38.79649999999999</v>
      </c>
      <c r="EO75">
        <v>38.437</v>
      </c>
      <c r="EP75">
        <v>1454.63</v>
      </c>
      <c r="EQ75">
        <v>40.365</v>
      </c>
      <c r="ER75">
        <v>0</v>
      </c>
      <c r="ES75">
        <v>280.2000000476837</v>
      </c>
      <c r="ET75">
        <v>0</v>
      </c>
      <c r="EU75">
        <v>891.7272307692308</v>
      </c>
      <c r="EV75">
        <v>-40.25682054443831</v>
      </c>
      <c r="EW75">
        <v>-601.20341912606</v>
      </c>
      <c r="EX75">
        <v>13240.93076923077</v>
      </c>
      <c r="EY75">
        <v>15</v>
      </c>
      <c r="EZ75">
        <v>1651857041.1</v>
      </c>
      <c r="FA75" t="s">
        <v>419</v>
      </c>
      <c r="FB75">
        <v>1651857019.6</v>
      </c>
      <c r="FC75">
        <v>1651857041.1</v>
      </c>
      <c r="FD75">
        <v>1</v>
      </c>
      <c r="FE75">
        <v>0.545</v>
      </c>
      <c r="FF75">
        <v>-0.002</v>
      </c>
      <c r="FG75">
        <v>-1.271</v>
      </c>
      <c r="FH75">
        <v>-0.09</v>
      </c>
      <c r="FI75">
        <v>400</v>
      </c>
      <c r="FJ75">
        <v>10</v>
      </c>
      <c r="FK75">
        <v>0.1</v>
      </c>
      <c r="FL75">
        <v>0.02</v>
      </c>
      <c r="FM75">
        <v>15.9261625</v>
      </c>
      <c r="FN75">
        <v>20.77782776735458</v>
      </c>
      <c r="FO75">
        <v>1.999364418595007</v>
      </c>
      <c r="FP75">
        <v>-1</v>
      </c>
      <c r="FQ75">
        <v>9.47458675</v>
      </c>
      <c r="FR75">
        <v>0.1102152720450332</v>
      </c>
      <c r="FS75">
        <v>0.01073783250649302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432</v>
      </c>
      <c r="GB75">
        <v>2.97994</v>
      </c>
      <c r="GC75">
        <v>2.70637</v>
      </c>
      <c r="GD75">
        <v>0.0166417</v>
      </c>
      <c r="GE75">
        <v>0.0111305</v>
      </c>
      <c r="GF75">
        <v>0.0880484</v>
      </c>
      <c r="GG75">
        <v>0.0508201</v>
      </c>
      <c r="GH75">
        <v>31023.5</v>
      </c>
      <c r="GI75">
        <v>31266</v>
      </c>
      <c r="GJ75">
        <v>29338.1</v>
      </c>
      <c r="GK75">
        <v>29251.7</v>
      </c>
      <c r="GL75">
        <v>35429.1</v>
      </c>
      <c r="GM75">
        <v>36975.1</v>
      </c>
      <c r="GN75">
        <v>41297.8</v>
      </c>
      <c r="GO75">
        <v>41745.8</v>
      </c>
      <c r="GP75">
        <v>1.95408</v>
      </c>
      <c r="GQ75">
        <v>1.83288</v>
      </c>
      <c r="GR75">
        <v>-0.0364259</v>
      </c>
      <c r="GS75">
        <v>0</v>
      </c>
      <c r="GT75">
        <v>25.5908</v>
      </c>
      <c r="GU75">
        <v>999.9</v>
      </c>
      <c r="GV75">
        <v>39.1</v>
      </c>
      <c r="GW75">
        <v>33.8</v>
      </c>
      <c r="GX75">
        <v>22.9265</v>
      </c>
      <c r="GY75">
        <v>62.4376</v>
      </c>
      <c r="GZ75">
        <v>35.4968</v>
      </c>
      <c r="HA75">
        <v>1</v>
      </c>
      <c r="HB75">
        <v>0.145711</v>
      </c>
      <c r="HC75">
        <v>2.28696</v>
      </c>
      <c r="HD75">
        <v>20.318</v>
      </c>
      <c r="HE75">
        <v>5.21729</v>
      </c>
      <c r="HF75">
        <v>12.0099</v>
      </c>
      <c r="HG75">
        <v>4.98865</v>
      </c>
      <c r="HH75">
        <v>3.28865</v>
      </c>
      <c r="HI75">
        <v>847.7</v>
      </c>
      <c r="HJ75">
        <v>8434.700000000001</v>
      </c>
      <c r="HK75">
        <v>5139.4</v>
      </c>
      <c r="HL75">
        <v>22.8</v>
      </c>
      <c r="HM75">
        <v>1.86751</v>
      </c>
      <c r="HN75">
        <v>1.86646</v>
      </c>
      <c r="HO75">
        <v>1.866</v>
      </c>
      <c r="HP75">
        <v>1.86594</v>
      </c>
      <c r="HQ75">
        <v>1.86771</v>
      </c>
      <c r="HR75">
        <v>1.87026</v>
      </c>
      <c r="HS75">
        <v>1.8689</v>
      </c>
      <c r="HT75">
        <v>1.87027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-0.628</v>
      </c>
      <c r="II75">
        <v>0.0066</v>
      </c>
      <c r="IJ75">
        <v>-0.4995723906072</v>
      </c>
      <c r="IK75">
        <v>-0.002077099775823331</v>
      </c>
      <c r="IL75">
        <v>4.593143279902166E-07</v>
      </c>
      <c r="IM75">
        <v>-1.865383991892071E-10</v>
      </c>
      <c r="IN75">
        <v>-0.07605349583632376</v>
      </c>
      <c r="IO75">
        <v>-0.01129461987421345</v>
      </c>
      <c r="IP75">
        <v>0.00116580895745559</v>
      </c>
      <c r="IQ75">
        <v>-1.679085872906199E-05</v>
      </c>
      <c r="IR75">
        <v>2</v>
      </c>
      <c r="IS75">
        <v>2290</v>
      </c>
      <c r="IT75">
        <v>0</v>
      </c>
      <c r="IU75">
        <v>32</v>
      </c>
      <c r="IV75">
        <v>4.4</v>
      </c>
      <c r="IW75">
        <v>4</v>
      </c>
      <c r="IX75">
        <v>0.202637</v>
      </c>
      <c r="IY75">
        <v>2.32422</v>
      </c>
      <c r="IZ75">
        <v>1.39648</v>
      </c>
      <c r="JA75">
        <v>2.3584</v>
      </c>
      <c r="JB75">
        <v>1.49536</v>
      </c>
      <c r="JC75">
        <v>2.35107</v>
      </c>
      <c r="JD75">
        <v>38.3301</v>
      </c>
      <c r="JE75">
        <v>24.0437</v>
      </c>
      <c r="JF75">
        <v>18</v>
      </c>
      <c r="JG75">
        <v>514.841</v>
      </c>
      <c r="JH75">
        <v>422.494</v>
      </c>
      <c r="JI75">
        <v>22.5677</v>
      </c>
      <c r="JJ75">
        <v>29.227</v>
      </c>
      <c r="JK75">
        <v>29.9999</v>
      </c>
      <c r="JL75">
        <v>29.1896</v>
      </c>
      <c r="JM75">
        <v>29.1177</v>
      </c>
      <c r="JN75">
        <v>4.06646</v>
      </c>
      <c r="JO75">
        <v>55.4487</v>
      </c>
      <c r="JP75">
        <v>0</v>
      </c>
      <c r="JQ75">
        <v>22.5684</v>
      </c>
      <c r="JR75">
        <v>18.5529</v>
      </c>
      <c r="JS75">
        <v>8.98451</v>
      </c>
      <c r="JT75">
        <v>100.288</v>
      </c>
      <c r="JU75">
        <v>100.198</v>
      </c>
    </row>
    <row r="76" spans="1:281">
      <c r="A76">
        <v>60</v>
      </c>
      <c r="B76">
        <v>1651857283.1</v>
      </c>
      <c r="C76">
        <v>282.5</v>
      </c>
      <c r="D76" t="s">
        <v>547</v>
      </c>
      <c r="E76" t="s">
        <v>548</v>
      </c>
      <c r="F76">
        <v>2</v>
      </c>
      <c r="G76" t="s">
        <v>413</v>
      </c>
      <c r="H76" t="s">
        <v>414</v>
      </c>
      <c r="I76">
        <v>1651857282.1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45.19756854190417</v>
      </c>
      <c r="AK76">
        <v>58.51794181818182</v>
      </c>
      <c r="AL76">
        <v>-3.076262719025411</v>
      </c>
      <c r="AM76">
        <v>66.38384787954378</v>
      </c>
      <c r="AN76">
        <f>(AP76 - AO76 + DI76*1E3/(8.314*(DK76+273.15)) * AR76/DH76 * AQ76) * DH76/(100*CV76) * 1000/(1000 - AP76)</f>
        <v>0</v>
      </c>
      <c r="AO76">
        <v>8.941642351815517</v>
      </c>
      <c r="AP76">
        <v>18.43801147058824</v>
      </c>
      <c r="AQ76">
        <v>4.852130948828337E-05</v>
      </c>
      <c r="AR76">
        <v>80.44866334591464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1238</v>
      </c>
      <c r="CA76">
        <v>300</v>
      </c>
      <c r="CB76">
        <v>300</v>
      </c>
      <c r="CC76">
        <v>300</v>
      </c>
      <c r="CD76">
        <v>10440.5</v>
      </c>
      <c r="CE76">
        <v>1411.69</v>
      </c>
      <c r="CF76">
        <v>-0.00735121</v>
      </c>
      <c r="CG76">
        <v>-0.77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1651857282.1</v>
      </c>
      <c r="DB76">
        <v>58.9452</v>
      </c>
      <c r="DC76">
        <v>38.83716666666667</v>
      </c>
      <c r="DD76">
        <v>18.43726666666667</v>
      </c>
      <c r="DE76">
        <v>8.943986666666666</v>
      </c>
      <c r="DF76">
        <v>59.5669</v>
      </c>
      <c r="DG76">
        <v>18.43056666666667</v>
      </c>
      <c r="DH76">
        <v>500.0653333333333</v>
      </c>
      <c r="DI76">
        <v>90.10806666666667</v>
      </c>
      <c r="DJ76">
        <v>0.1000426666666667</v>
      </c>
      <c r="DK76">
        <v>25.73906666666667</v>
      </c>
      <c r="DL76">
        <v>24.9923</v>
      </c>
      <c r="DM76">
        <v>999.9</v>
      </c>
      <c r="DN76">
        <v>0</v>
      </c>
      <c r="DO76">
        <v>0</v>
      </c>
      <c r="DP76">
        <v>10005.38333333333</v>
      </c>
      <c r="DQ76">
        <v>0</v>
      </c>
      <c r="DR76">
        <v>3.20383</v>
      </c>
      <c r="DS76">
        <v>20.108</v>
      </c>
      <c r="DT76">
        <v>60.0524</v>
      </c>
      <c r="DU76">
        <v>39.18766666666667</v>
      </c>
      <c r="DV76">
        <v>9.493253333333334</v>
      </c>
      <c r="DW76">
        <v>38.83716666666667</v>
      </c>
      <c r="DX76">
        <v>8.943986666666666</v>
      </c>
      <c r="DY76">
        <v>1.661343333333334</v>
      </c>
      <c r="DZ76">
        <v>0.8059250000000001</v>
      </c>
      <c r="EA76">
        <v>14.53986666666667</v>
      </c>
      <c r="EB76">
        <v>3.812093333333333</v>
      </c>
      <c r="EC76">
        <v>1500.056666666667</v>
      </c>
      <c r="ED76">
        <v>0.972997</v>
      </c>
      <c r="EE76">
        <v>0.02700303333333333</v>
      </c>
      <c r="EF76">
        <v>0</v>
      </c>
      <c r="EG76">
        <v>886.8426666666668</v>
      </c>
      <c r="EH76">
        <v>5.00097</v>
      </c>
      <c r="EI76">
        <v>13173.5</v>
      </c>
      <c r="EJ76">
        <v>12492.06666666667</v>
      </c>
      <c r="EK76">
        <v>37.562</v>
      </c>
      <c r="EL76">
        <v>39.062</v>
      </c>
      <c r="EM76">
        <v>37.937</v>
      </c>
      <c r="EN76">
        <v>38.77066666666666</v>
      </c>
      <c r="EO76">
        <v>38.437</v>
      </c>
      <c r="EP76">
        <v>1454.686666666666</v>
      </c>
      <c r="EQ76">
        <v>40.37</v>
      </c>
      <c r="ER76">
        <v>0</v>
      </c>
      <c r="ES76">
        <v>282</v>
      </c>
      <c r="ET76">
        <v>0</v>
      </c>
      <c r="EU76">
        <v>890.3509600000001</v>
      </c>
      <c r="EV76">
        <v>-35.32261543826476</v>
      </c>
      <c r="EW76">
        <v>-523.153846806576</v>
      </c>
      <c r="EX76">
        <v>13220.856</v>
      </c>
      <c r="EY76">
        <v>15</v>
      </c>
      <c r="EZ76">
        <v>1651857041.1</v>
      </c>
      <c r="FA76" t="s">
        <v>419</v>
      </c>
      <c r="FB76">
        <v>1651857019.6</v>
      </c>
      <c r="FC76">
        <v>1651857041.1</v>
      </c>
      <c r="FD76">
        <v>1</v>
      </c>
      <c r="FE76">
        <v>0.545</v>
      </c>
      <c r="FF76">
        <v>-0.002</v>
      </c>
      <c r="FG76">
        <v>-1.271</v>
      </c>
      <c r="FH76">
        <v>-0.09</v>
      </c>
      <c r="FI76">
        <v>400</v>
      </c>
      <c r="FJ76">
        <v>10</v>
      </c>
      <c r="FK76">
        <v>0.1</v>
      </c>
      <c r="FL76">
        <v>0.02</v>
      </c>
      <c r="FM76">
        <v>16.71898048780487</v>
      </c>
      <c r="FN76">
        <v>21.00389477351917</v>
      </c>
      <c r="FO76">
        <v>2.071840636730904</v>
      </c>
      <c r="FP76">
        <v>-1</v>
      </c>
      <c r="FQ76">
        <v>9.478185609756098</v>
      </c>
      <c r="FR76">
        <v>0.1097592334494971</v>
      </c>
      <c r="FS76">
        <v>0.01095358879797048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432</v>
      </c>
      <c r="GB76">
        <v>2.97975</v>
      </c>
      <c r="GC76">
        <v>2.70612</v>
      </c>
      <c r="GD76">
        <v>0.0150412</v>
      </c>
      <c r="GE76">
        <v>0.00935241</v>
      </c>
      <c r="GF76">
        <v>0.08805449999999999</v>
      </c>
      <c r="GG76">
        <v>0.0508231</v>
      </c>
      <c r="GH76">
        <v>31073.9</v>
      </c>
      <c r="GI76">
        <v>31322.2</v>
      </c>
      <c r="GJ76">
        <v>29338</v>
      </c>
      <c r="GK76">
        <v>29251.6</v>
      </c>
      <c r="GL76">
        <v>35428.7</v>
      </c>
      <c r="GM76">
        <v>36975.1</v>
      </c>
      <c r="GN76">
        <v>41297.6</v>
      </c>
      <c r="GO76">
        <v>41745.9</v>
      </c>
      <c r="GP76">
        <v>1.95378</v>
      </c>
      <c r="GQ76">
        <v>1.83307</v>
      </c>
      <c r="GR76">
        <v>-0.0367314</v>
      </c>
      <c r="GS76">
        <v>0</v>
      </c>
      <c r="GT76">
        <v>25.5905</v>
      </c>
      <c r="GU76">
        <v>999.9</v>
      </c>
      <c r="GV76">
        <v>39</v>
      </c>
      <c r="GW76">
        <v>33.8</v>
      </c>
      <c r="GX76">
        <v>22.8692</v>
      </c>
      <c r="GY76">
        <v>62.6876</v>
      </c>
      <c r="GZ76">
        <v>35.3125</v>
      </c>
      <c r="HA76">
        <v>1</v>
      </c>
      <c r="HB76">
        <v>0.145546</v>
      </c>
      <c r="HC76">
        <v>2.29182</v>
      </c>
      <c r="HD76">
        <v>20.318</v>
      </c>
      <c r="HE76">
        <v>5.21714</v>
      </c>
      <c r="HF76">
        <v>12.0099</v>
      </c>
      <c r="HG76">
        <v>4.9881</v>
      </c>
      <c r="HH76">
        <v>3.28865</v>
      </c>
      <c r="HI76">
        <v>847.7</v>
      </c>
      <c r="HJ76">
        <v>8434.700000000001</v>
      </c>
      <c r="HK76">
        <v>5139.4</v>
      </c>
      <c r="HL76">
        <v>22.8</v>
      </c>
      <c r="HM76">
        <v>1.86752</v>
      </c>
      <c r="HN76">
        <v>1.86647</v>
      </c>
      <c r="HO76">
        <v>1.866</v>
      </c>
      <c r="HP76">
        <v>1.86594</v>
      </c>
      <c r="HQ76">
        <v>1.8677</v>
      </c>
      <c r="HR76">
        <v>1.87025</v>
      </c>
      <c r="HS76">
        <v>1.8689</v>
      </c>
      <c r="HT76">
        <v>1.87027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-0.616</v>
      </c>
      <c r="II76">
        <v>0.0067</v>
      </c>
      <c r="IJ76">
        <v>-0.4995723906072</v>
      </c>
      <c r="IK76">
        <v>-0.002077099775823331</v>
      </c>
      <c r="IL76">
        <v>4.593143279902166E-07</v>
      </c>
      <c r="IM76">
        <v>-1.865383991892071E-10</v>
      </c>
      <c r="IN76">
        <v>-0.07605349583632376</v>
      </c>
      <c r="IO76">
        <v>-0.01129461987421345</v>
      </c>
      <c r="IP76">
        <v>0.00116580895745559</v>
      </c>
      <c r="IQ76">
        <v>-1.679085872906199E-05</v>
      </c>
      <c r="IR76">
        <v>2</v>
      </c>
      <c r="IS76">
        <v>2290</v>
      </c>
      <c r="IT76">
        <v>0</v>
      </c>
      <c r="IU76">
        <v>32</v>
      </c>
      <c r="IV76">
        <v>4.4</v>
      </c>
      <c r="IW76">
        <v>4</v>
      </c>
      <c r="IX76">
        <v>0.187988</v>
      </c>
      <c r="IY76">
        <v>2.33765</v>
      </c>
      <c r="IZ76">
        <v>1.39648</v>
      </c>
      <c r="JA76">
        <v>2.35962</v>
      </c>
      <c r="JB76">
        <v>1.49536</v>
      </c>
      <c r="JC76">
        <v>2.28027</v>
      </c>
      <c r="JD76">
        <v>38.3301</v>
      </c>
      <c r="JE76">
        <v>24.035</v>
      </c>
      <c r="JF76">
        <v>18</v>
      </c>
      <c r="JG76">
        <v>514.635</v>
      </c>
      <c r="JH76">
        <v>422.605</v>
      </c>
      <c r="JI76">
        <v>22.5691</v>
      </c>
      <c r="JJ76">
        <v>29.2258</v>
      </c>
      <c r="JK76">
        <v>29.9999</v>
      </c>
      <c r="JL76">
        <v>29.1885</v>
      </c>
      <c r="JM76">
        <v>29.1165</v>
      </c>
      <c r="JN76">
        <v>3.7807</v>
      </c>
      <c r="JO76">
        <v>55.4487</v>
      </c>
      <c r="JP76">
        <v>0</v>
      </c>
      <c r="JQ76">
        <v>22.5725</v>
      </c>
      <c r="JR76">
        <v>11.8743</v>
      </c>
      <c r="JS76">
        <v>8.97761</v>
      </c>
      <c r="JT76">
        <v>100.288</v>
      </c>
      <c r="JU76">
        <v>100.198</v>
      </c>
    </row>
    <row r="77" spans="1:281">
      <c r="A77">
        <v>61</v>
      </c>
      <c r="B77">
        <v>1651857407.1</v>
      </c>
      <c r="C77">
        <v>406.5</v>
      </c>
      <c r="D77" t="s">
        <v>549</v>
      </c>
      <c r="E77" t="s">
        <v>550</v>
      </c>
      <c r="F77">
        <v>2</v>
      </c>
      <c r="G77" t="s">
        <v>413</v>
      </c>
      <c r="H77" t="s">
        <v>414</v>
      </c>
      <c r="I77">
        <v>1651857405.6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403.6334738185466</v>
      </c>
      <c r="AK77">
        <v>376.5389999999999</v>
      </c>
      <c r="AL77">
        <v>0.0005542204576279476</v>
      </c>
      <c r="AM77">
        <v>66.38384787954378</v>
      </c>
      <c r="AN77">
        <f>(AP77 - AO77 + DI77*1E3/(8.314*(DK77+273.15)) * AR77/DH77 * AQ77) * DH77/(100*CV77) * 1000/(1000 - AP77)</f>
        <v>0</v>
      </c>
      <c r="AO77">
        <v>8.798432953288787</v>
      </c>
      <c r="AP77">
        <v>18.48633676470589</v>
      </c>
      <c r="AQ77">
        <v>7.642257182649541E-05</v>
      </c>
      <c r="AR77">
        <v>80.44866334591464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1238</v>
      </c>
      <c r="CA77">
        <v>300</v>
      </c>
      <c r="CB77">
        <v>300</v>
      </c>
      <c r="CC77">
        <v>300</v>
      </c>
      <c r="CD77">
        <v>10440.5</v>
      </c>
      <c r="CE77">
        <v>1411.69</v>
      </c>
      <c r="CF77">
        <v>-0.00735121</v>
      </c>
      <c r="CG77">
        <v>-0.77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1651857405.6</v>
      </c>
      <c r="DB77">
        <v>369.5656</v>
      </c>
      <c r="DC77">
        <v>400.0702</v>
      </c>
      <c r="DD77">
        <v>18.48564</v>
      </c>
      <c r="DE77">
        <v>8.797936</v>
      </c>
      <c r="DF77">
        <v>370.7818</v>
      </c>
      <c r="DG77">
        <v>18.47828</v>
      </c>
      <c r="DH77">
        <v>499.9911999999999</v>
      </c>
      <c r="DI77">
        <v>90.08965999999999</v>
      </c>
      <c r="DJ77">
        <v>0.09972478</v>
      </c>
      <c r="DK77">
        <v>25.75106</v>
      </c>
      <c r="DL77">
        <v>24.98904</v>
      </c>
      <c r="DM77">
        <v>999.9</v>
      </c>
      <c r="DN77">
        <v>0</v>
      </c>
      <c r="DO77">
        <v>0</v>
      </c>
      <c r="DP77">
        <v>10001.244</v>
      </c>
      <c r="DQ77">
        <v>0</v>
      </c>
      <c r="DR77">
        <v>3.208046</v>
      </c>
      <c r="DS77">
        <v>-30.50428</v>
      </c>
      <c r="DT77">
        <v>376.5262</v>
      </c>
      <c r="DU77">
        <v>403.6212</v>
      </c>
      <c r="DV77">
        <v>9.687704</v>
      </c>
      <c r="DW77">
        <v>400.0702</v>
      </c>
      <c r="DX77">
        <v>8.797936</v>
      </c>
      <c r="DY77">
        <v>1.665364</v>
      </c>
      <c r="DZ77">
        <v>0.7926027999999999</v>
      </c>
      <c r="EA77">
        <v>14.57728</v>
      </c>
      <c r="EB77">
        <v>3.575512000000001</v>
      </c>
      <c r="EC77">
        <v>1500.018</v>
      </c>
      <c r="ED77">
        <v>0.973006</v>
      </c>
      <c r="EE77">
        <v>0.02699418</v>
      </c>
      <c r="EF77">
        <v>0</v>
      </c>
      <c r="EG77">
        <v>1030.576</v>
      </c>
      <c r="EH77">
        <v>5.00097</v>
      </c>
      <c r="EI77">
        <v>15298.52</v>
      </c>
      <c r="EJ77">
        <v>12491.78</v>
      </c>
      <c r="EK77">
        <v>37.562</v>
      </c>
      <c r="EL77">
        <v>39.02480000000001</v>
      </c>
      <c r="EM77">
        <v>37.937</v>
      </c>
      <c r="EN77">
        <v>38.75</v>
      </c>
      <c r="EO77">
        <v>38.3874</v>
      </c>
      <c r="EP77">
        <v>1454.658</v>
      </c>
      <c r="EQ77">
        <v>40.36</v>
      </c>
      <c r="ER77">
        <v>0</v>
      </c>
      <c r="ES77">
        <v>406.2000000476837</v>
      </c>
      <c r="ET77">
        <v>0</v>
      </c>
      <c r="EU77">
        <v>1031.059230769231</v>
      </c>
      <c r="EV77">
        <v>-6.060854710726051</v>
      </c>
      <c r="EW77">
        <v>-87.85299143657925</v>
      </c>
      <c r="EX77">
        <v>15307.18846153846</v>
      </c>
      <c r="EY77">
        <v>15</v>
      </c>
      <c r="EZ77">
        <v>1651857041.1</v>
      </c>
      <c r="FA77" t="s">
        <v>419</v>
      </c>
      <c r="FB77">
        <v>1651857019.6</v>
      </c>
      <c r="FC77">
        <v>1651857041.1</v>
      </c>
      <c r="FD77">
        <v>1</v>
      </c>
      <c r="FE77">
        <v>0.545</v>
      </c>
      <c r="FF77">
        <v>-0.002</v>
      </c>
      <c r="FG77">
        <v>-1.271</v>
      </c>
      <c r="FH77">
        <v>-0.09</v>
      </c>
      <c r="FI77">
        <v>400</v>
      </c>
      <c r="FJ77">
        <v>10</v>
      </c>
      <c r="FK77">
        <v>0.1</v>
      </c>
      <c r="FL77">
        <v>0.02</v>
      </c>
      <c r="FM77">
        <v>-30.54293902439024</v>
      </c>
      <c r="FN77">
        <v>0.2197567944250845</v>
      </c>
      <c r="FO77">
        <v>0.03154053433861365</v>
      </c>
      <c r="FP77">
        <v>-1</v>
      </c>
      <c r="FQ77">
        <v>9.676491219512194</v>
      </c>
      <c r="FR77">
        <v>0.07424780487805251</v>
      </c>
      <c r="FS77">
        <v>0.00755947126655457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432</v>
      </c>
      <c r="GB77">
        <v>2.97981</v>
      </c>
      <c r="GC77">
        <v>2.70593</v>
      </c>
      <c r="GD77">
        <v>0.0848636</v>
      </c>
      <c r="GE77">
        <v>0.08908000000000001</v>
      </c>
      <c r="GF77">
        <v>0.08820890000000001</v>
      </c>
      <c r="GG77">
        <v>0.0501715</v>
      </c>
      <c r="GH77">
        <v>28873.2</v>
      </c>
      <c r="GI77">
        <v>28802.9</v>
      </c>
      <c r="GJ77">
        <v>29339.7</v>
      </c>
      <c r="GK77">
        <v>29252.9</v>
      </c>
      <c r="GL77">
        <v>35425.7</v>
      </c>
      <c r="GM77">
        <v>37004.4</v>
      </c>
      <c r="GN77">
        <v>41300</v>
      </c>
      <c r="GO77">
        <v>41748.5</v>
      </c>
      <c r="GP77">
        <v>1.95427</v>
      </c>
      <c r="GQ77">
        <v>1.83368</v>
      </c>
      <c r="GR77">
        <v>-0.0365637</v>
      </c>
      <c r="GS77">
        <v>0</v>
      </c>
      <c r="GT77">
        <v>25.591</v>
      </c>
      <c r="GU77">
        <v>999.9</v>
      </c>
      <c r="GV77">
        <v>38.8</v>
      </c>
      <c r="GW77">
        <v>33.8</v>
      </c>
      <c r="GX77">
        <v>22.7563</v>
      </c>
      <c r="GY77">
        <v>62.5576</v>
      </c>
      <c r="GZ77">
        <v>35.2564</v>
      </c>
      <c r="HA77">
        <v>1</v>
      </c>
      <c r="HB77">
        <v>0.140856</v>
      </c>
      <c r="HC77">
        <v>2.16473</v>
      </c>
      <c r="HD77">
        <v>20.32</v>
      </c>
      <c r="HE77">
        <v>5.22163</v>
      </c>
      <c r="HF77">
        <v>12.0099</v>
      </c>
      <c r="HG77">
        <v>4.9898</v>
      </c>
      <c r="HH77">
        <v>3.28923</v>
      </c>
      <c r="HI77">
        <v>850.3</v>
      </c>
      <c r="HJ77">
        <v>8461.4</v>
      </c>
      <c r="HK77">
        <v>5139.4</v>
      </c>
      <c r="HL77">
        <v>22.8</v>
      </c>
      <c r="HM77">
        <v>1.86752</v>
      </c>
      <c r="HN77">
        <v>1.86647</v>
      </c>
      <c r="HO77">
        <v>1.866</v>
      </c>
      <c r="HP77">
        <v>1.86588</v>
      </c>
      <c r="HQ77">
        <v>1.86771</v>
      </c>
      <c r="HR77">
        <v>1.87022</v>
      </c>
      <c r="HS77">
        <v>1.8689</v>
      </c>
      <c r="HT77">
        <v>1.87027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-1.216</v>
      </c>
      <c r="II77">
        <v>0.0074</v>
      </c>
      <c r="IJ77">
        <v>-0.4995723906072</v>
      </c>
      <c r="IK77">
        <v>-0.002077099775823331</v>
      </c>
      <c r="IL77">
        <v>4.593143279902166E-07</v>
      </c>
      <c r="IM77">
        <v>-1.865383991892071E-10</v>
      </c>
      <c r="IN77">
        <v>-0.07605349583632376</v>
      </c>
      <c r="IO77">
        <v>-0.01129461987421345</v>
      </c>
      <c r="IP77">
        <v>0.00116580895745559</v>
      </c>
      <c r="IQ77">
        <v>-1.679085872906199E-05</v>
      </c>
      <c r="IR77">
        <v>2</v>
      </c>
      <c r="IS77">
        <v>2290</v>
      </c>
      <c r="IT77">
        <v>0</v>
      </c>
      <c r="IU77">
        <v>32</v>
      </c>
      <c r="IV77">
        <v>6.5</v>
      </c>
      <c r="IW77">
        <v>6.1</v>
      </c>
      <c r="IX77">
        <v>0.994873</v>
      </c>
      <c r="IY77">
        <v>2.24121</v>
      </c>
      <c r="IZ77">
        <v>1.39648</v>
      </c>
      <c r="JA77">
        <v>2.3584</v>
      </c>
      <c r="JB77">
        <v>1.49536</v>
      </c>
      <c r="JC77">
        <v>2.36328</v>
      </c>
      <c r="JD77">
        <v>38.379</v>
      </c>
      <c r="JE77">
        <v>24.0437</v>
      </c>
      <c r="JF77">
        <v>18</v>
      </c>
      <c r="JG77">
        <v>514.628</v>
      </c>
      <c r="JH77">
        <v>422.727</v>
      </c>
      <c r="JI77">
        <v>22.637</v>
      </c>
      <c r="JJ77">
        <v>29.1581</v>
      </c>
      <c r="JK77">
        <v>29.9999</v>
      </c>
      <c r="JL77">
        <v>29.1486</v>
      </c>
      <c r="JM77">
        <v>29.0835</v>
      </c>
      <c r="JN77">
        <v>19.9306</v>
      </c>
      <c r="JO77">
        <v>56.0349</v>
      </c>
      <c r="JP77">
        <v>0</v>
      </c>
      <c r="JQ77">
        <v>22.6411</v>
      </c>
      <c r="JR77">
        <v>406.754</v>
      </c>
      <c r="JS77">
        <v>8.69942</v>
      </c>
      <c r="JT77">
        <v>100.294</v>
      </c>
      <c r="JU77">
        <v>100.204</v>
      </c>
    </row>
    <row r="78" spans="1:281">
      <c r="A78">
        <v>62</v>
      </c>
      <c r="B78">
        <v>1651857409.1</v>
      </c>
      <c r="C78">
        <v>408.5</v>
      </c>
      <c r="D78" t="s">
        <v>551</v>
      </c>
      <c r="E78" t="s">
        <v>552</v>
      </c>
      <c r="F78">
        <v>2</v>
      </c>
      <c r="G78" t="s">
        <v>413</v>
      </c>
      <c r="H78" t="s">
        <v>414</v>
      </c>
      <c r="I78">
        <v>1651857408.1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403.6090848747514</v>
      </c>
      <c r="AK78">
        <v>376.6007696969696</v>
      </c>
      <c r="AL78">
        <v>0.02396121650406869</v>
      </c>
      <c r="AM78">
        <v>66.38384787954378</v>
      </c>
      <c r="AN78">
        <f>(AP78 - AO78 + DI78*1E3/(8.314*(DK78+273.15)) * AR78/DH78 * AQ78) * DH78/(100*CV78) * 1000/(1000 - AP78)</f>
        <v>0</v>
      </c>
      <c r="AO78">
        <v>8.798129075183535</v>
      </c>
      <c r="AP78">
        <v>18.48566176470588</v>
      </c>
      <c r="AQ78">
        <v>8.914464823445444E-05</v>
      </c>
      <c r="AR78">
        <v>80.44866334591464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1238</v>
      </c>
      <c r="CA78">
        <v>300</v>
      </c>
      <c r="CB78">
        <v>300</v>
      </c>
      <c r="CC78">
        <v>300</v>
      </c>
      <c r="CD78">
        <v>10440.5</v>
      </c>
      <c r="CE78">
        <v>1411.69</v>
      </c>
      <c r="CF78">
        <v>-0.00735121</v>
      </c>
      <c r="CG78">
        <v>-0.77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1651857408.1</v>
      </c>
      <c r="DB78">
        <v>369.626</v>
      </c>
      <c r="DC78">
        <v>400.0629999999999</v>
      </c>
      <c r="DD78">
        <v>18.4864</v>
      </c>
      <c r="DE78">
        <v>8.797076666666667</v>
      </c>
      <c r="DF78">
        <v>370.842</v>
      </c>
      <c r="DG78">
        <v>18.47903333333333</v>
      </c>
      <c r="DH78">
        <v>499.945</v>
      </c>
      <c r="DI78">
        <v>90.09006666666666</v>
      </c>
      <c r="DJ78">
        <v>0.09990213333333332</v>
      </c>
      <c r="DK78">
        <v>25.7515</v>
      </c>
      <c r="DL78">
        <v>24.99293333333333</v>
      </c>
      <c r="DM78">
        <v>999.9</v>
      </c>
      <c r="DN78">
        <v>0</v>
      </c>
      <c r="DO78">
        <v>0</v>
      </c>
      <c r="DP78">
        <v>9965</v>
      </c>
      <c r="DQ78">
        <v>0</v>
      </c>
      <c r="DR78">
        <v>3.21788</v>
      </c>
      <c r="DS78">
        <v>-30.43696666666667</v>
      </c>
      <c r="DT78">
        <v>376.5876666666666</v>
      </c>
      <c r="DU78">
        <v>403.6136666666666</v>
      </c>
      <c r="DV78">
        <v>9.68932</v>
      </c>
      <c r="DW78">
        <v>400.0629999999999</v>
      </c>
      <c r="DX78">
        <v>8.797076666666667</v>
      </c>
      <c r="DY78">
        <v>1.665443333333333</v>
      </c>
      <c r="DZ78">
        <v>0.7925293333333333</v>
      </c>
      <c r="EA78">
        <v>14.578</v>
      </c>
      <c r="EB78">
        <v>3.574193333333334</v>
      </c>
      <c r="EC78">
        <v>1499.983333333333</v>
      </c>
      <c r="ED78">
        <v>0.9730053333333334</v>
      </c>
      <c r="EE78">
        <v>0.0269949</v>
      </c>
      <c r="EF78">
        <v>0</v>
      </c>
      <c r="EG78">
        <v>1030.086666666667</v>
      </c>
      <c r="EH78">
        <v>5.00097</v>
      </c>
      <c r="EI78">
        <v>15293.73333333333</v>
      </c>
      <c r="EJ78">
        <v>12491.5</v>
      </c>
      <c r="EK78">
        <v>37.5</v>
      </c>
      <c r="EL78">
        <v>39</v>
      </c>
      <c r="EM78">
        <v>37.937</v>
      </c>
      <c r="EN78">
        <v>38.75</v>
      </c>
      <c r="EO78">
        <v>38.375</v>
      </c>
      <c r="EP78">
        <v>1454.623333333334</v>
      </c>
      <c r="EQ78">
        <v>40.36</v>
      </c>
      <c r="ER78">
        <v>0</v>
      </c>
      <c r="ES78">
        <v>408</v>
      </c>
      <c r="ET78">
        <v>0</v>
      </c>
      <c r="EU78">
        <v>1030.8376</v>
      </c>
      <c r="EV78">
        <v>-7.091538479180343</v>
      </c>
      <c r="EW78">
        <v>-96.4769232428157</v>
      </c>
      <c r="EX78">
        <v>15304.104</v>
      </c>
      <c r="EY78">
        <v>15</v>
      </c>
      <c r="EZ78">
        <v>1651857041.1</v>
      </c>
      <c r="FA78" t="s">
        <v>419</v>
      </c>
      <c r="FB78">
        <v>1651857019.6</v>
      </c>
      <c r="FC78">
        <v>1651857041.1</v>
      </c>
      <c r="FD78">
        <v>1</v>
      </c>
      <c r="FE78">
        <v>0.545</v>
      </c>
      <c r="FF78">
        <v>-0.002</v>
      </c>
      <c r="FG78">
        <v>-1.271</v>
      </c>
      <c r="FH78">
        <v>-0.09</v>
      </c>
      <c r="FI78">
        <v>400</v>
      </c>
      <c r="FJ78">
        <v>10</v>
      </c>
      <c r="FK78">
        <v>0.1</v>
      </c>
      <c r="FL78">
        <v>0.02</v>
      </c>
      <c r="FM78">
        <v>-30.53878536585366</v>
      </c>
      <c r="FN78">
        <v>0.3174710801393523</v>
      </c>
      <c r="FO78">
        <v>0.03835329070357577</v>
      </c>
      <c r="FP78">
        <v>-1</v>
      </c>
      <c r="FQ78">
        <v>9.677758536585365</v>
      </c>
      <c r="FR78">
        <v>0.07124195121951038</v>
      </c>
      <c r="FS78">
        <v>0.007259056097000074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432</v>
      </c>
      <c r="GB78">
        <v>2.97974</v>
      </c>
      <c r="GC78">
        <v>2.7059</v>
      </c>
      <c r="GD78">
        <v>0.0848696</v>
      </c>
      <c r="GE78">
        <v>0.0890876</v>
      </c>
      <c r="GF78">
        <v>0.0882124</v>
      </c>
      <c r="GG78">
        <v>0.0501692</v>
      </c>
      <c r="GH78">
        <v>28873.3</v>
      </c>
      <c r="GI78">
        <v>28802.8</v>
      </c>
      <c r="GJ78">
        <v>29339.9</v>
      </c>
      <c r="GK78">
        <v>29253</v>
      </c>
      <c r="GL78">
        <v>35425.8</v>
      </c>
      <c r="GM78">
        <v>37004.4</v>
      </c>
      <c r="GN78">
        <v>41300.2</v>
      </c>
      <c r="GO78">
        <v>41748.4</v>
      </c>
      <c r="GP78">
        <v>1.95452</v>
      </c>
      <c r="GQ78">
        <v>1.8337</v>
      </c>
      <c r="GR78">
        <v>-0.0365786</v>
      </c>
      <c r="GS78">
        <v>0</v>
      </c>
      <c r="GT78">
        <v>25.5908</v>
      </c>
      <c r="GU78">
        <v>999.9</v>
      </c>
      <c r="GV78">
        <v>38.8</v>
      </c>
      <c r="GW78">
        <v>33.8</v>
      </c>
      <c r="GX78">
        <v>22.7591</v>
      </c>
      <c r="GY78">
        <v>62.6876</v>
      </c>
      <c r="GZ78">
        <v>35.5849</v>
      </c>
      <c r="HA78">
        <v>1</v>
      </c>
      <c r="HB78">
        <v>0.140846</v>
      </c>
      <c r="HC78">
        <v>2.17495</v>
      </c>
      <c r="HD78">
        <v>20.3193</v>
      </c>
      <c r="HE78">
        <v>5.21729</v>
      </c>
      <c r="HF78">
        <v>12.0099</v>
      </c>
      <c r="HG78">
        <v>4.98855</v>
      </c>
      <c r="HH78">
        <v>3.28855</v>
      </c>
      <c r="HI78">
        <v>850.3</v>
      </c>
      <c r="HJ78">
        <v>8461.4</v>
      </c>
      <c r="HK78">
        <v>5139.4</v>
      </c>
      <c r="HL78">
        <v>22.8</v>
      </c>
      <c r="HM78">
        <v>1.86752</v>
      </c>
      <c r="HN78">
        <v>1.86647</v>
      </c>
      <c r="HO78">
        <v>1.866</v>
      </c>
      <c r="HP78">
        <v>1.86586</v>
      </c>
      <c r="HQ78">
        <v>1.86771</v>
      </c>
      <c r="HR78">
        <v>1.87022</v>
      </c>
      <c r="HS78">
        <v>1.8689</v>
      </c>
      <c r="HT78">
        <v>1.87026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-1.216</v>
      </c>
      <c r="II78">
        <v>0.0074</v>
      </c>
      <c r="IJ78">
        <v>-0.4995723906072</v>
      </c>
      <c r="IK78">
        <v>-0.002077099775823331</v>
      </c>
      <c r="IL78">
        <v>4.593143279902166E-07</v>
      </c>
      <c r="IM78">
        <v>-1.865383991892071E-10</v>
      </c>
      <c r="IN78">
        <v>-0.07605349583632376</v>
      </c>
      <c r="IO78">
        <v>-0.01129461987421345</v>
      </c>
      <c r="IP78">
        <v>0.00116580895745559</v>
      </c>
      <c r="IQ78">
        <v>-1.679085872906199E-05</v>
      </c>
      <c r="IR78">
        <v>2</v>
      </c>
      <c r="IS78">
        <v>2290</v>
      </c>
      <c r="IT78">
        <v>0</v>
      </c>
      <c r="IU78">
        <v>32</v>
      </c>
      <c r="IV78">
        <v>6.5</v>
      </c>
      <c r="IW78">
        <v>6.1</v>
      </c>
      <c r="IX78">
        <v>1.00342</v>
      </c>
      <c r="IY78">
        <v>2.24976</v>
      </c>
      <c r="IZ78">
        <v>1.39648</v>
      </c>
      <c r="JA78">
        <v>2.3584</v>
      </c>
      <c r="JB78">
        <v>1.49536</v>
      </c>
      <c r="JC78">
        <v>2.29004</v>
      </c>
      <c r="JD78">
        <v>38.379</v>
      </c>
      <c r="JE78">
        <v>24.035</v>
      </c>
      <c r="JF78">
        <v>18</v>
      </c>
      <c r="JG78">
        <v>514.782</v>
      </c>
      <c r="JH78">
        <v>422.742</v>
      </c>
      <c r="JI78">
        <v>22.6416</v>
      </c>
      <c r="JJ78">
        <v>29.1568</v>
      </c>
      <c r="JK78">
        <v>29.9999</v>
      </c>
      <c r="JL78">
        <v>29.1474</v>
      </c>
      <c r="JM78">
        <v>29.0835</v>
      </c>
      <c r="JN78">
        <v>20.0894</v>
      </c>
      <c r="JO78">
        <v>56.3171</v>
      </c>
      <c r="JP78">
        <v>0</v>
      </c>
      <c r="JQ78">
        <v>22.6482</v>
      </c>
      <c r="JR78">
        <v>413.45</v>
      </c>
      <c r="JS78">
        <v>8.695499999999999</v>
      </c>
      <c r="JT78">
        <v>100.294</v>
      </c>
      <c r="JU78">
        <v>100.204</v>
      </c>
    </row>
    <row r="79" spans="1:281">
      <c r="A79">
        <v>63</v>
      </c>
      <c r="B79">
        <v>1651857411.1</v>
      </c>
      <c r="C79">
        <v>410.5</v>
      </c>
      <c r="D79" t="s">
        <v>553</v>
      </c>
      <c r="E79" t="s">
        <v>554</v>
      </c>
      <c r="F79">
        <v>2</v>
      </c>
      <c r="G79" t="s">
        <v>413</v>
      </c>
      <c r="H79" t="s">
        <v>414</v>
      </c>
      <c r="I79">
        <v>1651857409.725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403.5721546291973</v>
      </c>
      <c r="AK79">
        <v>376.5657818181817</v>
      </c>
      <c r="AL79">
        <v>0.0001387087480490506</v>
      </c>
      <c r="AM79">
        <v>66.38384787954378</v>
      </c>
      <c r="AN79">
        <f>(AP79 - AO79 + DI79*1E3/(8.314*(DK79+273.15)) * AR79/DH79 * AQ79) * DH79/(100*CV79) * 1000/(1000 - AP79)</f>
        <v>0</v>
      </c>
      <c r="AO79">
        <v>8.798276510069364</v>
      </c>
      <c r="AP79">
        <v>18.48743882352941</v>
      </c>
      <c r="AQ79">
        <v>9.762050754759869E-06</v>
      </c>
      <c r="AR79">
        <v>80.44866334591464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1238</v>
      </c>
      <c r="CA79">
        <v>300</v>
      </c>
      <c r="CB79">
        <v>300</v>
      </c>
      <c r="CC79">
        <v>300</v>
      </c>
      <c r="CD79">
        <v>10440.5</v>
      </c>
      <c r="CE79">
        <v>1411.69</v>
      </c>
      <c r="CF79">
        <v>-0.00735121</v>
      </c>
      <c r="CG79">
        <v>-0.77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1651857409.725</v>
      </c>
      <c r="DB79">
        <v>369.61875</v>
      </c>
      <c r="DC79">
        <v>400.3755</v>
      </c>
      <c r="DD79">
        <v>18.48705</v>
      </c>
      <c r="DE79">
        <v>8.793015</v>
      </c>
      <c r="DF79">
        <v>370.83525</v>
      </c>
      <c r="DG79">
        <v>18.479675</v>
      </c>
      <c r="DH79">
        <v>500.012</v>
      </c>
      <c r="DI79">
        <v>90.08940000000001</v>
      </c>
      <c r="DJ79">
        <v>0.10002275</v>
      </c>
      <c r="DK79">
        <v>25.748925</v>
      </c>
      <c r="DL79">
        <v>24.989425</v>
      </c>
      <c r="DM79">
        <v>999.9</v>
      </c>
      <c r="DN79">
        <v>0</v>
      </c>
      <c r="DO79">
        <v>0</v>
      </c>
      <c r="DP79">
        <v>9972.1875</v>
      </c>
      <c r="DQ79">
        <v>0</v>
      </c>
      <c r="DR79">
        <v>3.2126125</v>
      </c>
      <c r="DS79">
        <v>-30.756575</v>
      </c>
      <c r="DT79">
        <v>376.58075</v>
      </c>
      <c r="DU79">
        <v>403.92725</v>
      </c>
      <c r="DV79">
        <v>9.6940475</v>
      </c>
      <c r="DW79">
        <v>400.3755</v>
      </c>
      <c r="DX79">
        <v>8.793015</v>
      </c>
      <c r="DY79">
        <v>1.66549</v>
      </c>
      <c r="DZ79">
        <v>0.7921575000000001</v>
      </c>
      <c r="EA79">
        <v>14.57845</v>
      </c>
      <c r="EB79">
        <v>3.5675375</v>
      </c>
      <c r="EC79">
        <v>1500.005</v>
      </c>
      <c r="ED79">
        <v>0.97300575</v>
      </c>
      <c r="EE79">
        <v>0.02699445</v>
      </c>
      <c r="EF79">
        <v>0</v>
      </c>
      <c r="EG79">
        <v>1030.175</v>
      </c>
      <c r="EH79">
        <v>5.00097</v>
      </c>
      <c r="EI79">
        <v>15290.5</v>
      </c>
      <c r="EJ79">
        <v>12491.65</v>
      </c>
      <c r="EK79">
        <v>37.54649999999999</v>
      </c>
      <c r="EL79">
        <v>39</v>
      </c>
      <c r="EM79">
        <v>37.937</v>
      </c>
      <c r="EN79">
        <v>38.75</v>
      </c>
      <c r="EO79">
        <v>38.375</v>
      </c>
      <c r="EP79">
        <v>1454.645</v>
      </c>
      <c r="EQ79">
        <v>40.36</v>
      </c>
      <c r="ER79">
        <v>0</v>
      </c>
      <c r="ES79">
        <v>410.4000000953674</v>
      </c>
      <c r="ET79">
        <v>0</v>
      </c>
      <c r="EU79">
        <v>1030.5972</v>
      </c>
      <c r="EV79">
        <v>-6.326923079166395</v>
      </c>
      <c r="EW79">
        <v>-101.6384614381376</v>
      </c>
      <c r="EX79">
        <v>15300.12</v>
      </c>
      <c r="EY79">
        <v>15</v>
      </c>
      <c r="EZ79">
        <v>1651857041.1</v>
      </c>
      <c r="FA79" t="s">
        <v>419</v>
      </c>
      <c r="FB79">
        <v>1651857019.6</v>
      </c>
      <c r="FC79">
        <v>1651857041.1</v>
      </c>
      <c r="FD79">
        <v>1</v>
      </c>
      <c r="FE79">
        <v>0.545</v>
      </c>
      <c r="FF79">
        <v>-0.002</v>
      </c>
      <c r="FG79">
        <v>-1.271</v>
      </c>
      <c r="FH79">
        <v>-0.09</v>
      </c>
      <c r="FI79">
        <v>400</v>
      </c>
      <c r="FJ79">
        <v>10</v>
      </c>
      <c r="FK79">
        <v>0.1</v>
      </c>
      <c r="FL79">
        <v>0.02</v>
      </c>
      <c r="FM79">
        <v>-30.55317804878049</v>
      </c>
      <c r="FN79">
        <v>-0.04523205574911277</v>
      </c>
      <c r="FO79">
        <v>0.1162876092054923</v>
      </c>
      <c r="FP79">
        <v>-1</v>
      </c>
      <c r="FQ79">
        <v>9.681565609756097</v>
      </c>
      <c r="FR79">
        <v>0.07115351916377562</v>
      </c>
      <c r="FS79">
        <v>0.007343302257352091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432</v>
      </c>
      <c r="GB79">
        <v>2.9798</v>
      </c>
      <c r="GC79">
        <v>2.70605</v>
      </c>
      <c r="GD79">
        <v>0.0848686</v>
      </c>
      <c r="GE79">
        <v>0.0892752</v>
      </c>
      <c r="GF79">
        <v>0.0882151</v>
      </c>
      <c r="GG79">
        <v>0.0501036</v>
      </c>
      <c r="GH79">
        <v>28873</v>
      </c>
      <c r="GI79">
        <v>28796.8</v>
      </c>
      <c r="GJ79">
        <v>29339.7</v>
      </c>
      <c r="GK79">
        <v>29253</v>
      </c>
      <c r="GL79">
        <v>35425.3</v>
      </c>
      <c r="GM79">
        <v>37006.9</v>
      </c>
      <c r="GN79">
        <v>41299.8</v>
      </c>
      <c r="GO79">
        <v>41748.3</v>
      </c>
      <c r="GP79">
        <v>1.95487</v>
      </c>
      <c r="GQ79">
        <v>1.83375</v>
      </c>
      <c r="GR79">
        <v>-0.0369251</v>
      </c>
      <c r="GS79">
        <v>0</v>
      </c>
      <c r="GT79">
        <v>25.5905</v>
      </c>
      <c r="GU79">
        <v>999.9</v>
      </c>
      <c r="GV79">
        <v>38.8</v>
      </c>
      <c r="GW79">
        <v>33.8</v>
      </c>
      <c r="GX79">
        <v>22.7575</v>
      </c>
      <c r="GY79">
        <v>62.5776</v>
      </c>
      <c r="GZ79">
        <v>35.2684</v>
      </c>
      <c r="HA79">
        <v>1</v>
      </c>
      <c r="HB79">
        <v>0.140805</v>
      </c>
      <c r="HC79">
        <v>2.1709</v>
      </c>
      <c r="HD79">
        <v>20.3191</v>
      </c>
      <c r="HE79">
        <v>5.21744</v>
      </c>
      <c r="HF79">
        <v>12.0099</v>
      </c>
      <c r="HG79">
        <v>4.98865</v>
      </c>
      <c r="HH79">
        <v>3.28855</v>
      </c>
      <c r="HI79">
        <v>850.3</v>
      </c>
      <c r="HJ79">
        <v>8461.4</v>
      </c>
      <c r="HK79">
        <v>5139.4</v>
      </c>
      <c r="HL79">
        <v>22.8</v>
      </c>
      <c r="HM79">
        <v>1.86752</v>
      </c>
      <c r="HN79">
        <v>1.86648</v>
      </c>
      <c r="HO79">
        <v>1.866</v>
      </c>
      <c r="HP79">
        <v>1.86585</v>
      </c>
      <c r="HQ79">
        <v>1.8677</v>
      </c>
      <c r="HR79">
        <v>1.87024</v>
      </c>
      <c r="HS79">
        <v>1.8689</v>
      </c>
      <c r="HT79">
        <v>1.87026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-1.216</v>
      </c>
      <c r="II79">
        <v>0.0074</v>
      </c>
      <c r="IJ79">
        <v>-0.4995723906072</v>
      </c>
      <c r="IK79">
        <v>-0.002077099775823331</v>
      </c>
      <c r="IL79">
        <v>4.593143279902166E-07</v>
      </c>
      <c r="IM79">
        <v>-1.865383991892071E-10</v>
      </c>
      <c r="IN79">
        <v>-0.07605349583632376</v>
      </c>
      <c r="IO79">
        <v>-0.01129461987421345</v>
      </c>
      <c r="IP79">
        <v>0.00116580895745559</v>
      </c>
      <c r="IQ79">
        <v>-1.679085872906199E-05</v>
      </c>
      <c r="IR79">
        <v>2</v>
      </c>
      <c r="IS79">
        <v>2290</v>
      </c>
      <c r="IT79">
        <v>0</v>
      </c>
      <c r="IU79">
        <v>32</v>
      </c>
      <c r="IV79">
        <v>6.5</v>
      </c>
      <c r="IW79">
        <v>6.2</v>
      </c>
      <c r="IX79">
        <v>1.0144</v>
      </c>
      <c r="IY79">
        <v>2.24121</v>
      </c>
      <c r="IZ79">
        <v>1.39648</v>
      </c>
      <c r="JA79">
        <v>2.35962</v>
      </c>
      <c r="JB79">
        <v>1.49536</v>
      </c>
      <c r="JC79">
        <v>2.34863</v>
      </c>
      <c r="JD79">
        <v>38.379</v>
      </c>
      <c r="JE79">
        <v>24.0437</v>
      </c>
      <c r="JF79">
        <v>18</v>
      </c>
      <c r="JG79">
        <v>515.01</v>
      </c>
      <c r="JH79">
        <v>422.77</v>
      </c>
      <c r="JI79">
        <v>22.6449</v>
      </c>
      <c r="JJ79">
        <v>29.156</v>
      </c>
      <c r="JK79">
        <v>29.9999</v>
      </c>
      <c r="JL79">
        <v>29.1472</v>
      </c>
      <c r="JM79">
        <v>29.0832</v>
      </c>
      <c r="JN79">
        <v>20.307</v>
      </c>
      <c r="JO79">
        <v>56.3171</v>
      </c>
      <c r="JP79">
        <v>0</v>
      </c>
      <c r="JQ79">
        <v>22.6482</v>
      </c>
      <c r="JR79">
        <v>420.219</v>
      </c>
      <c r="JS79">
        <v>8.6783</v>
      </c>
      <c r="JT79">
        <v>100.293</v>
      </c>
      <c r="JU79">
        <v>100.204</v>
      </c>
    </row>
    <row r="80" spans="1:281">
      <c r="A80">
        <v>64</v>
      </c>
      <c r="B80">
        <v>1651857413.1</v>
      </c>
      <c r="C80">
        <v>412.5</v>
      </c>
      <c r="D80" t="s">
        <v>555</v>
      </c>
      <c r="E80" t="s">
        <v>556</v>
      </c>
      <c r="F80">
        <v>2</v>
      </c>
      <c r="G80" t="s">
        <v>413</v>
      </c>
      <c r="H80" t="s">
        <v>414</v>
      </c>
      <c r="I80">
        <v>1651857412.1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404.104927729585</v>
      </c>
      <c r="AK80">
        <v>376.7900909090908</v>
      </c>
      <c r="AL80">
        <v>0.06583097679765448</v>
      </c>
      <c r="AM80">
        <v>66.38384787954378</v>
      </c>
      <c r="AN80">
        <f>(AP80 - AO80 + DI80*1E3/(8.314*(DK80+273.15)) * AR80/DH80 * AQ80) * DH80/(100*CV80) * 1000/(1000 - AP80)</f>
        <v>0</v>
      </c>
      <c r="AO80">
        <v>8.797497620721549</v>
      </c>
      <c r="AP80">
        <v>18.48654794117646</v>
      </c>
      <c r="AQ80">
        <v>2.219101935082823E-05</v>
      </c>
      <c r="AR80">
        <v>80.44866334591464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1238</v>
      </c>
      <c r="CA80">
        <v>300</v>
      </c>
      <c r="CB80">
        <v>300</v>
      </c>
      <c r="CC80">
        <v>300</v>
      </c>
      <c r="CD80">
        <v>10440.5</v>
      </c>
      <c r="CE80">
        <v>1411.69</v>
      </c>
      <c r="CF80">
        <v>-0.00735121</v>
      </c>
      <c r="CG80">
        <v>-0.77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1651857412.1</v>
      </c>
      <c r="DB80">
        <v>369.7503333333333</v>
      </c>
      <c r="DC80">
        <v>402.5843333333333</v>
      </c>
      <c r="DD80">
        <v>18.4863</v>
      </c>
      <c r="DE80">
        <v>8.770473333333333</v>
      </c>
      <c r="DF80">
        <v>370.9666666666666</v>
      </c>
      <c r="DG80">
        <v>18.47896666666667</v>
      </c>
      <c r="DH80">
        <v>500.0086666666666</v>
      </c>
      <c r="DI80">
        <v>90.09059999999999</v>
      </c>
      <c r="DJ80">
        <v>0.09964050000000001</v>
      </c>
      <c r="DK80">
        <v>25.74656666666667</v>
      </c>
      <c r="DL80">
        <v>24.98323333333333</v>
      </c>
      <c r="DM80">
        <v>999.9</v>
      </c>
      <c r="DN80">
        <v>0</v>
      </c>
      <c r="DO80">
        <v>0</v>
      </c>
      <c r="DP80">
        <v>10023.73333333333</v>
      </c>
      <c r="DQ80">
        <v>0</v>
      </c>
      <c r="DR80">
        <v>3.210856666666667</v>
      </c>
      <c r="DS80">
        <v>-32.83413333333333</v>
      </c>
      <c r="DT80">
        <v>376.714</v>
      </c>
      <c r="DU80">
        <v>406.1463333333334</v>
      </c>
      <c r="DV80">
        <v>9.715836666666666</v>
      </c>
      <c r="DW80">
        <v>402.5843333333333</v>
      </c>
      <c r="DX80">
        <v>8.770473333333333</v>
      </c>
      <c r="DY80">
        <v>1.665443333333333</v>
      </c>
      <c r="DZ80">
        <v>0.7901373333333334</v>
      </c>
      <c r="EA80">
        <v>14.57803333333333</v>
      </c>
      <c r="EB80">
        <v>3.531333333333333</v>
      </c>
      <c r="EC80">
        <v>1500.073333333333</v>
      </c>
      <c r="ED80">
        <v>0.9730053333333334</v>
      </c>
      <c r="EE80">
        <v>0.0269949</v>
      </c>
      <c r="EF80">
        <v>0</v>
      </c>
      <c r="EG80">
        <v>1029.543333333333</v>
      </c>
      <c r="EH80">
        <v>5.00097</v>
      </c>
      <c r="EI80">
        <v>15286.36666666667</v>
      </c>
      <c r="EJ80">
        <v>12492.23333333333</v>
      </c>
      <c r="EK80">
        <v>37.52066666666666</v>
      </c>
      <c r="EL80">
        <v>39</v>
      </c>
      <c r="EM80">
        <v>37.91633333333333</v>
      </c>
      <c r="EN80">
        <v>38.75</v>
      </c>
      <c r="EO80">
        <v>38.41633333333333</v>
      </c>
      <c r="EP80">
        <v>1454.713333333333</v>
      </c>
      <c r="EQ80">
        <v>40.36</v>
      </c>
      <c r="ER80">
        <v>0</v>
      </c>
      <c r="ES80">
        <v>412.2000000476837</v>
      </c>
      <c r="ET80">
        <v>0</v>
      </c>
      <c r="EU80">
        <v>1030.394615384615</v>
      </c>
      <c r="EV80">
        <v>-6.843760691625496</v>
      </c>
      <c r="EW80">
        <v>-104.9572650744088</v>
      </c>
      <c r="EX80">
        <v>15297.39230769231</v>
      </c>
      <c r="EY80">
        <v>15</v>
      </c>
      <c r="EZ80">
        <v>1651857041.1</v>
      </c>
      <c r="FA80" t="s">
        <v>419</v>
      </c>
      <c r="FB80">
        <v>1651857019.6</v>
      </c>
      <c r="FC80">
        <v>1651857041.1</v>
      </c>
      <c r="FD80">
        <v>1</v>
      </c>
      <c r="FE80">
        <v>0.545</v>
      </c>
      <c r="FF80">
        <v>-0.002</v>
      </c>
      <c r="FG80">
        <v>-1.271</v>
      </c>
      <c r="FH80">
        <v>-0.09</v>
      </c>
      <c r="FI80">
        <v>400</v>
      </c>
      <c r="FJ80">
        <v>10</v>
      </c>
      <c r="FK80">
        <v>0.1</v>
      </c>
      <c r="FL80">
        <v>0.02</v>
      </c>
      <c r="FM80">
        <v>-30.57697000000001</v>
      </c>
      <c r="FN80">
        <v>-0.5255459662287935</v>
      </c>
      <c r="FO80">
        <v>0.1976718786271837</v>
      </c>
      <c r="FP80">
        <v>-1</v>
      </c>
      <c r="FQ80">
        <v>9.6828345</v>
      </c>
      <c r="FR80">
        <v>0.0744083302063728</v>
      </c>
      <c r="FS80">
        <v>0.007674498338653895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432</v>
      </c>
      <c r="GB80">
        <v>2.97991</v>
      </c>
      <c r="GC80">
        <v>2.70607</v>
      </c>
      <c r="GD80">
        <v>0.0849376</v>
      </c>
      <c r="GE80">
        <v>0.0898378</v>
      </c>
      <c r="GF80">
        <v>0.0882141</v>
      </c>
      <c r="GG80">
        <v>0.0499996</v>
      </c>
      <c r="GH80">
        <v>28870.5</v>
      </c>
      <c r="GI80">
        <v>28779</v>
      </c>
      <c r="GJ80">
        <v>29339.3</v>
      </c>
      <c r="GK80">
        <v>29252.9</v>
      </c>
      <c r="GL80">
        <v>35424.9</v>
      </c>
      <c r="GM80">
        <v>37011.1</v>
      </c>
      <c r="GN80">
        <v>41299.3</v>
      </c>
      <c r="GO80">
        <v>41748.5</v>
      </c>
      <c r="GP80">
        <v>1.95487</v>
      </c>
      <c r="GQ80">
        <v>1.83352</v>
      </c>
      <c r="GR80">
        <v>-0.0368468</v>
      </c>
      <c r="GS80">
        <v>0</v>
      </c>
      <c r="GT80">
        <v>25.5894</v>
      </c>
      <c r="GU80">
        <v>999.9</v>
      </c>
      <c r="GV80">
        <v>38.8</v>
      </c>
      <c r="GW80">
        <v>33.8</v>
      </c>
      <c r="GX80">
        <v>22.7547</v>
      </c>
      <c r="GY80">
        <v>62.4676</v>
      </c>
      <c r="GZ80">
        <v>35.2644</v>
      </c>
      <c r="HA80">
        <v>1</v>
      </c>
      <c r="HB80">
        <v>0.140699</v>
      </c>
      <c r="HC80">
        <v>2.17326</v>
      </c>
      <c r="HD80">
        <v>20.3192</v>
      </c>
      <c r="HE80">
        <v>5.21699</v>
      </c>
      <c r="HF80">
        <v>12.0099</v>
      </c>
      <c r="HG80">
        <v>4.9886</v>
      </c>
      <c r="HH80">
        <v>3.28848</v>
      </c>
      <c r="HI80">
        <v>850.3</v>
      </c>
      <c r="HJ80">
        <v>8461.4</v>
      </c>
      <c r="HK80">
        <v>5139.4</v>
      </c>
      <c r="HL80">
        <v>22.8</v>
      </c>
      <c r="HM80">
        <v>1.86752</v>
      </c>
      <c r="HN80">
        <v>1.86648</v>
      </c>
      <c r="HO80">
        <v>1.866</v>
      </c>
      <c r="HP80">
        <v>1.86586</v>
      </c>
      <c r="HQ80">
        <v>1.86769</v>
      </c>
      <c r="HR80">
        <v>1.87025</v>
      </c>
      <c r="HS80">
        <v>1.8689</v>
      </c>
      <c r="HT80">
        <v>1.87027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-1.217</v>
      </c>
      <c r="II80">
        <v>0.0074</v>
      </c>
      <c r="IJ80">
        <v>-0.4995723906072</v>
      </c>
      <c r="IK80">
        <v>-0.002077099775823331</v>
      </c>
      <c r="IL80">
        <v>4.593143279902166E-07</v>
      </c>
      <c r="IM80">
        <v>-1.865383991892071E-10</v>
      </c>
      <c r="IN80">
        <v>-0.07605349583632376</v>
      </c>
      <c r="IO80">
        <v>-0.01129461987421345</v>
      </c>
      <c r="IP80">
        <v>0.00116580895745559</v>
      </c>
      <c r="IQ80">
        <v>-1.679085872906199E-05</v>
      </c>
      <c r="IR80">
        <v>2</v>
      </c>
      <c r="IS80">
        <v>2290</v>
      </c>
      <c r="IT80">
        <v>0</v>
      </c>
      <c r="IU80">
        <v>32</v>
      </c>
      <c r="IV80">
        <v>6.6</v>
      </c>
      <c r="IW80">
        <v>6.2</v>
      </c>
      <c r="IX80">
        <v>1.02661</v>
      </c>
      <c r="IY80">
        <v>2.24243</v>
      </c>
      <c r="IZ80">
        <v>1.39648</v>
      </c>
      <c r="JA80">
        <v>2.35962</v>
      </c>
      <c r="JB80">
        <v>1.49536</v>
      </c>
      <c r="JC80">
        <v>2.29492</v>
      </c>
      <c r="JD80">
        <v>38.379</v>
      </c>
      <c r="JE80">
        <v>24.035</v>
      </c>
      <c r="JF80">
        <v>18</v>
      </c>
      <c r="JG80">
        <v>515.0069999999999</v>
      </c>
      <c r="JH80">
        <v>422.627</v>
      </c>
      <c r="JI80">
        <v>22.6477</v>
      </c>
      <c r="JJ80">
        <v>29.155</v>
      </c>
      <c r="JK80">
        <v>29.9998</v>
      </c>
      <c r="JL80">
        <v>29.1467</v>
      </c>
      <c r="JM80">
        <v>29.0819</v>
      </c>
      <c r="JN80">
        <v>20.5504</v>
      </c>
      <c r="JO80">
        <v>56.3171</v>
      </c>
      <c r="JP80">
        <v>0</v>
      </c>
      <c r="JQ80">
        <v>22.6574</v>
      </c>
      <c r="JR80">
        <v>420.219</v>
      </c>
      <c r="JS80">
        <v>8.6774</v>
      </c>
      <c r="JT80">
        <v>100.292</v>
      </c>
      <c r="JU80">
        <v>100.204</v>
      </c>
    </row>
    <row r="81" spans="1:281">
      <c r="A81">
        <v>65</v>
      </c>
      <c r="B81">
        <v>1651857415.1</v>
      </c>
      <c r="C81">
        <v>414.5</v>
      </c>
      <c r="D81" t="s">
        <v>557</v>
      </c>
      <c r="E81" t="s">
        <v>558</v>
      </c>
      <c r="F81">
        <v>2</v>
      </c>
      <c r="G81" t="s">
        <v>413</v>
      </c>
      <c r="H81" t="s">
        <v>414</v>
      </c>
      <c r="I81">
        <v>1651857413.725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406.5252087315043</v>
      </c>
      <c r="AK81">
        <v>377.7799939393938</v>
      </c>
      <c r="AL81">
        <v>0.3614593586271502</v>
      </c>
      <c r="AM81">
        <v>66.38384787954378</v>
      </c>
      <c r="AN81">
        <f>(AP81 - AO81 + DI81*1E3/(8.314*(DK81+273.15)) * AR81/DH81 * AQ81) * DH81/(100*CV81) * 1000/(1000 - AP81)</f>
        <v>0</v>
      </c>
      <c r="AO81">
        <v>8.78628542656433</v>
      </c>
      <c r="AP81">
        <v>18.4846905882353</v>
      </c>
      <c r="AQ81">
        <v>2.197574918523332E-05</v>
      </c>
      <c r="AR81">
        <v>80.44866334591464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1238</v>
      </c>
      <c r="CA81">
        <v>300</v>
      </c>
      <c r="CB81">
        <v>300</v>
      </c>
      <c r="CC81">
        <v>300</v>
      </c>
      <c r="CD81">
        <v>10440.5</v>
      </c>
      <c r="CE81">
        <v>1411.69</v>
      </c>
      <c r="CF81">
        <v>-0.00735121</v>
      </c>
      <c r="CG81">
        <v>-0.77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1651857413.725</v>
      </c>
      <c r="DB81">
        <v>370.3385</v>
      </c>
      <c r="DC81">
        <v>405.98</v>
      </c>
      <c r="DD81">
        <v>18.4855</v>
      </c>
      <c r="DE81">
        <v>8.7538225</v>
      </c>
      <c r="DF81">
        <v>371.5555</v>
      </c>
      <c r="DG81">
        <v>18.478125</v>
      </c>
      <c r="DH81">
        <v>500.0265</v>
      </c>
      <c r="DI81">
        <v>90.09305000000001</v>
      </c>
      <c r="DJ81">
        <v>0.0997108</v>
      </c>
      <c r="DK81">
        <v>25.746675</v>
      </c>
      <c r="DL81">
        <v>24.987375</v>
      </c>
      <c r="DM81">
        <v>999.9</v>
      </c>
      <c r="DN81">
        <v>0</v>
      </c>
      <c r="DO81">
        <v>0</v>
      </c>
      <c r="DP81">
        <v>10031.2</v>
      </c>
      <c r="DQ81">
        <v>0</v>
      </c>
      <c r="DR81">
        <v>3.22315</v>
      </c>
      <c r="DS81">
        <v>-35.64192499999999</v>
      </c>
      <c r="DT81">
        <v>377.3127500000001</v>
      </c>
      <c r="DU81">
        <v>409.56525</v>
      </c>
      <c r="DV81">
        <v>9.731662499999999</v>
      </c>
      <c r="DW81">
        <v>405.98</v>
      </c>
      <c r="DX81">
        <v>8.7538225</v>
      </c>
      <c r="DY81">
        <v>1.6654125</v>
      </c>
      <c r="DZ81">
        <v>0.7886584999999999</v>
      </c>
      <c r="EA81">
        <v>14.57775</v>
      </c>
      <c r="EB81">
        <v>3.5047825</v>
      </c>
      <c r="EC81">
        <v>1499.93</v>
      </c>
      <c r="ED81">
        <v>0.9730045</v>
      </c>
      <c r="EE81">
        <v>0.0269958</v>
      </c>
      <c r="EF81">
        <v>0</v>
      </c>
      <c r="EG81">
        <v>1029.25</v>
      </c>
      <c r="EH81">
        <v>5.00097</v>
      </c>
      <c r="EI81">
        <v>15279.15</v>
      </c>
      <c r="EJ81">
        <v>12491.025</v>
      </c>
      <c r="EK81">
        <v>37.531</v>
      </c>
      <c r="EL81">
        <v>39</v>
      </c>
      <c r="EM81">
        <v>37.937</v>
      </c>
      <c r="EN81">
        <v>38.75</v>
      </c>
      <c r="EO81">
        <v>38.3905</v>
      </c>
      <c r="EP81">
        <v>1454.57</v>
      </c>
      <c r="EQ81">
        <v>40.36</v>
      </c>
      <c r="ER81">
        <v>0</v>
      </c>
      <c r="ES81">
        <v>414</v>
      </c>
      <c r="ET81">
        <v>0</v>
      </c>
      <c r="EU81">
        <v>1030.1212</v>
      </c>
      <c r="EV81">
        <v>-7.518461558446722</v>
      </c>
      <c r="EW81">
        <v>-125.3230772303226</v>
      </c>
      <c r="EX81">
        <v>15292.9</v>
      </c>
      <c r="EY81">
        <v>15</v>
      </c>
      <c r="EZ81">
        <v>1651857041.1</v>
      </c>
      <c r="FA81" t="s">
        <v>419</v>
      </c>
      <c r="FB81">
        <v>1651857019.6</v>
      </c>
      <c r="FC81">
        <v>1651857041.1</v>
      </c>
      <c r="FD81">
        <v>1</v>
      </c>
      <c r="FE81">
        <v>0.545</v>
      </c>
      <c r="FF81">
        <v>-0.002</v>
      </c>
      <c r="FG81">
        <v>-1.271</v>
      </c>
      <c r="FH81">
        <v>-0.09</v>
      </c>
      <c r="FI81">
        <v>400</v>
      </c>
      <c r="FJ81">
        <v>10</v>
      </c>
      <c r="FK81">
        <v>0.1</v>
      </c>
      <c r="FL81">
        <v>0.02</v>
      </c>
      <c r="FM81">
        <v>-31.25546829268293</v>
      </c>
      <c r="FN81">
        <v>-10.959050174216</v>
      </c>
      <c r="FO81">
        <v>1.675514013805333</v>
      </c>
      <c r="FP81">
        <v>-1</v>
      </c>
      <c r="FQ81">
        <v>9.691762195121951</v>
      </c>
      <c r="FR81">
        <v>0.1463101045296118</v>
      </c>
      <c r="FS81">
        <v>0.01705176115819337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432</v>
      </c>
      <c r="GB81">
        <v>2.97981</v>
      </c>
      <c r="GC81">
        <v>2.70635</v>
      </c>
      <c r="GD81">
        <v>0.0851568</v>
      </c>
      <c r="GE81">
        <v>0.09068279999999999</v>
      </c>
      <c r="GF81">
        <v>0.0882043</v>
      </c>
      <c r="GG81">
        <v>0.0499527</v>
      </c>
      <c r="GH81">
        <v>28863.6</v>
      </c>
      <c r="GI81">
        <v>28752.6</v>
      </c>
      <c r="GJ81">
        <v>29339.3</v>
      </c>
      <c r="GK81">
        <v>29253.2</v>
      </c>
      <c r="GL81">
        <v>35425.5</v>
      </c>
      <c r="GM81">
        <v>37013.5</v>
      </c>
      <c r="GN81">
        <v>41299.5</v>
      </c>
      <c r="GO81">
        <v>41749.1</v>
      </c>
      <c r="GP81">
        <v>1.9549</v>
      </c>
      <c r="GQ81">
        <v>1.83353</v>
      </c>
      <c r="GR81">
        <v>-0.0364296</v>
      </c>
      <c r="GS81">
        <v>0</v>
      </c>
      <c r="GT81">
        <v>25.5883</v>
      </c>
      <c r="GU81">
        <v>999.9</v>
      </c>
      <c r="GV81">
        <v>38.8</v>
      </c>
      <c r="GW81">
        <v>33.9</v>
      </c>
      <c r="GX81">
        <v>22.883</v>
      </c>
      <c r="GY81">
        <v>62.6576</v>
      </c>
      <c r="GZ81">
        <v>35.6851</v>
      </c>
      <c r="HA81">
        <v>1</v>
      </c>
      <c r="HB81">
        <v>0.140409</v>
      </c>
      <c r="HC81">
        <v>2.16153</v>
      </c>
      <c r="HD81">
        <v>20.3195</v>
      </c>
      <c r="HE81">
        <v>5.21699</v>
      </c>
      <c r="HF81">
        <v>12.0099</v>
      </c>
      <c r="HG81">
        <v>4.98855</v>
      </c>
      <c r="HH81">
        <v>3.28848</v>
      </c>
      <c r="HI81">
        <v>850.5</v>
      </c>
      <c r="HJ81">
        <v>8463.6</v>
      </c>
      <c r="HK81">
        <v>5139.4</v>
      </c>
      <c r="HL81">
        <v>22.9</v>
      </c>
      <c r="HM81">
        <v>1.86752</v>
      </c>
      <c r="HN81">
        <v>1.86648</v>
      </c>
      <c r="HO81">
        <v>1.866</v>
      </c>
      <c r="HP81">
        <v>1.86586</v>
      </c>
      <c r="HQ81">
        <v>1.8677</v>
      </c>
      <c r="HR81">
        <v>1.87026</v>
      </c>
      <c r="HS81">
        <v>1.86891</v>
      </c>
      <c r="HT81">
        <v>1.87027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-1.219</v>
      </c>
      <c r="II81">
        <v>0.0073</v>
      </c>
      <c r="IJ81">
        <v>-0.4995723906072</v>
      </c>
      <c r="IK81">
        <v>-0.002077099775823331</v>
      </c>
      <c r="IL81">
        <v>4.593143279902166E-07</v>
      </c>
      <c r="IM81">
        <v>-1.865383991892071E-10</v>
      </c>
      <c r="IN81">
        <v>-0.07605349583632376</v>
      </c>
      <c r="IO81">
        <v>-0.01129461987421345</v>
      </c>
      <c r="IP81">
        <v>0.00116580895745559</v>
      </c>
      <c r="IQ81">
        <v>-1.679085872906199E-05</v>
      </c>
      <c r="IR81">
        <v>2</v>
      </c>
      <c r="IS81">
        <v>2290</v>
      </c>
      <c r="IT81">
        <v>0</v>
      </c>
      <c r="IU81">
        <v>32</v>
      </c>
      <c r="IV81">
        <v>6.6</v>
      </c>
      <c r="IW81">
        <v>6.2</v>
      </c>
      <c r="IX81">
        <v>1.03882</v>
      </c>
      <c r="IY81">
        <v>2.24121</v>
      </c>
      <c r="IZ81">
        <v>1.39648</v>
      </c>
      <c r="JA81">
        <v>2.35962</v>
      </c>
      <c r="JB81">
        <v>1.49536</v>
      </c>
      <c r="JC81">
        <v>2.33398</v>
      </c>
      <c r="JD81">
        <v>38.379</v>
      </c>
      <c r="JE81">
        <v>24.035</v>
      </c>
      <c r="JF81">
        <v>18</v>
      </c>
      <c r="JG81">
        <v>515.013</v>
      </c>
      <c r="JH81">
        <v>422.621</v>
      </c>
      <c r="JI81">
        <v>22.6504</v>
      </c>
      <c r="JJ81">
        <v>29.1537</v>
      </c>
      <c r="JK81">
        <v>29.9998</v>
      </c>
      <c r="JL81">
        <v>29.1455</v>
      </c>
      <c r="JM81">
        <v>29.081</v>
      </c>
      <c r="JN81">
        <v>20.8079</v>
      </c>
      <c r="JO81">
        <v>56.3171</v>
      </c>
      <c r="JP81">
        <v>0</v>
      </c>
      <c r="JQ81">
        <v>22.6574</v>
      </c>
      <c r="JR81">
        <v>433.578</v>
      </c>
      <c r="JS81">
        <v>8.673389999999999</v>
      </c>
      <c r="JT81">
        <v>100.292</v>
      </c>
      <c r="JU81">
        <v>100.205</v>
      </c>
    </row>
    <row r="82" spans="1:281">
      <c r="A82">
        <v>66</v>
      </c>
      <c r="B82">
        <v>1651857417.1</v>
      </c>
      <c r="C82">
        <v>416.5</v>
      </c>
      <c r="D82" t="s">
        <v>559</v>
      </c>
      <c r="E82" t="s">
        <v>560</v>
      </c>
      <c r="F82">
        <v>2</v>
      </c>
      <c r="G82" t="s">
        <v>413</v>
      </c>
      <c r="H82" t="s">
        <v>414</v>
      </c>
      <c r="I82">
        <v>1651857416.1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410.9903996408171</v>
      </c>
      <c r="AK82">
        <v>379.7790969696968</v>
      </c>
      <c r="AL82">
        <v>0.8285181782231097</v>
      </c>
      <c r="AM82">
        <v>66.38384787954378</v>
      </c>
      <c r="AN82">
        <f>(AP82 - AO82 + DI82*1E3/(8.314*(DK82+273.15)) * AR82/DH82 * AQ82) * DH82/(100*CV82) * 1000/(1000 - AP82)</f>
        <v>0</v>
      </c>
      <c r="AO82">
        <v>8.763852559851045</v>
      </c>
      <c r="AP82">
        <v>18.48071529411765</v>
      </c>
      <c r="AQ82">
        <v>6.526657789856598E-06</v>
      </c>
      <c r="AR82">
        <v>80.44866334591464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1238</v>
      </c>
      <c r="CA82">
        <v>300</v>
      </c>
      <c r="CB82">
        <v>300</v>
      </c>
      <c r="CC82">
        <v>300</v>
      </c>
      <c r="CD82">
        <v>10440.5</v>
      </c>
      <c r="CE82">
        <v>1411.69</v>
      </c>
      <c r="CF82">
        <v>-0.00735121</v>
      </c>
      <c r="CG82">
        <v>-0.77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1651857416.1</v>
      </c>
      <c r="DB82">
        <v>372.2036666666667</v>
      </c>
      <c r="DC82">
        <v>412.3456666666667</v>
      </c>
      <c r="DD82">
        <v>18.4818</v>
      </c>
      <c r="DE82">
        <v>8.74601</v>
      </c>
      <c r="DF82">
        <v>373.4246666666666</v>
      </c>
      <c r="DG82">
        <v>18.47446666666667</v>
      </c>
      <c r="DH82">
        <v>500.0443333333333</v>
      </c>
      <c r="DI82">
        <v>90.09476666666667</v>
      </c>
      <c r="DJ82">
        <v>0.1001163</v>
      </c>
      <c r="DK82">
        <v>25.74836666666667</v>
      </c>
      <c r="DL82">
        <v>24.99246666666667</v>
      </c>
      <c r="DM82">
        <v>999.9</v>
      </c>
      <c r="DN82">
        <v>0</v>
      </c>
      <c r="DO82">
        <v>0</v>
      </c>
      <c r="DP82">
        <v>10012.53333333333</v>
      </c>
      <c r="DQ82">
        <v>0</v>
      </c>
      <c r="DR82">
        <v>3.224906666666667</v>
      </c>
      <c r="DS82">
        <v>-40.14216666666667</v>
      </c>
      <c r="DT82">
        <v>379.212</v>
      </c>
      <c r="DU82">
        <v>415.984</v>
      </c>
      <c r="DV82">
        <v>9.735806666666667</v>
      </c>
      <c r="DW82">
        <v>412.3456666666667</v>
      </c>
      <c r="DX82">
        <v>8.74601</v>
      </c>
      <c r="DY82">
        <v>1.665113333333333</v>
      </c>
      <c r="DZ82">
        <v>0.7879693333333333</v>
      </c>
      <c r="EA82">
        <v>14.57496666666667</v>
      </c>
      <c r="EB82">
        <v>3.492403333333333</v>
      </c>
      <c r="EC82">
        <v>1499.88</v>
      </c>
      <c r="ED82">
        <v>0.9730036666666667</v>
      </c>
      <c r="EE82">
        <v>0.0269967</v>
      </c>
      <c r="EF82">
        <v>0</v>
      </c>
      <c r="EG82">
        <v>1028.47</v>
      </c>
      <c r="EH82">
        <v>5.00097</v>
      </c>
      <c r="EI82">
        <v>15267.8</v>
      </c>
      <c r="EJ82">
        <v>12490.63333333333</v>
      </c>
      <c r="EK82">
        <v>37.52066666666666</v>
      </c>
      <c r="EL82">
        <v>39</v>
      </c>
      <c r="EM82">
        <v>37.937</v>
      </c>
      <c r="EN82">
        <v>38.79133333333333</v>
      </c>
      <c r="EO82">
        <v>38.375</v>
      </c>
      <c r="EP82">
        <v>1454.52</v>
      </c>
      <c r="EQ82">
        <v>40.36</v>
      </c>
      <c r="ER82">
        <v>0</v>
      </c>
      <c r="ES82">
        <v>416.4000000953674</v>
      </c>
      <c r="ET82">
        <v>0</v>
      </c>
      <c r="EU82">
        <v>1029.7428</v>
      </c>
      <c r="EV82">
        <v>-10.1638461485191</v>
      </c>
      <c r="EW82">
        <v>-160.6846153214869</v>
      </c>
      <c r="EX82">
        <v>15286.712</v>
      </c>
      <c r="EY82">
        <v>15</v>
      </c>
      <c r="EZ82">
        <v>1651857041.1</v>
      </c>
      <c r="FA82" t="s">
        <v>419</v>
      </c>
      <c r="FB82">
        <v>1651857019.6</v>
      </c>
      <c r="FC82">
        <v>1651857041.1</v>
      </c>
      <c r="FD82">
        <v>1</v>
      </c>
      <c r="FE82">
        <v>0.545</v>
      </c>
      <c r="FF82">
        <v>-0.002</v>
      </c>
      <c r="FG82">
        <v>-1.271</v>
      </c>
      <c r="FH82">
        <v>-0.09</v>
      </c>
      <c r="FI82">
        <v>400</v>
      </c>
      <c r="FJ82">
        <v>10</v>
      </c>
      <c r="FK82">
        <v>0.1</v>
      </c>
      <c r="FL82">
        <v>0.02</v>
      </c>
      <c r="FM82">
        <v>-31.919915</v>
      </c>
      <c r="FN82">
        <v>-20.40519849906183</v>
      </c>
      <c r="FO82">
        <v>2.676514270048826</v>
      </c>
      <c r="FP82">
        <v>-1</v>
      </c>
      <c r="FQ82">
        <v>9.696366250000001</v>
      </c>
      <c r="FR82">
        <v>0.1863864540337594</v>
      </c>
      <c r="FS82">
        <v>0.02010562628811892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432</v>
      </c>
      <c r="GB82">
        <v>2.97984</v>
      </c>
      <c r="GC82">
        <v>2.7063</v>
      </c>
      <c r="GD82">
        <v>0.08554829999999999</v>
      </c>
      <c r="GE82">
        <v>0.0916844</v>
      </c>
      <c r="GF82">
        <v>0.08819630000000001</v>
      </c>
      <c r="GG82">
        <v>0.0499408</v>
      </c>
      <c r="GH82">
        <v>28851.4</v>
      </c>
      <c r="GI82">
        <v>28721.1</v>
      </c>
      <c r="GJ82">
        <v>29339.4</v>
      </c>
      <c r="GK82">
        <v>29253.4</v>
      </c>
      <c r="GL82">
        <v>35426.1</v>
      </c>
      <c r="GM82">
        <v>37014.2</v>
      </c>
      <c r="GN82">
        <v>41299.9</v>
      </c>
      <c r="GO82">
        <v>41749.3</v>
      </c>
      <c r="GP82">
        <v>1.95485</v>
      </c>
      <c r="GQ82">
        <v>1.83393</v>
      </c>
      <c r="GR82">
        <v>-0.0362471</v>
      </c>
      <c r="GS82">
        <v>0</v>
      </c>
      <c r="GT82">
        <v>25.5873</v>
      </c>
      <c r="GU82">
        <v>999.9</v>
      </c>
      <c r="GV82">
        <v>38.8</v>
      </c>
      <c r="GW82">
        <v>33.8</v>
      </c>
      <c r="GX82">
        <v>22.7563</v>
      </c>
      <c r="GY82">
        <v>62.6376</v>
      </c>
      <c r="GZ82">
        <v>35.2244</v>
      </c>
      <c r="HA82">
        <v>1</v>
      </c>
      <c r="HB82">
        <v>0.140203</v>
      </c>
      <c r="HC82">
        <v>2.15453</v>
      </c>
      <c r="HD82">
        <v>20.3196</v>
      </c>
      <c r="HE82">
        <v>5.21729</v>
      </c>
      <c r="HF82">
        <v>12.0099</v>
      </c>
      <c r="HG82">
        <v>4.9887</v>
      </c>
      <c r="HH82">
        <v>3.28855</v>
      </c>
      <c r="HI82">
        <v>850.5</v>
      </c>
      <c r="HJ82">
        <v>8463.6</v>
      </c>
      <c r="HK82">
        <v>5139.4</v>
      </c>
      <c r="HL82">
        <v>22.9</v>
      </c>
      <c r="HM82">
        <v>1.86752</v>
      </c>
      <c r="HN82">
        <v>1.86647</v>
      </c>
      <c r="HO82">
        <v>1.866</v>
      </c>
      <c r="HP82">
        <v>1.86586</v>
      </c>
      <c r="HQ82">
        <v>1.8677</v>
      </c>
      <c r="HR82">
        <v>1.87025</v>
      </c>
      <c r="HS82">
        <v>1.8689</v>
      </c>
      <c r="HT82">
        <v>1.87027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-1.223</v>
      </c>
      <c r="II82">
        <v>0.0073</v>
      </c>
      <c r="IJ82">
        <v>-0.4995723906072</v>
      </c>
      <c r="IK82">
        <v>-0.002077099775823331</v>
      </c>
      <c r="IL82">
        <v>4.593143279902166E-07</v>
      </c>
      <c r="IM82">
        <v>-1.865383991892071E-10</v>
      </c>
      <c r="IN82">
        <v>-0.07605349583632376</v>
      </c>
      <c r="IO82">
        <v>-0.01129461987421345</v>
      </c>
      <c r="IP82">
        <v>0.00116580895745559</v>
      </c>
      <c r="IQ82">
        <v>-1.679085872906199E-05</v>
      </c>
      <c r="IR82">
        <v>2</v>
      </c>
      <c r="IS82">
        <v>2290</v>
      </c>
      <c r="IT82">
        <v>0</v>
      </c>
      <c r="IU82">
        <v>32</v>
      </c>
      <c r="IV82">
        <v>6.6</v>
      </c>
      <c r="IW82">
        <v>6.3</v>
      </c>
      <c r="IX82">
        <v>1.05225</v>
      </c>
      <c r="IY82">
        <v>2.23999</v>
      </c>
      <c r="IZ82">
        <v>1.39648</v>
      </c>
      <c r="JA82">
        <v>2.35962</v>
      </c>
      <c r="JB82">
        <v>1.49536</v>
      </c>
      <c r="JC82">
        <v>2.34741</v>
      </c>
      <c r="JD82">
        <v>38.379</v>
      </c>
      <c r="JE82">
        <v>24.0437</v>
      </c>
      <c r="JF82">
        <v>18</v>
      </c>
      <c r="JG82">
        <v>514.973</v>
      </c>
      <c r="JH82">
        <v>422.858</v>
      </c>
      <c r="JI82">
        <v>22.6546</v>
      </c>
      <c r="JJ82">
        <v>29.1525</v>
      </c>
      <c r="JK82">
        <v>29.9999</v>
      </c>
      <c r="JL82">
        <v>29.1447</v>
      </c>
      <c r="JM82">
        <v>29.081</v>
      </c>
      <c r="JN82">
        <v>21.0643</v>
      </c>
      <c r="JO82">
        <v>56.3171</v>
      </c>
      <c r="JP82">
        <v>0</v>
      </c>
      <c r="JQ82">
        <v>22.6574</v>
      </c>
      <c r="JR82">
        <v>440.256</v>
      </c>
      <c r="JS82">
        <v>8.66804</v>
      </c>
      <c r="JT82">
        <v>100.293</v>
      </c>
      <c r="JU82">
        <v>100.206</v>
      </c>
    </row>
    <row r="83" spans="1:281">
      <c r="A83">
        <v>67</v>
      </c>
      <c r="B83">
        <v>1651857419.1</v>
      </c>
      <c r="C83">
        <v>418.5</v>
      </c>
      <c r="D83" t="s">
        <v>561</v>
      </c>
      <c r="E83" t="s">
        <v>562</v>
      </c>
      <c r="F83">
        <v>2</v>
      </c>
      <c r="G83" t="s">
        <v>413</v>
      </c>
      <c r="H83" t="s">
        <v>414</v>
      </c>
      <c r="I83">
        <v>1651857417.725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416.6687174193405</v>
      </c>
      <c r="AK83">
        <v>382.8232848484849</v>
      </c>
      <c r="AL83">
        <v>1.348232125805659</v>
      </c>
      <c r="AM83">
        <v>66.38384787954378</v>
      </c>
      <c r="AN83">
        <f>(AP83 - AO83 + DI83*1E3/(8.314*(DK83+273.15)) * AR83/DH83 * AQ83) * DH83/(100*CV83) * 1000/(1000 - AP83)</f>
        <v>0</v>
      </c>
      <c r="AO83">
        <v>8.748902745326804</v>
      </c>
      <c r="AP83">
        <v>18.47585470588236</v>
      </c>
      <c r="AQ83">
        <v>-1.120023432067551E-05</v>
      </c>
      <c r="AR83">
        <v>80.44866334591464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1238</v>
      </c>
      <c r="CA83">
        <v>300</v>
      </c>
      <c r="CB83">
        <v>300</v>
      </c>
      <c r="CC83">
        <v>300</v>
      </c>
      <c r="CD83">
        <v>10440.5</v>
      </c>
      <c r="CE83">
        <v>1411.69</v>
      </c>
      <c r="CF83">
        <v>-0.00735121</v>
      </c>
      <c r="CG83">
        <v>-0.77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1651857417.725</v>
      </c>
      <c r="DB83">
        <v>374.384</v>
      </c>
      <c r="DC83">
        <v>417.4425</v>
      </c>
      <c r="DD83">
        <v>18.4782</v>
      </c>
      <c r="DE83">
        <v>8.744264999999999</v>
      </c>
      <c r="DF83">
        <v>375.609</v>
      </c>
      <c r="DG83">
        <v>18.470925</v>
      </c>
      <c r="DH83">
        <v>500.008</v>
      </c>
      <c r="DI83">
        <v>90.0934</v>
      </c>
      <c r="DJ83">
        <v>0.1000176</v>
      </c>
      <c r="DK83">
        <v>25.749925</v>
      </c>
      <c r="DL83">
        <v>24.992225</v>
      </c>
      <c r="DM83">
        <v>999.9</v>
      </c>
      <c r="DN83">
        <v>0</v>
      </c>
      <c r="DO83">
        <v>0</v>
      </c>
      <c r="DP83">
        <v>10005</v>
      </c>
      <c r="DQ83">
        <v>0</v>
      </c>
      <c r="DR83">
        <v>3.2126125</v>
      </c>
      <c r="DS83">
        <v>-43.058325</v>
      </c>
      <c r="DT83">
        <v>381.4325</v>
      </c>
      <c r="DU83">
        <v>421.12475</v>
      </c>
      <c r="DV83">
        <v>9.73394</v>
      </c>
      <c r="DW83">
        <v>417.4425</v>
      </c>
      <c r="DX83">
        <v>8.744264999999999</v>
      </c>
      <c r="DY83">
        <v>1.664765</v>
      </c>
      <c r="DZ83">
        <v>0.7878004999999999</v>
      </c>
      <c r="EA83">
        <v>14.571725</v>
      </c>
      <c r="EB83">
        <v>3.4893675</v>
      </c>
      <c r="EC83">
        <v>1500.005</v>
      </c>
      <c r="ED83">
        <v>0.97300575</v>
      </c>
      <c r="EE83">
        <v>0.02699445</v>
      </c>
      <c r="EF83">
        <v>0</v>
      </c>
      <c r="EG83">
        <v>1028.08</v>
      </c>
      <c r="EH83">
        <v>5.00097</v>
      </c>
      <c r="EI83">
        <v>15262</v>
      </c>
      <c r="EJ83">
        <v>12491.675</v>
      </c>
      <c r="EK83">
        <v>37.5</v>
      </c>
      <c r="EL83">
        <v>39</v>
      </c>
      <c r="EM83">
        <v>37.937</v>
      </c>
      <c r="EN83">
        <v>38.79649999999999</v>
      </c>
      <c r="EO83">
        <v>38.375</v>
      </c>
      <c r="EP83">
        <v>1454.645</v>
      </c>
      <c r="EQ83">
        <v>40.36</v>
      </c>
      <c r="ER83">
        <v>0</v>
      </c>
      <c r="ES83">
        <v>418.2000000476837</v>
      </c>
      <c r="ET83">
        <v>0</v>
      </c>
      <c r="EU83">
        <v>1029.440769230769</v>
      </c>
      <c r="EV83">
        <v>-12.19008548208338</v>
      </c>
      <c r="EW83">
        <v>-179.7880344536941</v>
      </c>
      <c r="EX83">
        <v>15282.16923076923</v>
      </c>
      <c r="EY83">
        <v>15</v>
      </c>
      <c r="EZ83">
        <v>1651857041.1</v>
      </c>
      <c r="FA83" t="s">
        <v>419</v>
      </c>
      <c r="FB83">
        <v>1651857019.6</v>
      </c>
      <c r="FC83">
        <v>1651857041.1</v>
      </c>
      <c r="FD83">
        <v>1</v>
      </c>
      <c r="FE83">
        <v>0.545</v>
      </c>
      <c r="FF83">
        <v>-0.002</v>
      </c>
      <c r="FG83">
        <v>-1.271</v>
      </c>
      <c r="FH83">
        <v>-0.09</v>
      </c>
      <c r="FI83">
        <v>400</v>
      </c>
      <c r="FJ83">
        <v>10</v>
      </c>
      <c r="FK83">
        <v>0.1</v>
      </c>
      <c r="FL83">
        <v>0.02</v>
      </c>
      <c r="FM83">
        <v>-33.3885487804878</v>
      </c>
      <c r="FN83">
        <v>-37.05777282229968</v>
      </c>
      <c r="FO83">
        <v>4.402513764088231</v>
      </c>
      <c r="FP83">
        <v>-1</v>
      </c>
      <c r="FQ83">
        <v>9.702665365853658</v>
      </c>
      <c r="FR83">
        <v>0.2120874564459993</v>
      </c>
      <c r="FS83">
        <v>0.02240926116233554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432</v>
      </c>
      <c r="GB83">
        <v>2.9799</v>
      </c>
      <c r="GC83">
        <v>2.70611</v>
      </c>
      <c r="GD83">
        <v>0.0861249</v>
      </c>
      <c r="GE83">
        <v>0.0927808</v>
      </c>
      <c r="GF83">
        <v>0.08817750000000001</v>
      </c>
      <c r="GG83">
        <v>0.0499338</v>
      </c>
      <c r="GH83">
        <v>28833.8</v>
      </c>
      <c r="GI83">
        <v>28686.5</v>
      </c>
      <c r="GJ83">
        <v>29340</v>
      </c>
      <c r="GK83">
        <v>29253.5</v>
      </c>
      <c r="GL83">
        <v>35427.4</v>
      </c>
      <c r="GM83">
        <v>37014.6</v>
      </c>
      <c r="GN83">
        <v>41300.5</v>
      </c>
      <c r="GO83">
        <v>41749.5</v>
      </c>
      <c r="GP83">
        <v>1.95485</v>
      </c>
      <c r="GQ83">
        <v>1.83405</v>
      </c>
      <c r="GR83">
        <v>-0.0362843</v>
      </c>
      <c r="GS83">
        <v>0</v>
      </c>
      <c r="GT83">
        <v>25.5862</v>
      </c>
      <c r="GU83">
        <v>999.9</v>
      </c>
      <c r="GV83">
        <v>38.8</v>
      </c>
      <c r="GW83">
        <v>33.8</v>
      </c>
      <c r="GX83">
        <v>22.7569</v>
      </c>
      <c r="GY83">
        <v>62.5576</v>
      </c>
      <c r="GZ83">
        <v>35.5929</v>
      </c>
      <c r="HA83">
        <v>1</v>
      </c>
      <c r="HB83">
        <v>0.140241</v>
      </c>
      <c r="HC83">
        <v>2.16473</v>
      </c>
      <c r="HD83">
        <v>20.3194</v>
      </c>
      <c r="HE83">
        <v>5.21729</v>
      </c>
      <c r="HF83">
        <v>12.0099</v>
      </c>
      <c r="HG83">
        <v>4.9882</v>
      </c>
      <c r="HH83">
        <v>3.28865</v>
      </c>
      <c r="HI83">
        <v>850.5</v>
      </c>
      <c r="HJ83">
        <v>8463.6</v>
      </c>
      <c r="HK83">
        <v>5139.4</v>
      </c>
      <c r="HL83">
        <v>22.9</v>
      </c>
      <c r="HM83">
        <v>1.86752</v>
      </c>
      <c r="HN83">
        <v>1.86647</v>
      </c>
      <c r="HO83">
        <v>1.866</v>
      </c>
      <c r="HP83">
        <v>1.86586</v>
      </c>
      <c r="HQ83">
        <v>1.86771</v>
      </c>
      <c r="HR83">
        <v>1.87025</v>
      </c>
      <c r="HS83">
        <v>1.86891</v>
      </c>
      <c r="HT83">
        <v>1.87027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-1.229</v>
      </c>
      <c r="II83">
        <v>0.0072</v>
      </c>
      <c r="IJ83">
        <v>-0.4995723906072</v>
      </c>
      <c r="IK83">
        <v>-0.002077099775823331</v>
      </c>
      <c r="IL83">
        <v>4.593143279902166E-07</v>
      </c>
      <c r="IM83">
        <v>-1.865383991892071E-10</v>
      </c>
      <c r="IN83">
        <v>-0.07605349583632376</v>
      </c>
      <c r="IO83">
        <v>-0.01129461987421345</v>
      </c>
      <c r="IP83">
        <v>0.00116580895745559</v>
      </c>
      <c r="IQ83">
        <v>-1.679085872906199E-05</v>
      </c>
      <c r="IR83">
        <v>2</v>
      </c>
      <c r="IS83">
        <v>2290</v>
      </c>
      <c r="IT83">
        <v>0</v>
      </c>
      <c r="IU83">
        <v>32</v>
      </c>
      <c r="IV83">
        <v>6.7</v>
      </c>
      <c r="IW83">
        <v>6.3</v>
      </c>
      <c r="IX83">
        <v>1.06445</v>
      </c>
      <c r="IY83">
        <v>2.24243</v>
      </c>
      <c r="IZ83">
        <v>1.39648</v>
      </c>
      <c r="JA83">
        <v>2.35962</v>
      </c>
      <c r="JB83">
        <v>1.49536</v>
      </c>
      <c r="JC83">
        <v>2.323</v>
      </c>
      <c r="JD83">
        <v>38.379</v>
      </c>
      <c r="JE83">
        <v>24.035</v>
      </c>
      <c r="JF83">
        <v>18</v>
      </c>
      <c r="JG83">
        <v>514.973</v>
      </c>
      <c r="JH83">
        <v>422.926</v>
      </c>
      <c r="JI83">
        <v>22.6587</v>
      </c>
      <c r="JJ83">
        <v>29.1512</v>
      </c>
      <c r="JK83">
        <v>29.9999</v>
      </c>
      <c r="JL83">
        <v>29.1447</v>
      </c>
      <c r="JM83">
        <v>29.0801</v>
      </c>
      <c r="JN83">
        <v>21.3185</v>
      </c>
      <c r="JO83">
        <v>56.3171</v>
      </c>
      <c r="JP83">
        <v>0</v>
      </c>
      <c r="JQ83">
        <v>22.6636</v>
      </c>
      <c r="JR83">
        <v>440.256</v>
      </c>
      <c r="JS83">
        <v>8.666700000000001</v>
      </c>
      <c r="JT83">
        <v>100.295</v>
      </c>
      <c r="JU83">
        <v>100.206</v>
      </c>
    </row>
    <row r="84" spans="1:281">
      <c r="A84">
        <v>68</v>
      </c>
      <c r="B84">
        <v>1651857421.1</v>
      </c>
      <c r="C84">
        <v>420.5</v>
      </c>
      <c r="D84" t="s">
        <v>563</v>
      </c>
      <c r="E84" t="s">
        <v>564</v>
      </c>
      <c r="F84">
        <v>2</v>
      </c>
      <c r="G84" t="s">
        <v>413</v>
      </c>
      <c r="H84" t="s">
        <v>414</v>
      </c>
      <c r="I84">
        <v>1651857420.1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423.102482180481</v>
      </c>
      <c r="AK84">
        <v>386.8082424242423</v>
      </c>
      <c r="AL84">
        <v>1.842872370470442</v>
      </c>
      <c r="AM84">
        <v>66.38384787954378</v>
      </c>
      <c r="AN84">
        <f>(AP84 - AO84 + DI84*1E3/(8.314*(DK84+273.15)) * AR84/DH84 * AQ84) * DH84/(100*CV84) * 1000/(1000 - AP84)</f>
        <v>0</v>
      </c>
      <c r="AO84">
        <v>8.74537896812155</v>
      </c>
      <c r="AP84">
        <v>18.47211941176471</v>
      </c>
      <c r="AQ84">
        <v>-5.237162140686884E-05</v>
      </c>
      <c r="AR84">
        <v>80.44866334591464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1238</v>
      </c>
      <c r="CA84">
        <v>300</v>
      </c>
      <c r="CB84">
        <v>300</v>
      </c>
      <c r="CC84">
        <v>300</v>
      </c>
      <c r="CD84">
        <v>10440.5</v>
      </c>
      <c r="CE84">
        <v>1411.69</v>
      </c>
      <c r="CF84">
        <v>-0.00735121</v>
      </c>
      <c r="CG84">
        <v>-0.77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1651857420.1</v>
      </c>
      <c r="DB84">
        <v>378.6186666666667</v>
      </c>
      <c r="DC84">
        <v>425.2486666666666</v>
      </c>
      <c r="DD84">
        <v>18.47336666666667</v>
      </c>
      <c r="DE84">
        <v>8.74211</v>
      </c>
      <c r="DF84">
        <v>379.8506666666667</v>
      </c>
      <c r="DG84">
        <v>18.46616666666667</v>
      </c>
      <c r="DH84">
        <v>500.0453333333333</v>
      </c>
      <c r="DI84">
        <v>90.0917</v>
      </c>
      <c r="DJ84">
        <v>0.09991406666666665</v>
      </c>
      <c r="DK84">
        <v>25.75123333333334</v>
      </c>
      <c r="DL84">
        <v>24.9882</v>
      </c>
      <c r="DM84">
        <v>999.9</v>
      </c>
      <c r="DN84">
        <v>0</v>
      </c>
      <c r="DO84">
        <v>0</v>
      </c>
      <c r="DP84">
        <v>10013.73333333333</v>
      </c>
      <c r="DQ84">
        <v>0</v>
      </c>
      <c r="DR84">
        <v>3.210856666666667</v>
      </c>
      <c r="DS84">
        <v>-46.63043333333334</v>
      </c>
      <c r="DT84">
        <v>385.7446666666667</v>
      </c>
      <c r="DU84">
        <v>428.999</v>
      </c>
      <c r="DV84">
        <v>9.731256666666667</v>
      </c>
      <c r="DW84">
        <v>425.2486666666666</v>
      </c>
      <c r="DX84">
        <v>8.74211</v>
      </c>
      <c r="DY84">
        <v>1.664296666666667</v>
      </c>
      <c r="DZ84">
        <v>0.7875920000000001</v>
      </c>
      <c r="EA84">
        <v>14.5674</v>
      </c>
      <c r="EB84">
        <v>3.48561</v>
      </c>
      <c r="EC84">
        <v>1499.973333333333</v>
      </c>
      <c r="ED84">
        <v>0.9730053333333334</v>
      </c>
      <c r="EE84">
        <v>0.0269949</v>
      </c>
      <c r="EF84">
        <v>0</v>
      </c>
      <c r="EG84">
        <v>1027.35</v>
      </c>
      <c r="EH84">
        <v>5.00097</v>
      </c>
      <c r="EI84">
        <v>15252.1</v>
      </c>
      <c r="EJ84">
        <v>12491.36666666667</v>
      </c>
      <c r="EK84">
        <v>37.562</v>
      </c>
      <c r="EL84">
        <v>39</v>
      </c>
      <c r="EM84">
        <v>37.937</v>
      </c>
      <c r="EN84">
        <v>38.75</v>
      </c>
      <c r="EO84">
        <v>38.375</v>
      </c>
      <c r="EP84">
        <v>1454.613333333333</v>
      </c>
      <c r="EQ84">
        <v>40.36</v>
      </c>
      <c r="ER84">
        <v>0</v>
      </c>
      <c r="ES84">
        <v>420</v>
      </c>
      <c r="ET84">
        <v>0</v>
      </c>
      <c r="EU84">
        <v>1028.9852</v>
      </c>
      <c r="EV84">
        <v>-13.80384618253053</v>
      </c>
      <c r="EW84">
        <v>-213.607692862773</v>
      </c>
      <c r="EX84">
        <v>15275.744</v>
      </c>
      <c r="EY84">
        <v>15</v>
      </c>
      <c r="EZ84">
        <v>1651857041.1</v>
      </c>
      <c r="FA84" t="s">
        <v>419</v>
      </c>
      <c r="FB84">
        <v>1651857019.6</v>
      </c>
      <c r="FC84">
        <v>1651857041.1</v>
      </c>
      <c r="FD84">
        <v>1</v>
      </c>
      <c r="FE84">
        <v>0.545</v>
      </c>
      <c r="FF84">
        <v>-0.002</v>
      </c>
      <c r="FG84">
        <v>-1.271</v>
      </c>
      <c r="FH84">
        <v>-0.09</v>
      </c>
      <c r="FI84">
        <v>400</v>
      </c>
      <c r="FJ84">
        <v>10</v>
      </c>
      <c r="FK84">
        <v>0.1</v>
      </c>
      <c r="FL84">
        <v>0.02</v>
      </c>
      <c r="FM84">
        <v>-34.61946500000001</v>
      </c>
      <c r="FN84">
        <v>-50.00729606003746</v>
      </c>
      <c r="FO84">
        <v>5.427211009466556</v>
      </c>
      <c r="FP84">
        <v>-1</v>
      </c>
      <c r="FQ84">
        <v>9.707236999999999</v>
      </c>
      <c r="FR84">
        <v>0.2177250281425603</v>
      </c>
      <c r="FS84">
        <v>0.02238697927367608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432</v>
      </c>
      <c r="GB84">
        <v>2.97995</v>
      </c>
      <c r="GC84">
        <v>2.70634</v>
      </c>
      <c r="GD84">
        <v>0.086851</v>
      </c>
      <c r="GE84">
        <v>0.0938736</v>
      </c>
      <c r="GF84">
        <v>0.0881657</v>
      </c>
      <c r="GG84">
        <v>0.0499304</v>
      </c>
      <c r="GH84">
        <v>28811.2</v>
      </c>
      <c r="GI84">
        <v>28651.9</v>
      </c>
      <c r="GJ84">
        <v>29340.4</v>
      </c>
      <c r="GK84">
        <v>29253.5</v>
      </c>
      <c r="GL84">
        <v>35428.5</v>
      </c>
      <c r="GM84">
        <v>37015</v>
      </c>
      <c r="GN84">
        <v>41301.2</v>
      </c>
      <c r="GO84">
        <v>41749.7</v>
      </c>
      <c r="GP84">
        <v>1.9549</v>
      </c>
      <c r="GQ84">
        <v>1.83382</v>
      </c>
      <c r="GR84">
        <v>-0.0365339</v>
      </c>
      <c r="GS84">
        <v>0</v>
      </c>
      <c r="GT84">
        <v>25.5851</v>
      </c>
      <c r="GU84">
        <v>999.9</v>
      </c>
      <c r="GV84">
        <v>38.8</v>
      </c>
      <c r="GW84">
        <v>33.9</v>
      </c>
      <c r="GX84">
        <v>22.8839</v>
      </c>
      <c r="GY84">
        <v>62.6576</v>
      </c>
      <c r="GZ84">
        <v>35.3125</v>
      </c>
      <c r="HA84">
        <v>1</v>
      </c>
      <c r="HB84">
        <v>0.140249</v>
      </c>
      <c r="HC84">
        <v>2.1636</v>
      </c>
      <c r="HD84">
        <v>20.3193</v>
      </c>
      <c r="HE84">
        <v>5.21684</v>
      </c>
      <c r="HF84">
        <v>12.0099</v>
      </c>
      <c r="HG84">
        <v>4.9881</v>
      </c>
      <c r="HH84">
        <v>3.28858</v>
      </c>
      <c r="HI84">
        <v>850.5</v>
      </c>
      <c r="HJ84">
        <v>8463.6</v>
      </c>
      <c r="HK84">
        <v>5139.4</v>
      </c>
      <c r="HL84">
        <v>22.9</v>
      </c>
      <c r="HM84">
        <v>1.86752</v>
      </c>
      <c r="HN84">
        <v>1.86647</v>
      </c>
      <c r="HO84">
        <v>1.866</v>
      </c>
      <c r="HP84">
        <v>1.86587</v>
      </c>
      <c r="HQ84">
        <v>1.86772</v>
      </c>
      <c r="HR84">
        <v>1.87027</v>
      </c>
      <c r="HS84">
        <v>1.86891</v>
      </c>
      <c r="HT84">
        <v>1.87027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-1.236</v>
      </c>
      <c r="II84">
        <v>0.0072</v>
      </c>
      <c r="IJ84">
        <v>-0.4995723906072</v>
      </c>
      <c r="IK84">
        <v>-0.002077099775823331</v>
      </c>
      <c r="IL84">
        <v>4.593143279902166E-07</v>
      </c>
      <c r="IM84">
        <v>-1.865383991892071E-10</v>
      </c>
      <c r="IN84">
        <v>-0.07605349583632376</v>
      </c>
      <c r="IO84">
        <v>-0.01129461987421345</v>
      </c>
      <c r="IP84">
        <v>0.00116580895745559</v>
      </c>
      <c r="IQ84">
        <v>-1.679085872906199E-05</v>
      </c>
      <c r="IR84">
        <v>2</v>
      </c>
      <c r="IS84">
        <v>2290</v>
      </c>
      <c r="IT84">
        <v>0</v>
      </c>
      <c r="IU84">
        <v>32</v>
      </c>
      <c r="IV84">
        <v>6.7</v>
      </c>
      <c r="IW84">
        <v>6.3</v>
      </c>
      <c r="IX84">
        <v>1.07788</v>
      </c>
      <c r="IY84">
        <v>2.23633</v>
      </c>
      <c r="IZ84">
        <v>1.39648</v>
      </c>
      <c r="JA84">
        <v>2.35962</v>
      </c>
      <c r="JB84">
        <v>1.49536</v>
      </c>
      <c r="JC84">
        <v>2.35962</v>
      </c>
      <c r="JD84">
        <v>38.379</v>
      </c>
      <c r="JE84">
        <v>24.0437</v>
      </c>
      <c r="JF84">
        <v>18</v>
      </c>
      <c r="JG84">
        <v>514.998</v>
      </c>
      <c r="JH84">
        <v>422.784</v>
      </c>
      <c r="JI84">
        <v>22.6616</v>
      </c>
      <c r="JJ84">
        <v>29.1506</v>
      </c>
      <c r="JK84">
        <v>29.9999</v>
      </c>
      <c r="JL84">
        <v>29.1436</v>
      </c>
      <c r="JM84">
        <v>29.0788</v>
      </c>
      <c r="JN84">
        <v>21.5799</v>
      </c>
      <c r="JO84">
        <v>56.5973</v>
      </c>
      <c r="JP84">
        <v>0</v>
      </c>
      <c r="JQ84">
        <v>22.6636</v>
      </c>
      <c r="JR84">
        <v>446.952</v>
      </c>
      <c r="JS84">
        <v>8.66112</v>
      </c>
      <c r="JT84">
        <v>100.296</v>
      </c>
      <c r="JU84">
        <v>100.206</v>
      </c>
    </row>
    <row r="85" spans="1:281">
      <c r="A85">
        <v>69</v>
      </c>
      <c r="B85">
        <v>1651857423.1</v>
      </c>
      <c r="C85">
        <v>422.5</v>
      </c>
      <c r="D85" t="s">
        <v>565</v>
      </c>
      <c r="E85" t="s">
        <v>566</v>
      </c>
      <c r="F85">
        <v>2</v>
      </c>
      <c r="G85" t="s">
        <v>413</v>
      </c>
      <c r="H85" t="s">
        <v>414</v>
      </c>
      <c r="I85">
        <v>1651857421.725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429.759636022723</v>
      </c>
      <c r="AK85">
        <v>391.4349272727274</v>
      </c>
      <c r="AL85">
        <v>2.213645281735232</v>
      </c>
      <c r="AM85">
        <v>66.38384787954378</v>
      </c>
      <c r="AN85">
        <f>(AP85 - AO85 + DI85*1E3/(8.314*(DK85+273.15)) * AR85/DH85 * AQ85) * DH85/(100*CV85) * 1000/(1000 - AP85)</f>
        <v>0</v>
      </c>
      <c r="AO85">
        <v>8.744159930414931</v>
      </c>
      <c r="AP85">
        <v>18.4719582352941</v>
      </c>
      <c r="AQ85">
        <v>-8.629516232523981E-05</v>
      </c>
      <c r="AR85">
        <v>80.44866334591464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1238</v>
      </c>
      <c r="CA85">
        <v>300</v>
      </c>
      <c r="CB85">
        <v>300</v>
      </c>
      <c r="CC85">
        <v>300</v>
      </c>
      <c r="CD85">
        <v>10440.5</v>
      </c>
      <c r="CE85">
        <v>1411.69</v>
      </c>
      <c r="CF85">
        <v>-0.00735121</v>
      </c>
      <c r="CG85">
        <v>-0.77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1651857421.725</v>
      </c>
      <c r="DB85">
        <v>382.1795</v>
      </c>
      <c r="DC85">
        <v>430.56</v>
      </c>
      <c r="DD85">
        <v>18.472375</v>
      </c>
      <c r="DE85">
        <v>8.737932499999999</v>
      </c>
      <c r="DF85">
        <v>383.41825</v>
      </c>
      <c r="DG85">
        <v>18.4652</v>
      </c>
      <c r="DH85">
        <v>500.048</v>
      </c>
      <c r="DI85">
        <v>90.09200000000001</v>
      </c>
      <c r="DJ85">
        <v>0.10016085</v>
      </c>
      <c r="DK85">
        <v>25.7508</v>
      </c>
      <c r="DL85">
        <v>24.983975</v>
      </c>
      <c r="DM85">
        <v>999.9</v>
      </c>
      <c r="DN85">
        <v>0</v>
      </c>
      <c r="DO85">
        <v>0</v>
      </c>
      <c r="DP85">
        <v>10005</v>
      </c>
      <c r="DQ85">
        <v>0</v>
      </c>
      <c r="DR85">
        <v>3.22315</v>
      </c>
      <c r="DS85">
        <v>-48.38095</v>
      </c>
      <c r="DT85">
        <v>389.372</v>
      </c>
      <c r="DU85">
        <v>434.35525</v>
      </c>
      <c r="DV85">
        <v>9.73443</v>
      </c>
      <c r="DW85">
        <v>430.56</v>
      </c>
      <c r="DX85">
        <v>8.737932499999999</v>
      </c>
      <c r="DY85">
        <v>1.6642125</v>
      </c>
      <c r="DZ85">
        <v>0.7872185</v>
      </c>
      <c r="EA85">
        <v>14.5666</v>
      </c>
      <c r="EB85">
        <v>3.478885</v>
      </c>
      <c r="EC85">
        <v>1499.99</v>
      </c>
      <c r="ED85">
        <v>0.97300575</v>
      </c>
      <c r="EE85">
        <v>0.02699445</v>
      </c>
      <c r="EF85">
        <v>0</v>
      </c>
      <c r="EG85">
        <v>1027.1</v>
      </c>
      <c r="EH85">
        <v>5.00097</v>
      </c>
      <c r="EI85">
        <v>15246.45</v>
      </c>
      <c r="EJ85">
        <v>12491.55</v>
      </c>
      <c r="EK85">
        <v>37.54649999999999</v>
      </c>
      <c r="EL85">
        <v>39</v>
      </c>
      <c r="EM85">
        <v>37.92149999999999</v>
      </c>
      <c r="EN85">
        <v>38.75</v>
      </c>
      <c r="EO85">
        <v>38.375</v>
      </c>
      <c r="EP85">
        <v>1454.63</v>
      </c>
      <c r="EQ85">
        <v>40.36</v>
      </c>
      <c r="ER85">
        <v>0</v>
      </c>
      <c r="ES85">
        <v>421.8000001907349</v>
      </c>
      <c r="ET85">
        <v>0</v>
      </c>
      <c r="EU85">
        <v>1028.667692307692</v>
      </c>
      <c r="EV85">
        <v>-14.65230769793283</v>
      </c>
      <c r="EW85">
        <v>-222.7760686040082</v>
      </c>
      <c r="EX85">
        <v>15270.57692307692</v>
      </c>
      <c r="EY85">
        <v>15</v>
      </c>
      <c r="EZ85">
        <v>1651857041.1</v>
      </c>
      <c r="FA85" t="s">
        <v>419</v>
      </c>
      <c r="FB85">
        <v>1651857019.6</v>
      </c>
      <c r="FC85">
        <v>1651857041.1</v>
      </c>
      <c r="FD85">
        <v>1</v>
      </c>
      <c r="FE85">
        <v>0.545</v>
      </c>
      <c r="FF85">
        <v>-0.002</v>
      </c>
      <c r="FG85">
        <v>-1.271</v>
      </c>
      <c r="FH85">
        <v>-0.09</v>
      </c>
      <c r="FI85">
        <v>400</v>
      </c>
      <c r="FJ85">
        <v>10</v>
      </c>
      <c r="FK85">
        <v>0.1</v>
      </c>
      <c r="FL85">
        <v>0.02</v>
      </c>
      <c r="FM85">
        <v>-36.68283658536586</v>
      </c>
      <c r="FN85">
        <v>-64.50105156794424</v>
      </c>
      <c r="FO85">
        <v>6.752688729927929</v>
      </c>
      <c r="FP85">
        <v>-1</v>
      </c>
      <c r="FQ85">
        <v>9.71312243902439</v>
      </c>
      <c r="FR85">
        <v>0.200079930313603</v>
      </c>
      <c r="FS85">
        <v>0.02159737447689104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432</v>
      </c>
      <c r="GB85">
        <v>2.97997</v>
      </c>
      <c r="GC85">
        <v>2.70637</v>
      </c>
      <c r="GD85">
        <v>0.0876774</v>
      </c>
      <c r="GE85">
        <v>0.09495439999999999</v>
      </c>
      <c r="GF85">
        <v>0.088172</v>
      </c>
      <c r="GG85">
        <v>0.0498437</v>
      </c>
      <c r="GH85">
        <v>28784.9</v>
      </c>
      <c r="GI85">
        <v>28617.8</v>
      </c>
      <c r="GJ85">
        <v>29340.1</v>
      </c>
      <c r="GK85">
        <v>29253.5</v>
      </c>
      <c r="GL85">
        <v>35428</v>
      </c>
      <c r="GM85">
        <v>37018.5</v>
      </c>
      <c r="GN85">
        <v>41300.9</v>
      </c>
      <c r="GO85">
        <v>41749.8</v>
      </c>
      <c r="GP85">
        <v>1.9547</v>
      </c>
      <c r="GQ85">
        <v>1.83382</v>
      </c>
      <c r="GR85">
        <v>-0.0368357</v>
      </c>
      <c r="GS85">
        <v>0</v>
      </c>
      <c r="GT85">
        <v>25.5843</v>
      </c>
      <c r="GU85">
        <v>999.9</v>
      </c>
      <c r="GV85">
        <v>38.8</v>
      </c>
      <c r="GW85">
        <v>33.9</v>
      </c>
      <c r="GX85">
        <v>22.8817</v>
      </c>
      <c r="GY85">
        <v>62.3376</v>
      </c>
      <c r="GZ85">
        <v>35.4006</v>
      </c>
      <c r="HA85">
        <v>1</v>
      </c>
      <c r="HB85">
        <v>0.140211</v>
      </c>
      <c r="HC85">
        <v>2.17025</v>
      </c>
      <c r="HD85">
        <v>20.3194</v>
      </c>
      <c r="HE85">
        <v>5.21669</v>
      </c>
      <c r="HF85">
        <v>12.0099</v>
      </c>
      <c r="HG85">
        <v>4.9886</v>
      </c>
      <c r="HH85">
        <v>3.2885</v>
      </c>
      <c r="HI85">
        <v>850.5</v>
      </c>
      <c r="HJ85">
        <v>8463.6</v>
      </c>
      <c r="HK85">
        <v>5139.4</v>
      </c>
      <c r="HL85">
        <v>22.9</v>
      </c>
      <c r="HM85">
        <v>1.86752</v>
      </c>
      <c r="HN85">
        <v>1.86647</v>
      </c>
      <c r="HO85">
        <v>1.866</v>
      </c>
      <c r="HP85">
        <v>1.86588</v>
      </c>
      <c r="HQ85">
        <v>1.86771</v>
      </c>
      <c r="HR85">
        <v>1.87027</v>
      </c>
      <c r="HS85">
        <v>1.8689</v>
      </c>
      <c r="HT85">
        <v>1.87027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-1.245</v>
      </c>
      <c r="II85">
        <v>0.0072</v>
      </c>
      <c r="IJ85">
        <v>-0.4995723906072</v>
      </c>
      <c r="IK85">
        <v>-0.002077099775823331</v>
      </c>
      <c r="IL85">
        <v>4.593143279902166E-07</v>
      </c>
      <c r="IM85">
        <v>-1.865383991892071E-10</v>
      </c>
      <c r="IN85">
        <v>-0.07605349583632376</v>
      </c>
      <c r="IO85">
        <v>-0.01129461987421345</v>
      </c>
      <c r="IP85">
        <v>0.00116580895745559</v>
      </c>
      <c r="IQ85">
        <v>-1.679085872906199E-05</v>
      </c>
      <c r="IR85">
        <v>2</v>
      </c>
      <c r="IS85">
        <v>2290</v>
      </c>
      <c r="IT85">
        <v>0</v>
      </c>
      <c r="IU85">
        <v>32</v>
      </c>
      <c r="IV85">
        <v>6.7</v>
      </c>
      <c r="IW85">
        <v>6.4</v>
      </c>
      <c r="IX85">
        <v>1.09131</v>
      </c>
      <c r="IY85">
        <v>2.23999</v>
      </c>
      <c r="IZ85">
        <v>1.39648</v>
      </c>
      <c r="JA85">
        <v>2.35962</v>
      </c>
      <c r="JB85">
        <v>1.49536</v>
      </c>
      <c r="JC85">
        <v>2.27417</v>
      </c>
      <c r="JD85">
        <v>38.379</v>
      </c>
      <c r="JE85">
        <v>24.035</v>
      </c>
      <c r="JF85">
        <v>18</v>
      </c>
      <c r="JG85">
        <v>514.855</v>
      </c>
      <c r="JH85">
        <v>422.781</v>
      </c>
      <c r="JI85">
        <v>22.6645</v>
      </c>
      <c r="JJ85">
        <v>29.1494</v>
      </c>
      <c r="JK85">
        <v>29.9999</v>
      </c>
      <c r="JL85">
        <v>29.1424</v>
      </c>
      <c r="JM85">
        <v>29.0785</v>
      </c>
      <c r="JN85">
        <v>21.8399</v>
      </c>
      <c r="JO85">
        <v>56.5973</v>
      </c>
      <c r="JP85">
        <v>0</v>
      </c>
      <c r="JQ85">
        <v>22.6732</v>
      </c>
      <c r="JR85">
        <v>453.63</v>
      </c>
      <c r="JS85">
        <v>8.654310000000001</v>
      </c>
      <c r="JT85">
        <v>100.295</v>
      </c>
      <c r="JU85">
        <v>100.207</v>
      </c>
    </row>
    <row r="86" spans="1:281">
      <c r="A86">
        <v>70</v>
      </c>
      <c r="B86">
        <v>1651857425.1</v>
      </c>
      <c r="C86">
        <v>424.5</v>
      </c>
      <c r="D86" t="s">
        <v>567</v>
      </c>
      <c r="E86" t="s">
        <v>568</v>
      </c>
      <c r="F86">
        <v>2</v>
      </c>
      <c r="G86" t="s">
        <v>413</v>
      </c>
      <c r="H86" t="s">
        <v>414</v>
      </c>
      <c r="I86">
        <v>1651857424.1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436.3437131004608</v>
      </c>
      <c r="AK86">
        <v>396.5071696969696</v>
      </c>
      <c r="AL86">
        <v>2.468422107245779</v>
      </c>
      <c r="AM86">
        <v>66.38384787954378</v>
      </c>
      <c r="AN86">
        <f>(AP86 - AO86 + DI86*1E3/(8.314*(DK86+273.15)) * AR86/DH86 * AQ86) * DH86/(100*CV86) * 1000/(1000 - AP86)</f>
        <v>0</v>
      </c>
      <c r="AO86">
        <v>8.743719384927301</v>
      </c>
      <c r="AP86">
        <v>18.47321588235294</v>
      </c>
      <c r="AQ86">
        <v>-6.49878947872339E-05</v>
      </c>
      <c r="AR86">
        <v>80.44866334591464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1238</v>
      </c>
      <c r="CA86">
        <v>300</v>
      </c>
      <c r="CB86">
        <v>300</v>
      </c>
      <c r="CC86">
        <v>300</v>
      </c>
      <c r="CD86">
        <v>10440.5</v>
      </c>
      <c r="CE86">
        <v>1411.69</v>
      </c>
      <c r="CF86">
        <v>-0.00735121</v>
      </c>
      <c r="CG86">
        <v>-0.77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1651857424.1</v>
      </c>
      <c r="DB86">
        <v>387.903</v>
      </c>
      <c r="DC86">
        <v>438.3913333333333</v>
      </c>
      <c r="DD86">
        <v>18.47256666666667</v>
      </c>
      <c r="DE86">
        <v>8.702713333333334</v>
      </c>
      <c r="DF86">
        <v>389.152</v>
      </c>
      <c r="DG86">
        <v>18.46536666666667</v>
      </c>
      <c r="DH86">
        <v>500.0506666666667</v>
      </c>
      <c r="DI86">
        <v>90.09356666666667</v>
      </c>
      <c r="DJ86">
        <v>0.0999061</v>
      </c>
      <c r="DK86">
        <v>25.75143333333333</v>
      </c>
      <c r="DL86">
        <v>24.98096666666666</v>
      </c>
      <c r="DM86">
        <v>999.9</v>
      </c>
      <c r="DN86">
        <v>0</v>
      </c>
      <c r="DO86">
        <v>0</v>
      </c>
      <c r="DP86">
        <v>10023.76666666667</v>
      </c>
      <c r="DQ86">
        <v>0</v>
      </c>
      <c r="DR86">
        <v>3.23193</v>
      </c>
      <c r="DS86">
        <v>-50.4886</v>
      </c>
      <c r="DT86">
        <v>395.2033333333333</v>
      </c>
      <c r="DU86">
        <v>442.2403333333334</v>
      </c>
      <c r="DV86">
        <v>9.769823333333333</v>
      </c>
      <c r="DW86">
        <v>438.3913333333333</v>
      </c>
      <c r="DX86">
        <v>8.702713333333334</v>
      </c>
      <c r="DY86">
        <v>1.664256666666667</v>
      </c>
      <c r="DZ86">
        <v>0.7840579999999999</v>
      </c>
      <c r="EA86">
        <v>14.567</v>
      </c>
      <c r="EB86">
        <v>3.421906666666667</v>
      </c>
      <c r="EC86">
        <v>1500.073333333333</v>
      </c>
      <c r="ED86">
        <v>0.9730053333333334</v>
      </c>
      <c r="EE86">
        <v>0.0269949</v>
      </c>
      <c r="EF86">
        <v>0</v>
      </c>
      <c r="EG86">
        <v>1026.726666666667</v>
      </c>
      <c r="EH86">
        <v>5.00097</v>
      </c>
      <c r="EI86">
        <v>15245.33333333333</v>
      </c>
      <c r="EJ86">
        <v>12492.23333333333</v>
      </c>
      <c r="EK86">
        <v>37.54133333333333</v>
      </c>
      <c r="EL86">
        <v>39</v>
      </c>
      <c r="EM86">
        <v>37.937</v>
      </c>
      <c r="EN86">
        <v>38.75</v>
      </c>
      <c r="EO86">
        <v>38.39566666666666</v>
      </c>
      <c r="EP86">
        <v>1454.713333333333</v>
      </c>
      <c r="EQ86">
        <v>40.36</v>
      </c>
      <c r="ER86">
        <v>0</v>
      </c>
      <c r="ES86">
        <v>424.2000000476837</v>
      </c>
      <c r="ET86">
        <v>0</v>
      </c>
      <c r="EU86">
        <v>1028.155</v>
      </c>
      <c r="EV86">
        <v>-14.7586324999598</v>
      </c>
      <c r="EW86">
        <v>-207.401709769582</v>
      </c>
      <c r="EX86">
        <v>15263.37307692308</v>
      </c>
      <c r="EY86">
        <v>15</v>
      </c>
      <c r="EZ86">
        <v>1651857041.1</v>
      </c>
      <c r="FA86" t="s">
        <v>419</v>
      </c>
      <c r="FB86">
        <v>1651857019.6</v>
      </c>
      <c r="FC86">
        <v>1651857041.1</v>
      </c>
      <c r="FD86">
        <v>1</v>
      </c>
      <c r="FE86">
        <v>0.545</v>
      </c>
      <c r="FF86">
        <v>-0.002</v>
      </c>
      <c r="FG86">
        <v>-1.271</v>
      </c>
      <c r="FH86">
        <v>-0.09</v>
      </c>
      <c r="FI86">
        <v>400</v>
      </c>
      <c r="FJ86">
        <v>10</v>
      </c>
      <c r="FK86">
        <v>0.1</v>
      </c>
      <c r="FL86">
        <v>0.02</v>
      </c>
      <c r="FM86">
        <v>-38.3045175</v>
      </c>
      <c r="FN86">
        <v>-74.00050018761719</v>
      </c>
      <c r="FO86">
        <v>7.333132441422544</v>
      </c>
      <c r="FP86">
        <v>-1</v>
      </c>
      <c r="FQ86">
        <v>9.719477749999999</v>
      </c>
      <c r="FR86">
        <v>0.2187556097560704</v>
      </c>
      <c r="FS86">
        <v>0.02299997113992753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432</v>
      </c>
      <c r="GB86">
        <v>2.97978</v>
      </c>
      <c r="GC86">
        <v>2.70614</v>
      </c>
      <c r="GD86">
        <v>0.08857379999999999</v>
      </c>
      <c r="GE86">
        <v>0.09604890000000001</v>
      </c>
      <c r="GF86">
        <v>0.0881642</v>
      </c>
      <c r="GG86">
        <v>0.0496649</v>
      </c>
      <c r="GH86">
        <v>28756.3</v>
      </c>
      <c r="GI86">
        <v>28583.1</v>
      </c>
      <c r="GJ86">
        <v>29339.8</v>
      </c>
      <c r="GK86">
        <v>29253.5</v>
      </c>
      <c r="GL86">
        <v>35427.8</v>
      </c>
      <c r="GM86">
        <v>37025.4</v>
      </c>
      <c r="GN86">
        <v>41300.3</v>
      </c>
      <c r="GO86">
        <v>41749.6</v>
      </c>
      <c r="GP86">
        <v>1.95467</v>
      </c>
      <c r="GQ86">
        <v>1.83382</v>
      </c>
      <c r="GR86">
        <v>-0.0367984</v>
      </c>
      <c r="GS86">
        <v>0</v>
      </c>
      <c r="GT86">
        <v>25.5835</v>
      </c>
      <c r="GU86">
        <v>999.9</v>
      </c>
      <c r="GV86">
        <v>38.8</v>
      </c>
      <c r="GW86">
        <v>33.9</v>
      </c>
      <c r="GX86">
        <v>22.8831</v>
      </c>
      <c r="GY86">
        <v>62.3776</v>
      </c>
      <c r="GZ86">
        <v>35.621</v>
      </c>
      <c r="HA86">
        <v>1</v>
      </c>
      <c r="HB86">
        <v>0.140191</v>
      </c>
      <c r="HC86">
        <v>2.15788</v>
      </c>
      <c r="HD86">
        <v>20.3197</v>
      </c>
      <c r="HE86">
        <v>5.21714</v>
      </c>
      <c r="HF86">
        <v>12.0099</v>
      </c>
      <c r="HG86">
        <v>4.98865</v>
      </c>
      <c r="HH86">
        <v>3.2885</v>
      </c>
      <c r="HI86">
        <v>850.7</v>
      </c>
      <c r="HJ86">
        <v>8465.9</v>
      </c>
      <c r="HK86">
        <v>5139.4</v>
      </c>
      <c r="HL86">
        <v>22.9</v>
      </c>
      <c r="HM86">
        <v>1.86752</v>
      </c>
      <c r="HN86">
        <v>1.86648</v>
      </c>
      <c r="HO86">
        <v>1.866</v>
      </c>
      <c r="HP86">
        <v>1.86587</v>
      </c>
      <c r="HQ86">
        <v>1.8677</v>
      </c>
      <c r="HR86">
        <v>1.87027</v>
      </c>
      <c r="HS86">
        <v>1.86891</v>
      </c>
      <c r="HT86">
        <v>1.87027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-1.254</v>
      </c>
      <c r="II86">
        <v>0.0071</v>
      </c>
      <c r="IJ86">
        <v>-0.4995723906072</v>
      </c>
      <c r="IK86">
        <v>-0.002077099775823331</v>
      </c>
      <c r="IL86">
        <v>4.593143279902166E-07</v>
      </c>
      <c r="IM86">
        <v>-1.865383991892071E-10</v>
      </c>
      <c r="IN86">
        <v>-0.07605349583632376</v>
      </c>
      <c r="IO86">
        <v>-0.01129461987421345</v>
      </c>
      <c r="IP86">
        <v>0.00116580895745559</v>
      </c>
      <c r="IQ86">
        <v>-1.679085872906199E-05</v>
      </c>
      <c r="IR86">
        <v>2</v>
      </c>
      <c r="IS86">
        <v>2290</v>
      </c>
      <c r="IT86">
        <v>0</v>
      </c>
      <c r="IU86">
        <v>32</v>
      </c>
      <c r="IV86">
        <v>6.8</v>
      </c>
      <c r="IW86">
        <v>6.4</v>
      </c>
      <c r="IX86">
        <v>1.10352</v>
      </c>
      <c r="IY86">
        <v>2.23511</v>
      </c>
      <c r="IZ86">
        <v>1.39648</v>
      </c>
      <c r="JA86">
        <v>2.35962</v>
      </c>
      <c r="JB86">
        <v>1.49536</v>
      </c>
      <c r="JC86">
        <v>2.35718</v>
      </c>
      <c r="JD86">
        <v>38.379</v>
      </c>
      <c r="JE86">
        <v>24.0437</v>
      </c>
      <c r="JF86">
        <v>18</v>
      </c>
      <c r="JG86">
        <v>514.837</v>
      </c>
      <c r="JH86">
        <v>422.781</v>
      </c>
      <c r="JI86">
        <v>22.6669</v>
      </c>
      <c r="JJ86">
        <v>29.1486</v>
      </c>
      <c r="JK86">
        <v>29.9999</v>
      </c>
      <c r="JL86">
        <v>29.1422</v>
      </c>
      <c r="JM86">
        <v>29.0785</v>
      </c>
      <c r="JN86">
        <v>22.1005</v>
      </c>
      <c r="JO86">
        <v>56.5973</v>
      </c>
      <c r="JP86">
        <v>0</v>
      </c>
      <c r="JQ86">
        <v>22.6732</v>
      </c>
      <c r="JR86">
        <v>460.309</v>
      </c>
      <c r="JS86">
        <v>8.65301</v>
      </c>
      <c r="JT86">
        <v>100.294</v>
      </c>
      <c r="JU86">
        <v>100.206</v>
      </c>
    </row>
    <row r="87" spans="1:281">
      <c r="A87">
        <v>71</v>
      </c>
      <c r="B87">
        <v>1651857427.1</v>
      </c>
      <c r="C87">
        <v>426.5</v>
      </c>
      <c r="D87" t="s">
        <v>569</v>
      </c>
      <c r="E87" t="s">
        <v>570</v>
      </c>
      <c r="F87">
        <v>2</v>
      </c>
      <c r="G87" t="s">
        <v>413</v>
      </c>
      <c r="H87" t="s">
        <v>414</v>
      </c>
      <c r="I87">
        <v>1651857425.725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443.0127428572033</v>
      </c>
      <c r="AK87">
        <v>401.9704484848483</v>
      </c>
      <c r="AL87">
        <v>2.670040292641565</v>
      </c>
      <c r="AM87">
        <v>66.38384787954378</v>
      </c>
      <c r="AN87">
        <f>(AP87 - AO87 + DI87*1E3/(8.314*(DK87+273.15)) * AR87/DH87 * AQ87) * DH87/(100*CV87) * 1000/(1000 - AP87)</f>
        <v>0</v>
      </c>
      <c r="AO87">
        <v>8.728621267041287</v>
      </c>
      <c r="AP87">
        <v>18.46366058823529</v>
      </c>
      <c r="AQ87">
        <v>3.554089565530361E-05</v>
      </c>
      <c r="AR87">
        <v>80.44866334591464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1238</v>
      </c>
      <c r="CA87">
        <v>300</v>
      </c>
      <c r="CB87">
        <v>300</v>
      </c>
      <c r="CC87">
        <v>300</v>
      </c>
      <c r="CD87">
        <v>10440.5</v>
      </c>
      <c r="CE87">
        <v>1411.69</v>
      </c>
      <c r="CF87">
        <v>-0.00735121</v>
      </c>
      <c r="CG87">
        <v>-0.77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1651857425.725</v>
      </c>
      <c r="DB87">
        <v>392.183</v>
      </c>
      <c r="DC87">
        <v>443.81275</v>
      </c>
      <c r="DD87">
        <v>18.466675</v>
      </c>
      <c r="DE87">
        <v>8.67212</v>
      </c>
      <c r="DF87">
        <v>393.4397500000001</v>
      </c>
      <c r="DG87">
        <v>18.45955</v>
      </c>
      <c r="DH87">
        <v>500.0315</v>
      </c>
      <c r="DI87">
        <v>90.09522500000001</v>
      </c>
      <c r="DJ87">
        <v>0.09984595</v>
      </c>
      <c r="DK87">
        <v>25.75245</v>
      </c>
      <c r="DL87">
        <v>24.9825</v>
      </c>
      <c r="DM87">
        <v>999.9</v>
      </c>
      <c r="DN87">
        <v>0</v>
      </c>
      <c r="DO87">
        <v>0</v>
      </c>
      <c r="DP87">
        <v>10021.875</v>
      </c>
      <c r="DQ87">
        <v>0</v>
      </c>
      <c r="DR87">
        <v>3.2266625</v>
      </c>
      <c r="DS87">
        <v>-51.629825</v>
      </c>
      <c r="DT87">
        <v>399.56175</v>
      </c>
      <c r="DU87">
        <v>447.69525</v>
      </c>
      <c r="DV87">
        <v>9.794532499999999</v>
      </c>
      <c r="DW87">
        <v>443.81275</v>
      </c>
      <c r="DX87">
        <v>8.67212</v>
      </c>
      <c r="DY87">
        <v>1.6637575</v>
      </c>
      <c r="DZ87">
        <v>0.7813165</v>
      </c>
      <c r="EA87">
        <v>14.562325</v>
      </c>
      <c r="EB87">
        <v>3.3723</v>
      </c>
      <c r="EC87">
        <v>1499.925</v>
      </c>
      <c r="ED87">
        <v>0.9730045</v>
      </c>
      <c r="EE87">
        <v>0.0269958</v>
      </c>
      <c r="EF87">
        <v>0</v>
      </c>
      <c r="EG87">
        <v>1026.795</v>
      </c>
      <c r="EH87">
        <v>5.00097</v>
      </c>
      <c r="EI87">
        <v>15245.45</v>
      </c>
      <c r="EJ87">
        <v>12491</v>
      </c>
      <c r="EK87">
        <v>37.5155</v>
      </c>
      <c r="EL87">
        <v>39</v>
      </c>
      <c r="EM87">
        <v>37.937</v>
      </c>
      <c r="EN87">
        <v>38.781</v>
      </c>
      <c r="EO87">
        <v>38.375</v>
      </c>
      <c r="EP87">
        <v>1454.565</v>
      </c>
      <c r="EQ87">
        <v>40.36</v>
      </c>
      <c r="ER87">
        <v>0</v>
      </c>
      <c r="ES87">
        <v>426</v>
      </c>
      <c r="ET87">
        <v>0</v>
      </c>
      <c r="EU87">
        <v>1027.744</v>
      </c>
      <c r="EV87">
        <v>-12.04230772820019</v>
      </c>
      <c r="EW87">
        <v>-165.6153851314334</v>
      </c>
      <c r="EX87">
        <v>15257.488</v>
      </c>
      <c r="EY87">
        <v>15</v>
      </c>
      <c r="EZ87">
        <v>1651857041.1</v>
      </c>
      <c r="FA87" t="s">
        <v>419</v>
      </c>
      <c r="FB87">
        <v>1651857019.6</v>
      </c>
      <c r="FC87">
        <v>1651857041.1</v>
      </c>
      <c r="FD87">
        <v>1</v>
      </c>
      <c r="FE87">
        <v>0.545</v>
      </c>
      <c r="FF87">
        <v>-0.002</v>
      </c>
      <c r="FG87">
        <v>-1.271</v>
      </c>
      <c r="FH87">
        <v>-0.09</v>
      </c>
      <c r="FI87">
        <v>400</v>
      </c>
      <c r="FJ87">
        <v>10</v>
      </c>
      <c r="FK87">
        <v>0.1</v>
      </c>
      <c r="FL87">
        <v>0.02</v>
      </c>
      <c r="FM87">
        <v>-40.68022195121952</v>
      </c>
      <c r="FN87">
        <v>-79.03821114982577</v>
      </c>
      <c r="FO87">
        <v>7.893689000112289</v>
      </c>
      <c r="FP87">
        <v>-1</v>
      </c>
      <c r="FQ87">
        <v>9.731565609756096</v>
      </c>
      <c r="FR87">
        <v>0.2837788850174094</v>
      </c>
      <c r="FS87">
        <v>0.0307530288057252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432</v>
      </c>
      <c r="GB87">
        <v>2.97985</v>
      </c>
      <c r="GC87">
        <v>2.70625</v>
      </c>
      <c r="GD87">
        <v>0.0895185</v>
      </c>
      <c r="GE87">
        <v>0.0971346</v>
      </c>
      <c r="GF87">
        <v>0.08812300000000001</v>
      </c>
      <c r="GG87">
        <v>0.0495564</v>
      </c>
      <c r="GH87">
        <v>28726.4</v>
      </c>
      <c r="GI87">
        <v>28548.5</v>
      </c>
      <c r="GJ87">
        <v>29339.7</v>
      </c>
      <c r="GK87">
        <v>29253.2</v>
      </c>
      <c r="GL87">
        <v>35429.5</v>
      </c>
      <c r="GM87">
        <v>37029.3</v>
      </c>
      <c r="GN87">
        <v>41300.3</v>
      </c>
      <c r="GO87">
        <v>41749.3</v>
      </c>
      <c r="GP87">
        <v>1.95462</v>
      </c>
      <c r="GQ87">
        <v>1.83382</v>
      </c>
      <c r="GR87">
        <v>-0.0361167</v>
      </c>
      <c r="GS87">
        <v>0</v>
      </c>
      <c r="GT87">
        <v>25.5824</v>
      </c>
      <c r="GU87">
        <v>999.9</v>
      </c>
      <c r="GV87">
        <v>38.8</v>
      </c>
      <c r="GW87">
        <v>33.9</v>
      </c>
      <c r="GX87">
        <v>22.8801</v>
      </c>
      <c r="GY87">
        <v>62.4176</v>
      </c>
      <c r="GZ87">
        <v>35.2123</v>
      </c>
      <c r="HA87">
        <v>1</v>
      </c>
      <c r="HB87">
        <v>0.140102</v>
      </c>
      <c r="HC87">
        <v>2.14751</v>
      </c>
      <c r="HD87">
        <v>20.3197</v>
      </c>
      <c r="HE87">
        <v>5.21714</v>
      </c>
      <c r="HF87">
        <v>12.0099</v>
      </c>
      <c r="HG87">
        <v>4.9885</v>
      </c>
      <c r="HH87">
        <v>3.2885</v>
      </c>
      <c r="HI87">
        <v>850.7</v>
      </c>
      <c r="HJ87">
        <v>8465.9</v>
      </c>
      <c r="HK87">
        <v>5139.4</v>
      </c>
      <c r="HL87">
        <v>22.9</v>
      </c>
      <c r="HM87">
        <v>1.86752</v>
      </c>
      <c r="HN87">
        <v>1.86649</v>
      </c>
      <c r="HO87">
        <v>1.866</v>
      </c>
      <c r="HP87">
        <v>1.86587</v>
      </c>
      <c r="HQ87">
        <v>1.86769</v>
      </c>
      <c r="HR87">
        <v>1.87026</v>
      </c>
      <c r="HS87">
        <v>1.8689</v>
      </c>
      <c r="HT87">
        <v>1.87026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-1.264</v>
      </c>
      <c r="II87">
        <v>0.0069</v>
      </c>
      <c r="IJ87">
        <v>-0.4995723906072</v>
      </c>
      <c r="IK87">
        <v>-0.002077099775823331</v>
      </c>
      <c r="IL87">
        <v>4.593143279902166E-07</v>
      </c>
      <c r="IM87">
        <v>-1.865383991892071E-10</v>
      </c>
      <c r="IN87">
        <v>-0.07605349583632376</v>
      </c>
      <c r="IO87">
        <v>-0.01129461987421345</v>
      </c>
      <c r="IP87">
        <v>0.00116580895745559</v>
      </c>
      <c r="IQ87">
        <v>-1.679085872906199E-05</v>
      </c>
      <c r="IR87">
        <v>2</v>
      </c>
      <c r="IS87">
        <v>2290</v>
      </c>
      <c r="IT87">
        <v>0</v>
      </c>
      <c r="IU87">
        <v>32</v>
      </c>
      <c r="IV87">
        <v>6.8</v>
      </c>
      <c r="IW87">
        <v>6.4</v>
      </c>
      <c r="IX87">
        <v>1.11694</v>
      </c>
      <c r="IY87">
        <v>2.23755</v>
      </c>
      <c r="IZ87">
        <v>1.39648</v>
      </c>
      <c r="JA87">
        <v>2.35962</v>
      </c>
      <c r="JB87">
        <v>1.49536</v>
      </c>
      <c r="JC87">
        <v>2.29614</v>
      </c>
      <c r="JD87">
        <v>38.379</v>
      </c>
      <c r="JE87">
        <v>24.0437</v>
      </c>
      <c r="JF87">
        <v>18</v>
      </c>
      <c r="JG87">
        <v>514.801</v>
      </c>
      <c r="JH87">
        <v>422.775</v>
      </c>
      <c r="JI87">
        <v>22.6704</v>
      </c>
      <c r="JJ87">
        <v>29.1475</v>
      </c>
      <c r="JK87">
        <v>29.9998</v>
      </c>
      <c r="JL87">
        <v>29.1418</v>
      </c>
      <c r="JM87">
        <v>29.0776</v>
      </c>
      <c r="JN87">
        <v>22.3613</v>
      </c>
      <c r="JO87">
        <v>56.5973</v>
      </c>
      <c r="JP87">
        <v>0</v>
      </c>
      <c r="JQ87">
        <v>22.6732</v>
      </c>
      <c r="JR87">
        <v>466.988</v>
      </c>
      <c r="JS87">
        <v>8.663880000000001</v>
      </c>
      <c r="JT87">
        <v>100.294</v>
      </c>
      <c r="JU87">
        <v>100.205</v>
      </c>
    </row>
    <row r="88" spans="1:281">
      <c r="A88">
        <v>72</v>
      </c>
      <c r="B88">
        <v>1651857429.1</v>
      </c>
      <c r="C88">
        <v>428.5</v>
      </c>
      <c r="D88" t="s">
        <v>571</v>
      </c>
      <c r="E88" t="s">
        <v>572</v>
      </c>
      <c r="F88">
        <v>2</v>
      </c>
      <c r="G88" t="s">
        <v>413</v>
      </c>
      <c r="H88" t="s">
        <v>414</v>
      </c>
      <c r="I88">
        <v>1651857428.1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449.7223269474894</v>
      </c>
      <c r="AK88">
        <v>407.6655818181816</v>
      </c>
      <c r="AL88">
        <v>2.811824306093772</v>
      </c>
      <c r="AM88">
        <v>66.38384787954378</v>
      </c>
      <c r="AN88">
        <f>(AP88 - AO88 + DI88*1E3/(8.314*(DK88+273.15)) * AR88/DH88 * AQ88) * DH88/(100*CV88) * 1000/(1000 - AP88)</f>
        <v>0</v>
      </c>
      <c r="AO88">
        <v>8.690868340290175</v>
      </c>
      <c r="AP88">
        <v>18.44636882352941</v>
      </c>
      <c r="AQ88">
        <v>3.823842024688574E-05</v>
      </c>
      <c r="AR88">
        <v>80.44866334591464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1238</v>
      </c>
      <c r="CA88">
        <v>300</v>
      </c>
      <c r="CB88">
        <v>300</v>
      </c>
      <c r="CC88">
        <v>300</v>
      </c>
      <c r="CD88">
        <v>10440.5</v>
      </c>
      <c r="CE88">
        <v>1411.69</v>
      </c>
      <c r="CF88">
        <v>-0.00735121</v>
      </c>
      <c r="CG88">
        <v>-0.77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1651857428.1</v>
      </c>
      <c r="DB88">
        <v>398.7260000000001</v>
      </c>
      <c r="DC88">
        <v>451.7496666666667</v>
      </c>
      <c r="DD88">
        <v>18.45093333333334</v>
      </c>
      <c r="DE88">
        <v>8.654503333333334</v>
      </c>
      <c r="DF88">
        <v>399.9946666666667</v>
      </c>
      <c r="DG88">
        <v>18.44406666666666</v>
      </c>
      <c r="DH88">
        <v>500.023</v>
      </c>
      <c r="DI88">
        <v>90.09690000000001</v>
      </c>
      <c r="DJ88">
        <v>0.1001496666666667</v>
      </c>
      <c r="DK88">
        <v>25.7511</v>
      </c>
      <c r="DL88">
        <v>24.99146666666667</v>
      </c>
      <c r="DM88">
        <v>999.9</v>
      </c>
      <c r="DN88">
        <v>0</v>
      </c>
      <c r="DO88">
        <v>0</v>
      </c>
      <c r="DP88">
        <v>9997.483333333334</v>
      </c>
      <c r="DQ88">
        <v>0</v>
      </c>
      <c r="DR88">
        <v>3.210856666666666</v>
      </c>
      <c r="DS88">
        <v>-53.02359999999999</v>
      </c>
      <c r="DT88">
        <v>406.221</v>
      </c>
      <c r="DU88">
        <v>455.6933333333333</v>
      </c>
      <c r="DV88">
        <v>9.796430000000001</v>
      </c>
      <c r="DW88">
        <v>451.7496666666667</v>
      </c>
      <c r="DX88">
        <v>8.654503333333334</v>
      </c>
      <c r="DY88">
        <v>1.66237</v>
      </c>
      <c r="DZ88">
        <v>0.779744</v>
      </c>
      <c r="EA88">
        <v>14.54946666666667</v>
      </c>
      <c r="EB88">
        <v>3.343796666666667</v>
      </c>
      <c r="EC88">
        <v>1500.073333333333</v>
      </c>
      <c r="ED88">
        <v>0.973007</v>
      </c>
      <c r="EE88">
        <v>0.0269931</v>
      </c>
      <c r="EF88">
        <v>0</v>
      </c>
      <c r="EG88">
        <v>1027.386666666667</v>
      </c>
      <c r="EH88">
        <v>5.00097</v>
      </c>
      <c r="EI88">
        <v>15254.8</v>
      </c>
      <c r="EJ88">
        <v>12492.23333333333</v>
      </c>
      <c r="EK88">
        <v>37.52066666666666</v>
      </c>
      <c r="EL88">
        <v>39.04133333333333</v>
      </c>
      <c r="EM88">
        <v>37.937</v>
      </c>
      <c r="EN88">
        <v>38.75</v>
      </c>
      <c r="EO88">
        <v>38.375</v>
      </c>
      <c r="EP88">
        <v>1454.713333333333</v>
      </c>
      <c r="EQ88">
        <v>40.36</v>
      </c>
      <c r="ER88">
        <v>0</v>
      </c>
      <c r="ES88">
        <v>427.8000001907349</v>
      </c>
      <c r="ET88">
        <v>0</v>
      </c>
      <c r="EU88">
        <v>1027.602307692307</v>
      </c>
      <c r="EV88">
        <v>-7.66495726052392</v>
      </c>
      <c r="EW88">
        <v>-101.8803418839278</v>
      </c>
      <c r="EX88">
        <v>15255.27692307692</v>
      </c>
      <c r="EY88">
        <v>15</v>
      </c>
      <c r="EZ88">
        <v>1651857041.1</v>
      </c>
      <c r="FA88" t="s">
        <v>419</v>
      </c>
      <c r="FB88">
        <v>1651857019.6</v>
      </c>
      <c r="FC88">
        <v>1651857041.1</v>
      </c>
      <c r="FD88">
        <v>1</v>
      </c>
      <c r="FE88">
        <v>0.545</v>
      </c>
      <c r="FF88">
        <v>-0.002</v>
      </c>
      <c r="FG88">
        <v>-1.271</v>
      </c>
      <c r="FH88">
        <v>-0.09</v>
      </c>
      <c r="FI88">
        <v>400</v>
      </c>
      <c r="FJ88">
        <v>10</v>
      </c>
      <c r="FK88">
        <v>0.1</v>
      </c>
      <c r="FL88">
        <v>0.02</v>
      </c>
      <c r="FM88">
        <v>-42.60872500000001</v>
      </c>
      <c r="FN88">
        <v>-79.95956172607877</v>
      </c>
      <c r="FO88">
        <v>7.786630521854431</v>
      </c>
      <c r="FP88">
        <v>-1</v>
      </c>
      <c r="FQ88">
        <v>9.74090425</v>
      </c>
      <c r="FR88">
        <v>0.3032387617260677</v>
      </c>
      <c r="FS88">
        <v>0.03209835688064899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432</v>
      </c>
      <c r="GB88">
        <v>2.97998</v>
      </c>
      <c r="GC88">
        <v>2.70632</v>
      </c>
      <c r="GD88">
        <v>0.0905015</v>
      </c>
      <c r="GE88">
        <v>0.0982242</v>
      </c>
      <c r="GF88">
        <v>0.08808290000000001</v>
      </c>
      <c r="GG88">
        <v>0.0495349</v>
      </c>
      <c r="GH88">
        <v>28695.7</v>
      </c>
      <c r="GI88">
        <v>28514.2</v>
      </c>
      <c r="GJ88">
        <v>29340</v>
      </c>
      <c r="GK88">
        <v>29253.3</v>
      </c>
      <c r="GL88">
        <v>35431.5</v>
      </c>
      <c r="GM88">
        <v>37030.2</v>
      </c>
      <c r="GN88">
        <v>41300.9</v>
      </c>
      <c r="GO88">
        <v>41749.3</v>
      </c>
      <c r="GP88">
        <v>1.95473</v>
      </c>
      <c r="GQ88">
        <v>1.83388</v>
      </c>
      <c r="GR88">
        <v>-0.0358522</v>
      </c>
      <c r="GS88">
        <v>0</v>
      </c>
      <c r="GT88">
        <v>25.5813</v>
      </c>
      <c r="GU88">
        <v>999.9</v>
      </c>
      <c r="GV88">
        <v>38.8</v>
      </c>
      <c r="GW88">
        <v>33.8</v>
      </c>
      <c r="GX88">
        <v>22.7559</v>
      </c>
      <c r="GY88">
        <v>62.6376</v>
      </c>
      <c r="GZ88">
        <v>35.5849</v>
      </c>
      <c r="HA88">
        <v>1</v>
      </c>
      <c r="HB88">
        <v>0.139804</v>
      </c>
      <c r="HC88">
        <v>2.15029</v>
      </c>
      <c r="HD88">
        <v>20.3196</v>
      </c>
      <c r="HE88">
        <v>5.21729</v>
      </c>
      <c r="HF88">
        <v>12.0099</v>
      </c>
      <c r="HG88">
        <v>4.9886</v>
      </c>
      <c r="HH88">
        <v>3.28848</v>
      </c>
      <c r="HI88">
        <v>850.7</v>
      </c>
      <c r="HJ88">
        <v>8465.9</v>
      </c>
      <c r="HK88">
        <v>5139.4</v>
      </c>
      <c r="HL88">
        <v>22.9</v>
      </c>
      <c r="HM88">
        <v>1.86752</v>
      </c>
      <c r="HN88">
        <v>1.86649</v>
      </c>
      <c r="HO88">
        <v>1.866</v>
      </c>
      <c r="HP88">
        <v>1.86587</v>
      </c>
      <c r="HQ88">
        <v>1.8677</v>
      </c>
      <c r="HR88">
        <v>1.87026</v>
      </c>
      <c r="HS88">
        <v>1.8689</v>
      </c>
      <c r="HT88">
        <v>1.87026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-1.274</v>
      </c>
      <c r="II88">
        <v>0.0068</v>
      </c>
      <c r="IJ88">
        <v>-0.4995723906072</v>
      </c>
      <c r="IK88">
        <v>-0.002077099775823331</v>
      </c>
      <c r="IL88">
        <v>4.593143279902166E-07</v>
      </c>
      <c r="IM88">
        <v>-1.865383991892071E-10</v>
      </c>
      <c r="IN88">
        <v>-0.07605349583632376</v>
      </c>
      <c r="IO88">
        <v>-0.01129461987421345</v>
      </c>
      <c r="IP88">
        <v>0.00116580895745559</v>
      </c>
      <c r="IQ88">
        <v>-1.679085872906199E-05</v>
      </c>
      <c r="IR88">
        <v>2</v>
      </c>
      <c r="IS88">
        <v>2290</v>
      </c>
      <c r="IT88">
        <v>0</v>
      </c>
      <c r="IU88">
        <v>32</v>
      </c>
      <c r="IV88">
        <v>6.8</v>
      </c>
      <c r="IW88">
        <v>6.5</v>
      </c>
      <c r="IX88">
        <v>1.12915</v>
      </c>
      <c r="IY88">
        <v>2.23877</v>
      </c>
      <c r="IZ88">
        <v>1.39648</v>
      </c>
      <c r="JA88">
        <v>2.35962</v>
      </c>
      <c r="JB88">
        <v>1.49536</v>
      </c>
      <c r="JC88">
        <v>2.31934</v>
      </c>
      <c r="JD88">
        <v>38.379</v>
      </c>
      <c r="JE88">
        <v>24.0437</v>
      </c>
      <c r="JF88">
        <v>18</v>
      </c>
      <c r="JG88">
        <v>514.857</v>
      </c>
      <c r="JH88">
        <v>422.796</v>
      </c>
      <c r="JI88">
        <v>22.6743</v>
      </c>
      <c r="JJ88">
        <v>29.1462</v>
      </c>
      <c r="JK88">
        <v>29.9998</v>
      </c>
      <c r="JL88">
        <v>29.1405</v>
      </c>
      <c r="JM88">
        <v>29.0764</v>
      </c>
      <c r="JN88">
        <v>22.6176</v>
      </c>
      <c r="JO88">
        <v>56.5973</v>
      </c>
      <c r="JP88">
        <v>0</v>
      </c>
      <c r="JQ88">
        <v>22.684</v>
      </c>
      <c r="JR88">
        <v>473.666</v>
      </c>
      <c r="JS88">
        <v>8.666040000000001</v>
      </c>
      <c r="JT88">
        <v>100.295</v>
      </c>
      <c r="JU88">
        <v>100.206</v>
      </c>
    </row>
    <row r="89" spans="1:281">
      <c r="A89">
        <v>73</v>
      </c>
      <c r="B89">
        <v>1651857431.1</v>
      </c>
      <c r="C89">
        <v>430.5</v>
      </c>
      <c r="D89" t="s">
        <v>573</v>
      </c>
      <c r="E89" t="s">
        <v>574</v>
      </c>
      <c r="F89">
        <v>2</v>
      </c>
      <c r="G89" t="s">
        <v>413</v>
      </c>
      <c r="H89" t="s">
        <v>414</v>
      </c>
      <c r="I89">
        <v>1651857429.725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456.4757094495434</v>
      </c>
      <c r="AK89">
        <v>413.5722484848486</v>
      </c>
      <c r="AL89">
        <v>2.922748800448501</v>
      </c>
      <c r="AM89">
        <v>66.38384787954378</v>
      </c>
      <c r="AN89">
        <f>(AP89 - AO89 + DI89*1E3/(8.314*(DK89+273.15)) * AR89/DH89 * AQ89) * DH89/(100*CV89) * 1000/(1000 - AP89)</f>
        <v>0</v>
      </c>
      <c r="AO89">
        <v>8.661690377714629</v>
      </c>
      <c r="AP89">
        <v>18.44082176470588</v>
      </c>
      <c r="AQ89">
        <v>-0.005361805751081637</v>
      </c>
      <c r="AR89">
        <v>80.44866334591464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1238</v>
      </c>
      <c r="CA89">
        <v>300</v>
      </c>
      <c r="CB89">
        <v>300</v>
      </c>
      <c r="CC89">
        <v>300</v>
      </c>
      <c r="CD89">
        <v>10440.5</v>
      </c>
      <c r="CE89">
        <v>1411.69</v>
      </c>
      <c r="CF89">
        <v>-0.00735121</v>
      </c>
      <c r="CG89">
        <v>-0.77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1651857429.725</v>
      </c>
      <c r="DB89">
        <v>403.39825</v>
      </c>
      <c r="DC89">
        <v>457.28225</v>
      </c>
      <c r="DD89">
        <v>18.4451</v>
      </c>
      <c r="DE89">
        <v>8.651797500000001</v>
      </c>
      <c r="DF89">
        <v>404.6752499999999</v>
      </c>
      <c r="DG89">
        <v>18.438325</v>
      </c>
      <c r="DH89">
        <v>500.05525</v>
      </c>
      <c r="DI89">
        <v>90.09630000000001</v>
      </c>
      <c r="DJ89">
        <v>0.10014825</v>
      </c>
      <c r="DK89">
        <v>25.75055</v>
      </c>
      <c r="DL89">
        <v>24.992975</v>
      </c>
      <c r="DM89">
        <v>999.9</v>
      </c>
      <c r="DN89">
        <v>0</v>
      </c>
      <c r="DO89">
        <v>0</v>
      </c>
      <c r="DP89">
        <v>9996.5625</v>
      </c>
      <c r="DQ89">
        <v>0</v>
      </c>
      <c r="DR89">
        <v>3.2091</v>
      </c>
      <c r="DS89">
        <v>-53.883975</v>
      </c>
      <c r="DT89">
        <v>410.9785</v>
      </c>
      <c r="DU89">
        <v>461.27275</v>
      </c>
      <c r="DV89">
        <v>9.7933275</v>
      </c>
      <c r="DW89">
        <v>457.28225</v>
      </c>
      <c r="DX89">
        <v>8.651797500000001</v>
      </c>
      <c r="DY89">
        <v>1.6618375</v>
      </c>
      <c r="DZ89">
        <v>0.7794952500000001</v>
      </c>
      <c r="EA89">
        <v>14.54445</v>
      </c>
      <c r="EB89">
        <v>3.33928</v>
      </c>
      <c r="EC89">
        <v>1499.995</v>
      </c>
      <c r="ED89">
        <v>0.9730045</v>
      </c>
      <c r="EE89">
        <v>0.0269958</v>
      </c>
      <c r="EF89">
        <v>0</v>
      </c>
      <c r="EG89">
        <v>1028.0075</v>
      </c>
      <c r="EH89">
        <v>5.00097</v>
      </c>
      <c r="EI89">
        <v>15261.1</v>
      </c>
      <c r="EJ89">
        <v>12491.575</v>
      </c>
      <c r="EK89">
        <v>37.5155</v>
      </c>
      <c r="EL89">
        <v>39.0155</v>
      </c>
      <c r="EM89">
        <v>37.937</v>
      </c>
      <c r="EN89">
        <v>38.75</v>
      </c>
      <c r="EO89">
        <v>38.375</v>
      </c>
      <c r="EP89">
        <v>1454.635</v>
      </c>
      <c r="EQ89">
        <v>40.36</v>
      </c>
      <c r="ER89">
        <v>0</v>
      </c>
      <c r="ES89">
        <v>430.2000000476837</v>
      </c>
      <c r="ET89">
        <v>0</v>
      </c>
      <c r="EU89">
        <v>1027.516538461538</v>
      </c>
      <c r="EV89">
        <v>-0.02222222993538878</v>
      </c>
      <c r="EW89">
        <v>7.521367339670158</v>
      </c>
      <c r="EX89">
        <v>15253.89230769231</v>
      </c>
      <c r="EY89">
        <v>15</v>
      </c>
      <c r="EZ89">
        <v>1651857041.1</v>
      </c>
      <c r="FA89" t="s">
        <v>419</v>
      </c>
      <c r="FB89">
        <v>1651857019.6</v>
      </c>
      <c r="FC89">
        <v>1651857041.1</v>
      </c>
      <c r="FD89">
        <v>1</v>
      </c>
      <c r="FE89">
        <v>0.545</v>
      </c>
      <c r="FF89">
        <v>-0.002</v>
      </c>
      <c r="FG89">
        <v>-1.271</v>
      </c>
      <c r="FH89">
        <v>-0.09</v>
      </c>
      <c r="FI89">
        <v>400</v>
      </c>
      <c r="FJ89">
        <v>10</v>
      </c>
      <c r="FK89">
        <v>0.1</v>
      </c>
      <c r="FL89">
        <v>0.02</v>
      </c>
      <c r="FM89">
        <v>-45.14911463414634</v>
      </c>
      <c r="FN89">
        <v>-72.75212195121951</v>
      </c>
      <c r="FO89">
        <v>7.343459077419651</v>
      </c>
      <c r="FP89">
        <v>-1</v>
      </c>
      <c r="FQ89">
        <v>9.752139024390244</v>
      </c>
      <c r="FR89">
        <v>0.2868179790940804</v>
      </c>
      <c r="FS89">
        <v>0.03122205285393709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432</v>
      </c>
      <c r="GB89">
        <v>2.97997</v>
      </c>
      <c r="GC89">
        <v>2.70622</v>
      </c>
      <c r="GD89">
        <v>0.0915088</v>
      </c>
      <c r="GE89">
        <v>0.0993182</v>
      </c>
      <c r="GF89">
        <v>0.0880729</v>
      </c>
      <c r="GG89">
        <v>0.0495251</v>
      </c>
      <c r="GH89">
        <v>28664.2</v>
      </c>
      <c r="GI89">
        <v>28479.7</v>
      </c>
      <c r="GJ89">
        <v>29340.3</v>
      </c>
      <c r="GK89">
        <v>29253.4</v>
      </c>
      <c r="GL89">
        <v>35432.1</v>
      </c>
      <c r="GM89">
        <v>37030.6</v>
      </c>
      <c r="GN89">
        <v>41301.1</v>
      </c>
      <c r="GO89">
        <v>41749.4</v>
      </c>
      <c r="GP89">
        <v>1.95513</v>
      </c>
      <c r="GQ89">
        <v>1.83403</v>
      </c>
      <c r="GR89">
        <v>-0.0362322</v>
      </c>
      <c r="GS89">
        <v>0</v>
      </c>
      <c r="GT89">
        <v>25.5802</v>
      </c>
      <c r="GU89">
        <v>999.9</v>
      </c>
      <c r="GV89">
        <v>38.8</v>
      </c>
      <c r="GW89">
        <v>33.9</v>
      </c>
      <c r="GX89">
        <v>22.8815</v>
      </c>
      <c r="GY89">
        <v>62.6476</v>
      </c>
      <c r="GZ89">
        <v>35.4527</v>
      </c>
      <c r="HA89">
        <v>1</v>
      </c>
      <c r="HB89">
        <v>0.139637</v>
      </c>
      <c r="HC89">
        <v>2.13668</v>
      </c>
      <c r="HD89">
        <v>20.3199</v>
      </c>
      <c r="HE89">
        <v>5.21729</v>
      </c>
      <c r="HF89">
        <v>12.0099</v>
      </c>
      <c r="HG89">
        <v>4.98895</v>
      </c>
      <c r="HH89">
        <v>3.28848</v>
      </c>
      <c r="HI89">
        <v>850.7</v>
      </c>
      <c r="HJ89">
        <v>8465.9</v>
      </c>
      <c r="HK89">
        <v>5139.4</v>
      </c>
      <c r="HL89">
        <v>22.9</v>
      </c>
      <c r="HM89">
        <v>1.86752</v>
      </c>
      <c r="HN89">
        <v>1.86649</v>
      </c>
      <c r="HO89">
        <v>1.866</v>
      </c>
      <c r="HP89">
        <v>1.86587</v>
      </c>
      <c r="HQ89">
        <v>1.86771</v>
      </c>
      <c r="HR89">
        <v>1.87026</v>
      </c>
      <c r="HS89">
        <v>1.8689</v>
      </c>
      <c r="HT89">
        <v>1.87027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-1.284</v>
      </c>
      <c r="II89">
        <v>0.0068</v>
      </c>
      <c r="IJ89">
        <v>-0.4995723906072</v>
      </c>
      <c r="IK89">
        <v>-0.002077099775823331</v>
      </c>
      <c r="IL89">
        <v>4.593143279902166E-07</v>
      </c>
      <c r="IM89">
        <v>-1.865383991892071E-10</v>
      </c>
      <c r="IN89">
        <v>-0.07605349583632376</v>
      </c>
      <c r="IO89">
        <v>-0.01129461987421345</v>
      </c>
      <c r="IP89">
        <v>0.00116580895745559</v>
      </c>
      <c r="IQ89">
        <v>-1.679085872906199E-05</v>
      </c>
      <c r="IR89">
        <v>2</v>
      </c>
      <c r="IS89">
        <v>2290</v>
      </c>
      <c r="IT89">
        <v>0</v>
      </c>
      <c r="IU89">
        <v>32</v>
      </c>
      <c r="IV89">
        <v>6.9</v>
      </c>
      <c r="IW89">
        <v>6.5</v>
      </c>
      <c r="IX89">
        <v>1.14258</v>
      </c>
      <c r="IY89">
        <v>2.23389</v>
      </c>
      <c r="IZ89">
        <v>1.39648</v>
      </c>
      <c r="JA89">
        <v>2.35962</v>
      </c>
      <c r="JB89">
        <v>1.49536</v>
      </c>
      <c r="JC89">
        <v>2.36206</v>
      </c>
      <c r="JD89">
        <v>38.379</v>
      </c>
      <c r="JE89">
        <v>24.0437</v>
      </c>
      <c r="JF89">
        <v>18</v>
      </c>
      <c r="JG89">
        <v>515.112</v>
      </c>
      <c r="JH89">
        <v>422.883</v>
      </c>
      <c r="JI89">
        <v>22.6779</v>
      </c>
      <c r="JJ89">
        <v>29.1456</v>
      </c>
      <c r="JK89">
        <v>29.9999</v>
      </c>
      <c r="JL89">
        <v>29.1397</v>
      </c>
      <c r="JM89">
        <v>29.0761</v>
      </c>
      <c r="JN89">
        <v>22.8724</v>
      </c>
      <c r="JO89">
        <v>56.5973</v>
      </c>
      <c r="JP89">
        <v>0</v>
      </c>
      <c r="JQ89">
        <v>22.684</v>
      </c>
      <c r="JR89">
        <v>480.344</v>
      </c>
      <c r="JS89">
        <v>8.66273</v>
      </c>
      <c r="JT89">
        <v>100.296</v>
      </c>
      <c r="JU89">
        <v>100.206</v>
      </c>
    </row>
    <row r="90" spans="1:281">
      <c r="A90">
        <v>74</v>
      </c>
      <c r="B90">
        <v>1651857433.1</v>
      </c>
      <c r="C90">
        <v>432.5</v>
      </c>
      <c r="D90" t="s">
        <v>575</v>
      </c>
      <c r="E90" t="s">
        <v>576</v>
      </c>
      <c r="F90">
        <v>2</v>
      </c>
      <c r="G90" t="s">
        <v>413</v>
      </c>
      <c r="H90" t="s">
        <v>414</v>
      </c>
      <c r="I90">
        <v>1651857432.1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463.3580434014145</v>
      </c>
      <c r="AK90">
        <v>419.70723030303</v>
      </c>
      <c r="AL90">
        <v>3.02894151537784</v>
      </c>
      <c r="AM90">
        <v>66.38384787954378</v>
      </c>
      <c r="AN90">
        <f>(AP90 - AO90 + DI90*1E3/(8.314*(DK90+273.15)) * AR90/DH90 * AQ90) * DH90/(100*CV90) * 1000/(1000 - AP90)</f>
        <v>0</v>
      </c>
      <c r="AO90">
        <v>8.653549783842964</v>
      </c>
      <c r="AP90">
        <v>18.44005617647059</v>
      </c>
      <c r="AQ90">
        <v>-0.007379512605706212</v>
      </c>
      <c r="AR90">
        <v>80.44866334591464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1238</v>
      </c>
      <c r="CA90">
        <v>300</v>
      </c>
      <c r="CB90">
        <v>300</v>
      </c>
      <c r="CC90">
        <v>300</v>
      </c>
      <c r="CD90">
        <v>10440.5</v>
      </c>
      <c r="CE90">
        <v>1411.69</v>
      </c>
      <c r="CF90">
        <v>-0.00735121</v>
      </c>
      <c r="CG90">
        <v>-0.77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1651857432.1</v>
      </c>
      <c r="DB90">
        <v>410.448</v>
      </c>
      <c r="DC90">
        <v>465.3186666666667</v>
      </c>
      <c r="DD90">
        <v>18.44006666666667</v>
      </c>
      <c r="DE90">
        <v>8.649023333333332</v>
      </c>
      <c r="DF90">
        <v>411.738</v>
      </c>
      <c r="DG90">
        <v>18.43336666666667</v>
      </c>
      <c r="DH90">
        <v>500.0063333333333</v>
      </c>
      <c r="DI90">
        <v>90.0951</v>
      </c>
      <c r="DJ90">
        <v>0.0999694</v>
      </c>
      <c r="DK90">
        <v>25.75313333333333</v>
      </c>
      <c r="DL90">
        <v>24.98246666666667</v>
      </c>
      <c r="DM90">
        <v>999.9</v>
      </c>
      <c r="DN90">
        <v>0</v>
      </c>
      <c r="DO90">
        <v>0</v>
      </c>
      <c r="DP90">
        <v>10003.71666666667</v>
      </c>
      <c r="DQ90">
        <v>0</v>
      </c>
      <c r="DR90">
        <v>3.224906666666667</v>
      </c>
      <c r="DS90">
        <v>-54.8705</v>
      </c>
      <c r="DT90">
        <v>418.1586666666666</v>
      </c>
      <c r="DU90">
        <v>469.378</v>
      </c>
      <c r="DV90">
        <v>9.791056666666668</v>
      </c>
      <c r="DW90">
        <v>465.3186666666667</v>
      </c>
      <c r="DX90">
        <v>8.649023333333332</v>
      </c>
      <c r="DY90">
        <v>1.66136</v>
      </c>
      <c r="DZ90">
        <v>0.7792349999999999</v>
      </c>
      <c r="EA90">
        <v>14.54003333333333</v>
      </c>
      <c r="EB90">
        <v>3.334553333333333</v>
      </c>
      <c r="EC90">
        <v>1500.073333333333</v>
      </c>
      <c r="ED90">
        <v>0.973007</v>
      </c>
      <c r="EE90">
        <v>0.0269931</v>
      </c>
      <c r="EF90">
        <v>0</v>
      </c>
      <c r="EG90">
        <v>1028.896666666667</v>
      </c>
      <c r="EH90">
        <v>5.00097</v>
      </c>
      <c r="EI90">
        <v>15275.63333333333</v>
      </c>
      <c r="EJ90">
        <v>12492.23333333333</v>
      </c>
      <c r="EK90">
        <v>37.5</v>
      </c>
      <c r="EL90">
        <v>39</v>
      </c>
      <c r="EM90">
        <v>37.91633333333333</v>
      </c>
      <c r="EN90">
        <v>38.75</v>
      </c>
      <c r="EO90">
        <v>38.375</v>
      </c>
      <c r="EP90">
        <v>1454.713333333333</v>
      </c>
      <c r="EQ90">
        <v>40.36</v>
      </c>
      <c r="ER90">
        <v>0</v>
      </c>
      <c r="ES90">
        <v>432</v>
      </c>
      <c r="ET90">
        <v>0</v>
      </c>
      <c r="EU90">
        <v>1027.5884</v>
      </c>
      <c r="EV90">
        <v>8.201538467228684</v>
      </c>
      <c r="EW90">
        <v>112.5538462777719</v>
      </c>
      <c r="EX90">
        <v>15255.348</v>
      </c>
      <c r="EY90">
        <v>15</v>
      </c>
      <c r="EZ90">
        <v>1651857041.1</v>
      </c>
      <c r="FA90" t="s">
        <v>419</v>
      </c>
      <c r="FB90">
        <v>1651857019.6</v>
      </c>
      <c r="FC90">
        <v>1651857041.1</v>
      </c>
      <c r="FD90">
        <v>1</v>
      </c>
      <c r="FE90">
        <v>0.545</v>
      </c>
      <c r="FF90">
        <v>-0.002</v>
      </c>
      <c r="FG90">
        <v>-1.271</v>
      </c>
      <c r="FH90">
        <v>-0.09</v>
      </c>
      <c r="FI90">
        <v>400</v>
      </c>
      <c r="FJ90">
        <v>10</v>
      </c>
      <c r="FK90">
        <v>0.1</v>
      </c>
      <c r="FL90">
        <v>0.02</v>
      </c>
      <c r="FM90">
        <v>-47.1899725</v>
      </c>
      <c r="FN90">
        <v>-63.99741050656648</v>
      </c>
      <c r="FO90">
        <v>6.354850909737674</v>
      </c>
      <c r="FP90">
        <v>-1</v>
      </c>
      <c r="FQ90">
        <v>9.759578000000001</v>
      </c>
      <c r="FR90">
        <v>0.2709672045027878</v>
      </c>
      <c r="FS90">
        <v>0.02944095168298752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432</v>
      </c>
      <c r="GB90">
        <v>2.97989</v>
      </c>
      <c r="GC90">
        <v>2.70618</v>
      </c>
      <c r="GD90">
        <v>0.092545</v>
      </c>
      <c r="GE90">
        <v>0.100387</v>
      </c>
      <c r="GF90">
        <v>0.08804819999999999</v>
      </c>
      <c r="GG90">
        <v>0.0495189</v>
      </c>
      <c r="GH90">
        <v>28631.2</v>
      </c>
      <c r="GI90">
        <v>28445.9</v>
      </c>
      <c r="GJ90">
        <v>29340</v>
      </c>
      <c r="GK90">
        <v>29253.4</v>
      </c>
      <c r="GL90">
        <v>35432.8</v>
      </c>
      <c r="GM90">
        <v>37031</v>
      </c>
      <c r="GN90">
        <v>41300.7</v>
      </c>
      <c r="GO90">
        <v>41749.5</v>
      </c>
      <c r="GP90">
        <v>1.95497</v>
      </c>
      <c r="GQ90">
        <v>1.8341</v>
      </c>
      <c r="GR90">
        <v>-0.0362769</v>
      </c>
      <c r="GS90">
        <v>0</v>
      </c>
      <c r="GT90">
        <v>25.5792</v>
      </c>
      <c r="GU90">
        <v>999.9</v>
      </c>
      <c r="GV90">
        <v>38.8</v>
      </c>
      <c r="GW90">
        <v>33.9</v>
      </c>
      <c r="GX90">
        <v>22.8801</v>
      </c>
      <c r="GY90">
        <v>62.3276</v>
      </c>
      <c r="GZ90">
        <v>35.3005</v>
      </c>
      <c r="HA90">
        <v>1</v>
      </c>
      <c r="HB90">
        <v>0.13967</v>
      </c>
      <c r="HC90">
        <v>2.1405</v>
      </c>
      <c r="HD90">
        <v>20.3198</v>
      </c>
      <c r="HE90">
        <v>5.21699</v>
      </c>
      <c r="HF90">
        <v>12.0099</v>
      </c>
      <c r="HG90">
        <v>4.98875</v>
      </c>
      <c r="HH90">
        <v>3.28848</v>
      </c>
      <c r="HI90">
        <v>850.7</v>
      </c>
      <c r="HJ90">
        <v>8465.9</v>
      </c>
      <c r="HK90">
        <v>5139.4</v>
      </c>
      <c r="HL90">
        <v>22.9</v>
      </c>
      <c r="HM90">
        <v>1.86752</v>
      </c>
      <c r="HN90">
        <v>1.86649</v>
      </c>
      <c r="HO90">
        <v>1.866</v>
      </c>
      <c r="HP90">
        <v>1.86586</v>
      </c>
      <c r="HQ90">
        <v>1.86771</v>
      </c>
      <c r="HR90">
        <v>1.87026</v>
      </c>
      <c r="HS90">
        <v>1.8689</v>
      </c>
      <c r="HT90">
        <v>1.87027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-1.295</v>
      </c>
      <c r="II90">
        <v>0.0066</v>
      </c>
      <c r="IJ90">
        <v>-0.4995723906072</v>
      </c>
      <c r="IK90">
        <v>-0.002077099775823331</v>
      </c>
      <c r="IL90">
        <v>4.593143279902166E-07</v>
      </c>
      <c r="IM90">
        <v>-1.865383991892071E-10</v>
      </c>
      <c r="IN90">
        <v>-0.07605349583632376</v>
      </c>
      <c r="IO90">
        <v>-0.01129461987421345</v>
      </c>
      <c r="IP90">
        <v>0.00116580895745559</v>
      </c>
      <c r="IQ90">
        <v>-1.679085872906199E-05</v>
      </c>
      <c r="IR90">
        <v>2</v>
      </c>
      <c r="IS90">
        <v>2290</v>
      </c>
      <c r="IT90">
        <v>0</v>
      </c>
      <c r="IU90">
        <v>32</v>
      </c>
      <c r="IV90">
        <v>6.9</v>
      </c>
      <c r="IW90">
        <v>6.5</v>
      </c>
      <c r="IX90">
        <v>1.15479</v>
      </c>
      <c r="IY90">
        <v>2.23877</v>
      </c>
      <c r="IZ90">
        <v>1.39648</v>
      </c>
      <c r="JA90">
        <v>2.35962</v>
      </c>
      <c r="JB90">
        <v>1.49536</v>
      </c>
      <c r="JC90">
        <v>2.2937</v>
      </c>
      <c r="JD90">
        <v>38.379</v>
      </c>
      <c r="JE90">
        <v>24.035</v>
      </c>
      <c r="JF90">
        <v>18</v>
      </c>
      <c r="JG90">
        <v>515.013</v>
      </c>
      <c r="JH90">
        <v>422.927</v>
      </c>
      <c r="JI90">
        <v>22.6826</v>
      </c>
      <c r="JJ90">
        <v>29.1444</v>
      </c>
      <c r="JK90">
        <v>29.9999</v>
      </c>
      <c r="JL90">
        <v>29.1397</v>
      </c>
      <c r="JM90">
        <v>29.0761</v>
      </c>
      <c r="JN90">
        <v>23.1302</v>
      </c>
      <c r="JO90">
        <v>56.5973</v>
      </c>
      <c r="JP90">
        <v>0</v>
      </c>
      <c r="JQ90">
        <v>22.6922</v>
      </c>
      <c r="JR90">
        <v>487.024</v>
      </c>
      <c r="JS90">
        <v>8.672219999999999</v>
      </c>
      <c r="JT90">
        <v>100.295</v>
      </c>
      <c r="JU90">
        <v>100.206</v>
      </c>
    </row>
    <row r="91" spans="1:281">
      <c r="A91">
        <v>75</v>
      </c>
      <c r="B91">
        <v>1651857435.1</v>
      </c>
      <c r="C91">
        <v>434.5</v>
      </c>
      <c r="D91" t="s">
        <v>577</v>
      </c>
      <c r="E91" t="s">
        <v>578</v>
      </c>
      <c r="F91">
        <v>2</v>
      </c>
      <c r="G91" t="s">
        <v>413</v>
      </c>
      <c r="H91" t="s">
        <v>414</v>
      </c>
      <c r="I91">
        <v>1651857433.725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470.1577628392897</v>
      </c>
      <c r="AK91">
        <v>425.9696484848482</v>
      </c>
      <c r="AL91">
        <v>3.111874113227048</v>
      </c>
      <c r="AM91">
        <v>66.38384787954378</v>
      </c>
      <c r="AN91">
        <f>(AP91 - AO91 + DI91*1E3/(8.314*(DK91+273.15)) * AR91/DH91 * AQ91) * DH91/(100*CV91) * 1000/(1000 - AP91)</f>
        <v>0</v>
      </c>
      <c r="AO91">
        <v>8.650621366016136</v>
      </c>
      <c r="AP91">
        <v>18.43012323529411</v>
      </c>
      <c r="AQ91">
        <v>-0.001647713918725168</v>
      </c>
      <c r="AR91">
        <v>80.44866334591464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1238</v>
      </c>
      <c r="CA91">
        <v>300</v>
      </c>
      <c r="CB91">
        <v>300</v>
      </c>
      <c r="CC91">
        <v>300</v>
      </c>
      <c r="CD91">
        <v>10440.5</v>
      </c>
      <c r="CE91">
        <v>1411.69</v>
      </c>
      <c r="CF91">
        <v>-0.00735121</v>
      </c>
      <c r="CG91">
        <v>-0.77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1651857433.725</v>
      </c>
      <c r="DB91">
        <v>415.4185000000001</v>
      </c>
      <c r="DC91">
        <v>470.72075</v>
      </c>
      <c r="DD91">
        <v>18.4331</v>
      </c>
      <c r="DE91">
        <v>8.6483025</v>
      </c>
      <c r="DF91">
        <v>416.7175</v>
      </c>
      <c r="DG91">
        <v>18.4265</v>
      </c>
      <c r="DH91">
        <v>500.0202499999999</v>
      </c>
      <c r="DI91">
        <v>90.09622499999999</v>
      </c>
      <c r="DJ91">
        <v>0.09990510000000001</v>
      </c>
      <c r="DK91">
        <v>25.75485</v>
      </c>
      <c r="DL91">
        <v>24.983425</v>
      </c>
      <c r="DM91">
        <v>999.9</v>
      </c>
      <c r="DN91">
        <v>0</v>
      </c>
      <c r="DO91">
        <v>0</v>
      </c>
      <c r="DP91">
        <v>10019.975</v>
      </c>
      <c r="DQ91">
        <v>0</v>
      </c>
      <c r="DR91">
        <v>3.23193</v>
      </c>
      <c r="DS91">
        <v>-55.302075</v>
      </c>
      <c r="DT91">
        <v>423.21975</v>
      </c>
      <c r="DU91">
        <v>474.82725</v>
      </c>
      <c r="DV91">
        <v>9.784825</v>
      </c>
      <c r="DW91">
        <v>470.72075</v>
      </c>
      <c r="DX91">
        <v>8.6483025</v>
      </c>
      <c r="DY91">
        <v>1.660755</v>
      </c>
      <c r="DZ91">
        <v>0.7791797499999999</v>
      </c>
      <c r="EA91">
        <v>14.5344</v>
      </c>
      <c r="EB91">
        <v>3.3335475</v>
      </c>
      <c r="EC91">
        <v>1500.0075</v>
      </c>
      <c r="ED91">
        <v>0.97300575</v>
      </c>
      <c r="EE91">
        <v>0.02699445</v>
      </c>
      <c r="EF91">
        <v>0</v>
      </c>
      <c r="EG91">
        <v>1029.645</v>
      </c>
      <c r="EH91">
        <v>5.00097</v>
      </c>
      <c r="EI91">
        <v>15287.75</v>
      </c>
      <c r="EJ91">
        <v>12491.625</v>
      </c>
      <c r="EK91">
        <v>37.531</v>
      </c>
      <c r="EL91">
        <v>39</v>
      </c>
      <c r="EM91">
        <v>37.937</v>
      </c>
      <c r="EN91">
        <v>38.75</v>
      </c>
      <c r="EO91">
        <v>38.375</v>
      </c>
      <c r="EP91">
        <v>1454.6475</v>
      </c>
      <c r="EQ91">
        <v>40.36</v>
      </c>
      <c r="ER91">
        <v>0</v>
      </c>
      <c r="ES91">
        <v>433.8000001907349</v>
      </c>
      <c r="ET91">
        <v>0</v>
      </c>
      <c r="EU91">
        <v>1027.850384615385</v>
      </c>
      <c r="EV91">
        <v>12.60136752370338</v>
      </c>
      <c r="EW91">
        <v>190.6735044415261</v>
      </c>
      <c r="EX91">
        <v>15259.49230769231</v>
      </c>
      <c r="EY91">
        <v>15</v>
      </c>
      <c r="EZ91">
        <v>1651857041.1</v>
      </c>
      <c r="FA91" t="s">
        <v>419</v>
      </c>
      <c r="FB91">
        <v>1651857019.6</v>
      </c>
      <c r="FC91">
        <v>1651857041.1</v>
      </c>
      <c r="FD91">
        <v>1</v>
      </c>
      <c r="FE91">
        <v>0.545</v>
      </c>
      <c r="FF91">
        <v>-0.002</v>
      </c>
      <c r="FG91">
        <v>-1.271</v>
      </c>
      <c r="FH91">
        <v>-0.09</v>
      </c>
      <c r="FI91">
        <v>400</v>
      </c>
      <c r="FJ91">
        <v>10</v>
      </c>
      <c r="FK91">
        <v>0.1</v>
      </c>
      <c r="FL91">
        <v>0.02</v>
      </c>
      <c r="FM91">
        <v>-49.37072439024391</v>
      </c>
      <c r="FN91">
        <v>-51.53642717770035</v>
      </c>
      <c r="FO91">
        <v>5.282012692044322</v>
      </c>
      <c r="FP91">
        <v>-1</v>
      </c>
      <c r="FQ91">
        <v>9.765629512195122</v>
      </c>
      <c r="FR91">
        <v>0.2428041114982626</v>
      </c>
      <c r="FS91">
        <v>0.02829378264473338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432</v>
      </c>
      <c r="GB91">
        <v>2.97984</v>
      </c>
      <c r="GC91">
        <v>2.70633</v>
      </c>
      <c r="GD91">
        <v>0.0935937</v>
      </c>
      <c r="GE91">
        <v>0.101435</v>
      </c>
      <c r="GF91">
        <v>0.0880191</v>
      </c>
      <c r="GG91">
        <v>0.0495155</v>
      </c>
      <c r="GH91">
        <v>28598</v>
      </c>
      <c r="GI91">
        <v>28412.9</v>
      </c>
      <c r="GJ91">
        <v>29339.9</v>
      </c>
      <c r="GK91">
        <v>29253.6</v>
      </c>
      <c r="GL91">
        <v>35433.8</v>
      </c>
      <c r="GM91">
        <v>37031.3</v>
      </c>
      <c r="GN91">
        <v>41300.5</v>
      </c>
      <c r="GO91">
        <v>41749.6</v>
      </c>
      <c r="GP91">
        <v>1.95487</v>
      </c>
      <c r="GQ91">
        <v>1.8339</v>
      </c>
      <c r="GR91">
        <v>-0.0360981</v>
      </c>
      <c r="GS91">
        <v>0</v>
      </c>
      <c r="GT91">
        <v>25.5778</v>
      </c>
      <c r="GU91">
        <v>999.9</v>
      </c>
      <c r="GV91">
        <v>38.8</v>
      </c>
      <c r="GW91">
        <v>33.9</v>
      </c>
      <c r="GX91">
        <v>22.8808</v>
      </c>
      <c r="GY91">
        <v>62.5176</v>
      </c>
      <c r="GZ91">
        <v>35.637</v>
      </c>
      <c r="HA91">
        <v>1</v>
      </c>
      <c r="HB91">
        <v>0.13966</v>
      </c>
      <c r="HC91">
        <v>2.13643</v>
      </c>
      <c r="HD91">
        <v>20.3199</v>
      </c>
      <c r="HE91">
        <v>5.21699</v>
      </c>
      <c r="HF91">
        <v>12.0099</v>
      </c>
      <c r="HG91">
        <v>4.9886</v>
      </c>
      <c r="HH91">
        <v>3.28845</v>
      </c>
      <c r="HI91">
        <v>850.9</v>
      </c>
      <c r="HJ91">
        <v>8468.1</v>
      </c>
      <c r="HK91">
        <v>5139.4</v>
      </c>
      <c r="HL91">
        <v>22.9</v>
      </c>
      <c r="HM91">
        <v>1.86752</v>
      </c>
      <c r="HN91">
        <v>1.86648</v>
      </c>
      <c r="HO91">
        <v>1.866</v>
      </c>
      <c r="HP91">
        <v>1.86588</v>
      </c>
      <c r="HQ91">
        <v>1.86772</v>
      </c>
      <c r="HR91">
        <v>1.87027</v>
      </c>
      <c r="HS91">
        <v>1.8689</v>
      </c>
      <c r="HT91">
        <v>1.87027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-1.307</v>
      </c>
      <c r="II91">
        <v>0.0065</v>
      </c>
      <c r="IJ91">
        <v>-0.4995723906072</v>
      </c>
      <c r="IK91">
        <v>-0.002077099775823331</v>
      </c>
      <c r="IL91">
        <v>4.593143279902166E-07</v>
      </c>
      <c r="IM91">
        <v>-1.865383991892071E-10</v>
      </c>
      <c r="IN91">
        <v>-0.07605349583632376</v>
      </c>
      <c r="IO91">
        <v>-0.01129461987421345</v>
      </c>
      <c r="IP91">
        <v>0.00116580895745559</v>
      </c>
      <c r="IQ91">
        <v>-1.679085872906199E-05</v>
      </c>
      <c r="IR91">
        <v>2</v>
      </c>
      <c r="IS91">
        <v>2290</v>
      </c>
      <c r="IT91">
        <v>0</v>
      </c>
      <c r="IU91">
        <v>32</v>
      </c>
      <c r="IV91">
        <v>6.9</v>
      </c>
      <c r="IW91">
        <v>6.6</v>
      </c>
      <c r="IX91">
        <v>1.16821</v>
      </c>
      <c r="IY91">
        <v>2.23389</v>
      </c>
      <c r="IZ91">
        <v>1.39648</v>
      </c>
      <c r="JA91">
        <v>2.35962</v>
      </c>
      <c r="JB91">
        <v>1.49536</v>
      </c>
      <c r="JC91">
        <v>2.35352</v>
      </c>
      <c r="JD91">
        <v>38.379</v>
      </c>
      <c r="JE91">
        <v>24.0437</v>
      </c>
      <c r="JF91">
        <v>18</v>
      </c>
      <c r="JG91">
        <v>514.9450000000001</v>
      </c>
      <c r="JH91">
        <v>422.808</v>
      </c>
      <c r="JI91">
        <v>22.6864</v>
      </c>
      <c r="JJ91">
        <v>29.1436</v>
      </c>
      <c r="JK91">
        <v>29.9999</v>
      </c>
      <c r="JL91">
        <v>29.1393</v>
      </c>
      <c r="JM91">
        <v>29.0761</v>
      </c>
      <c r="JN91">
        <v>23.3878</v>
      </c>
      <c r="JO91">
        <v>56.5973</v>
      </c>
      <c r="JP91">
        <v>0</v>
      </c>
      <c r="JQ91">
        <v>22.6922</v>
      </c>
      <c r="JR91">
        <v>493.703</v>
      </c>
      <c r="JS91">
        <v>8.672219999999999</v>
      </c>
      <c r="JT91">
        <v>100.294</v>
      </c>
      <c r="JU91">
        <v>100.206</v>
      </c>
    </row>
    <row r="92" spans="1:281">
      <c r="A92">
        <v>76</v>
      </c>
      <c r="B92">
        <v>1651857437.1</v>
      </c>
      <c r="C92">
        <v>436.5</v>
      </c>
      <c r="D92" t="s">
        <v>579</v>
      </c>
      <c r="E92" t="s">
        <v>580</v>
      </c>
      <c r="F92">
        <v>2</v>
      </c>
      <c r="G92" t="s">
        <v>413</v>
      </c>
      <c r="H92" t="s">
        <v>414</v>
      </c>
      <c r="I92">
        <v>1651857436.1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476.8522344376528</v>
      </c>
      <c r="AK92">
        <v>432.2128969696967</v>
      </c>
      <c r="AL92">
        <v>3.12864112964452</v>
      </c>
      <c r="AM92">
        <v>66.38384787954378</v>
      </c>
      <c r="AN92">
        <f>(AP92 - AO92 + DI92*1E3/(8.314*(DK92+273.15)) * AR92/DH92 * AQ92) * DH92/(100*CV92) * 1000/(1000 - AP92)</f>
        <v>0</v>
      </c>
      <c r="AO92">
        <v>8.648817587799885</v>
      </c>
      <c r="AP92">
        <v>18.42513941176471</v>
      </c>
      <c r="AQ92">
        <v>-0.001318381180126254</v>
      </c>
      <c r="AR92">
        <v>80.44866334591464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1238</v>
      </c>
      <c r="CA92">
        <v>300</v>
      </c>
      <c r="CB92">
        <v>300</v>
      </c>
      <c r="CC92">
        <v>300</v>
      </c>
      <c r="CD92">
        <v>10440.5</v>
      </c>
      <c r="CE92">
        <v>1411.69</v>
      </c>
      <c r="CF92">
        <v>-0.00735121</v>
      </c>
      <c r="CG92">
        <v>-0.77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1651857436.1</v>
      </c>
      <c r="DB92">
        <v>422.7113333333334</v>
      </c>
      <c r="DC92">
        <v>478.6433333333334</v>
      </c>
      <c r="DD92">
        <v>18.42713333333333</v>
      </c>
      <c r="DE92">
        <v>8.64738</v>
      </c>
      <c r="DF92">
        <v>424.0233333333333</v>
      </c>
      <c r="DG92">
        <v>18.42063333333333</v>
      </c>
      <c r="DH92">
        <v>500.0666666666667</v>
      </c>
      <c r="DI92">
        <v>90.09829999999999</v>
      </c>
      <c r="DJ92">
        <v>0.1000067666666667</v>
      </c>
      <c r="DK92">
        <v>25.75606666666667</v>
      </c>
      <c r="DL92">
        <v>24.99303333333333</v>
      </c>
      <c r="DM92">
        <v>999.9</v>
      </c>
      <c r="DN92">
        <v>0</v>
      </c>
      <c r="DO92">
        <v>0</v>
      </c>
      <c r="DP92">
        <v>10022.5</v>
      </c>
      <c r="DQ92">
        <v>0</v>
      </c>
      <c r="DR92">
        <v>3.224906666666667</v>
      </c>
      <c r="DS92">
        <v>-55.93166666666666</v>
      </c>
      <c r="DT92">
        <v>430.647</v>
      </c>
      <c r="DU92">
        <v>482.8183333333333</v>
      </c>
      <c r="DV92">
        <v>9.779773333333333</v>
      </c>
      <c r="DW92">
        <v>478.6433333333334</v>
      </c>
      <c r="DX92">
        <v>8.64738</v>
      </c>
      <c r="DY92">
        <v>1.660253333333333</v>
      </c>
      <c r="DZ92">
        <v>0.779114</v>
      </c>
      <c r="EA92">
        <v>14.52973333333333</v>
      </c>
      <c r="EB92">
        <v>3.33236</v>
      </c>
      <c r="EC92">
        <v>1499.983333333333</v>
      </c>
      <c r="ED92">
        <v>0.9730053333333334</v>
      </c>
      <c r="EE92">
        <v>0.0269949</v>
      </c>
      <c r="EF92">
        <v>0</v>
      </c>
      <c r="EG92">
        <v>1031.2</v>
      </c>
      <c r="EH92">
        <v>5.00097</v>
      </c>
      <c r="EI92">
        <v>15306.8</v>
      </c>
      <c r="EJ92">
        <v>12491.46666666667</v>
      </c>
      <c r="EK92">
        <v>37.54133333333333</v>
      </c>
      <c r="EL92">
        <v>39</v>
      </c>
      <c r="EM92">
        <v>37.89566666666666</v>
      </c>
      <c r="EN92">
        <v>38.75</v>
      </c>
      <c r="EO92">
        <v>38.375</v>
      </c>
      <c r="EP92">
        <v>1454.623333333333</v>
      </c>
      <c r="EQ92">
        <v>40.36</v>
      </c>
      <c r="ER92">
        <v>0</v>
      </c>
      <c r="ES92">
        <v>436.2000000476837</v>
      </c>
      <c r="ET92">
        <v>0</v>
      </c>
      <c r="EU92">
        <v>1028.498461538461</v>
      </c>
      <c r="EV92">
        <v>20.80752137034303</v>
      </c>
      <c r="EW92">
        <v>301.4051283085539</v>
      </c>
      <c r="EX92">
        <v>15268.78846153846</v>
      </c>
      <c r="EY92">
        <v>15</v>
      </c>
      <c r="EZ92">
        <v>1651857041.1</v>
      </c>
      <c r="FA92" t="s">
        <v>419</v>
      </c>
      <c r="FB92">
        <v>1651857019.6</v>
      </c>
      <c r="FC92">
        <v>1651857041.1</v>
      </c>
      <c r="FD92">
        <v>1</v>
      </c>
      <c r="FE92">
        <v>0.545</v>
      </c>
      <c r="FF92">
        <v>-0.002</v>
      </c>
      <c r="FG92">
        <v>-1.271</v>
      </c>
      <c r="FH92">
        <v>-0.09</v>
      </c>
      <c r="FI92">
        <v>400</v>
      </c>
      <c r="FJ92">
        <v>10</v>
      </c>
      <c r="FK92">
        <v>0.1</v>
      </c>
      <c r="FL92">
        <v>0.02</v>
      </c>
      <c r="FM92">
        <v>-50.9175475</v>
      </c>
      <c r="FN92">
        <v>-42.30460975609746</v>
      </c>
      <c r="FO92">
        <v>4.221735433443662</v>
      </c>
      <c r="FP92">
        <v>-1</v>
      </c>
      <c r="FQ92">
        <v>9.769609500000001</v>
      </c>
      <c r="FR92">
        <v>0.2191933958723879</v>
      </c>
      <c r="FS92">
        <v>0.02700742786253445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432</v>
      </c>
      <c r="GB92">
        <v>2.98009</v>
      </c>
      <c r="GC92">
        <v>2.70636</v>
      </c>
      <c r="GD92">
        <v>0.0946293</v>
      </c>
      <c r="GE92">
        <v>0.102488</v>
      </c>
      <c r="GF92">
        <v>0.088029</v>
      </c>
      <c r="GG92">
        <v>0.0495116</v>
      </c>
      <c r="GH92">
        <v>28565.3</v>
      </c>
      <c r="GI92">
        <v>28379.4</v>
      </c>
      <c r="GJ92">
        <v>29339.8</v>
      </c>
      <c r="GK92">
        <v>29253.4</v>
      </c>
      <c r="GL92">
        <v>35433.4</v>
      </c>
      <c r="GM92">
        <v>37031.2</v>
      </c>
      <c r="GN92">
        <v>41300.5</v>
      </c>
      <c r="GO92">
        <v>41749.4</v>
      </c>
      <c r="GP92">
        <v>1.95497</v>
      </c>
      <c r="GQ92">
        <v>1.83388</v>
      </c>
      <c r="GR92">
        <v>-0.0354163</v>
      </c>
      <c r="GS92">
        <v>0</v>
      </c>
      <c r="GT92">
        <v>25.5765</v>
      </c>
      <c r="GU92">
        <v>999.9</v>
      </c>
      <c r="GV92">
        <v>38.8</v>
      </c>
      <c r="GW92">
        <v>33.9</v>
      </c>
      <c r="GX92">
        <v>22.8798</v>
      </c>
      <c r="GY92">
        <v>62.4376</v>
      </c>
      <c r="GZ92">
        <v>35.1562</v>
      </c>
      <c r="HA92">
        <v>1</v>
      </c>
      <c r="HB92">
        <v>0.139637</v>
      </c>
      <c r="HC92">
        <v>2.12971</v>
      </c>
      <c r="HD92">
        <v>20.3199</v>
      </c>
      <c r="HE92">
        <v>5.21699</v>
      </c>
      <c r="HF92">
        <v>12.0099</v>
      </c>
      <c r="HG92">
        <v>4.9886</v>
      </c>
      <c r="HH92">
        <v>3.28848</v>
      </c>
      <c r="HI92">
        <v>850.9</v>
      </c>
      <c r="HJ92">
        <v>8468.1</v>
      </c>
      <c r="HK92">
        <v>5139.4</v>
      </c>
      <c r="HL92">
        <v>22.9</v>
      </c>
      <c r="HM92">
        <v>1.86752</v>
      </c>
      <c r="HN92">
        <v>1.86648</v>
      </c>
      <c r="HO92">
        <v>1.866</v>
      </c>
      <c r="HP92">
        <v>1.86587</v>
      </c>
      <c r="HQ92">
        <v>1.86772</v>
      </c>
      <c r="HR92">
        <v>1.87026</v>
      </c>
      <c r="HS92">
        <v>1.8689</v>
      </c>
      <c r="HT92">
        <v>1.87027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-1.318</v>
      </c>
      <c r="II92">
        <v>0.0066</v>
      </c>
      <c r="IJ92">
        <v>-0.4995723906072</v>
      </c>
      <c r="IK92">
        <v>-0.002077099775823331</v>
      </c>
      <c r="IL92">
        <v>4.593143279902166E-07</v>
      </c>
      <c r="IM92">
        <v>-1.865383991892071E-10</v>
      </c>
      <c r="IN92">
        <v>-0.07605349583632376</v>
      </c>
      <c r="IO92">
        <v>-0.01129461987421345</v>
      </c>
      <c r="IP92">
        <v>0.00116580895745559</v>
      </c>
      <c r="IQ92">
        <v>-1.679085872906199E-05</v>
      </c>
      <c r="IR92">
        <v>2</v>
      </c>
      <c r="IS92">
        <v>2290</v>
      </c>
      <c r="IT92">
        <v>0</v>
      </c>
      <c r="IU92">
        <v>32</v>
      </c>
      <c r="IV92">
        <v>7</v>
      </c>
      <c r="IW92">
        <v>6.6</v>
      </c>
      <c r="IX92">
        <v>1.18042</v>
      </c>
      <c r="IY92">
        <v>2.23145</v>
      </c>
      <c r="IZ92">
        <v>1.39648</v>
      </c>
      <c r="JA92">
        <v>2.35962</v>
      </c>
      <c r="JB92">
        <v>1.49536</v>
      </c>
      <c r="JC92">
        <v>2.31567</v>
      </c>
      <c r="JD92">
        <v>38.379</v>
      </c>
      <c r="JE92">
        <v>24.0437</v>
      </c>
      <c r="JF92">
        <v>18</v>
      </c>
      <c r="JG92">
        <v>515</v>
      </c>
      <c r="JH92">
        <v>422.787</v>
      </c>
      <c r="JI92">
        <v>22.6899</v>
      </c>
      <c r="JJ92">
        <v>29.1431</v>
      </c>
      <c r="JK92">
        <v>29.9999</v>
      </c>
      <c r="JL92">
        <v>29.1381</v>
      </c>
      <c r="JM92">
        <v>29.0751</v>
      </c>
      <c r="JN92">
        <v>23.6446</v>
      </c>
      <c r="JO92">
        <v>56.5973</v>
      </c>
      <c r="JP92">
        <v>0</v>
      </c>
      <c r="JQ92">
        <v>22.6922</v>
      </c>
      <c r="JR92">
        <v>500.382</v>
      </c>
      <c r="JS92">
        <v>8.66826</v>
      </c>
      <c r="JT92">
        <v>100.294</v>
      </c>
      <c r="JU92">
        <v>100.206</v>
      </c>
    </row>
    <row r="93" spans="1:281">
      <c r="A93">
        <v>77</v>
      </c>
      <c r="B93">
        <v>1651857439.1</v>
      </c>
      <c r="C93">
        <v>438.5</v>
      </c>
      <c r="D93" t="s">
        <v>581</v>
      </c>
      <c r="E93" t="s">
        <v>582</v>
      </c>
      <c r="F93">
        <v>2</v>
      </c>
      <c r="G93" t="s">
        <v>413</v>
      </c>
      <c r="H93" t="s">
        <v>414</v>
      </c>
      <c r="I93">
        <v>1651857437.725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483.5888060690915</v>
      </c>
      <c r="AK93">
        <v>438.4772545454543</v>
      </c>
      <c r="AL93">
        <v>3.128773575803082</v>
      </c>
      <c r="AM93">
        <v>66.38384787954378</v>
      </c>
      <c r="AN93">
        <f>(AP93 - AO93 + DI93*1E3/(8.314*(DK93+273.15)) * AR93/DH93 * AQ93) * DH93/(100*CV93) * 1000/(1000 - AP93)</f>
        <v>0</v>
      </c>
      <c r="AO93">
        <v>8.64800280308058</v>
      </c>
      <c r="AP93">
        <v>18.43101058823529</v>
      </c>
      <c r="AQ93">
        <v>-0.005884378060972889</v>
      </c>
      <c r="AR93">
        <v>80.44866334591464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1238</v>
      </c>
      <c r="CA93">
        <v>300</v>
      </c>
      <c r="CB93">
        <v>300</v>
      </c>
      <c r="CC93">
        <v>300</v>
      </c>
      <c r="CD93">
        <v>10440.5</v>
      </c>
      <c r="CE93">
        <v>1411.69</v>
      </c>
      <c r="CF93">
        <v>-0.00735121</v>
      </c>
      <c r="CG93">
        <v>-0.77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1651857437.725</v>
      </c>
      <c r="DB93">
        <v>427.705</v>
      </c>
      <c r="DC93">
        <v>484.09175</v>
      </c>
      <c r="DD93">
        <v>18.429375</v>
      </c>
      <c r="DE93">
        <v>8.646385</v>
      </c>
      <c r="DF93">
        <v>429.026</v>
      </c>
      <c r="DG93">
        <v>18.42285</v>
      </c>
      <c r="DH93">
        <v>500.0735</v>
      </c>
      <c r="DI93">
        <v>90.098675</v>
      </c>
      <c r="DJ93">
        <v>0.09994145</v>
      </c>
      <c r="DK93">
        <v>25.755425</v>
      </c>
      <c r="DL93">
        <v>24.9979</v>
      </c>
      <c r="DM93">
        <v>999.9</v>
      </c>
      <c r="DN93">
        <v>0</v>
      </c>
      <c r="DO93">
        <v>0</v>
      </c>
      <c r="DP93">
        <v>10021.4</v>
      </c>
      <c r="DQ93">
        <v>0</v>
      </c>
      <c r="DR93">
        <v>3.21788</v>
      </c>
      <c r="DS93">
        <v>-56.3866</v>
      </c>
      <c r="DT93">
        <v>435.7355</v>
      </c>
      <c r="DU93">
        <v>488.314</v>
      </c>
      <c r="DV93">
        <v>9.783004999999999</v>
      </c>
      <c r="DW93">
        <v>484.09175</v>
      </c>
      <c r="DX93">
        <v>8.646385</v>
      </c>
      <c r="DY93">
        <v>1.6604625</v>
      </c>
      <c r="DZ93">
        <v>0.77902775</v>
      </c>
      <c r="EA93">
        <v>14.5317</v>
      </c>
      <c r="EB93">
        <v>3.3307925</v>
      </c>
      <c r="EC93">
        <v>1500.01</v>
      </c>
      <c r="ED93">
        <v>0.97300575</v>
      </c>
      <c r="EE93">
        <v>0.02699445</v>
      </c>
      <c r="EF93">
        <v>0</v>
      </c>
      <c r="EG93">
        <v>1031.8075</v>
      </c>
      <c r="EH93">
        <v>5.00097</v>
      </c>
      <c r="EI93">
        <v>15320.225</v>
      </c>
      <c r="EJ93">
        <v>12491.675</v>
      </c>
      <c r="EK93">
        <v>37.531</v>
      </c>
      <c r="EL93">
        <v>39</v>
      </c>
      <c r="EM93">
        <v>37.92149999999999</v>
      </c>
      <c r="EN93">
        <v>38.75</v>
      </c>
      <c r="EO93">
        <v>38.375</v>
      </c>
      <c r="EP93">
        <v>1454.65</v>
      </c>
      <c r="EQ93">
        <v>40.36</v>
      </c>
      <c r="ER93">
        <v>0</v>
      </c>
      <c r="ES93">
        <v>438</v>
      </c>
      <c r="ET93">
        <v>0</v>
      </c>
      <c r="EU93">
        <v>1029.1976</v>
      </c>
      <c r="EV93">
        <v>25.59846156669952</v>
      </c>
      <c r="EW93">
        <v>381.0769237117261</v>
      </c>
      <c r="EX93">
        <v>15279.796</v>
      </c>
      <c r="EY93">
        <v>15</v>
      </c>
      <c r="EZ93">
        <v>1651857041.1</v>
      </c>
      <c r="FA93" t="s">
        <v>419</v>
      </c>
      <c r="FB93">
        <v>1651857019.6</v>
      </c>
      <c r="FC93">
        <v>1651857041.1</v>
      </c>
      <c r="FD93">
        <v>1</v>
      </c>
      <c r="FE93">
        <v>0.545</v>
      </c>
      <c r="FF93">
        <v>-0.002</v>
      </c>
      <c r="FG93">
        <v>-1.271</v>
      </c>
      <c r="FH93">
        <v>-0.09</v>
      </c>
      <c r="FI93">
        <v>400</v>
      </c>
      <c r="FJ93">
        <v>10</v>
      </c>
      <c r="FK93">
        <v>0.1</v>
      </c>
      <c r="FL93">
        <v>0.02</v>
      </c>
      <c r="FM93">
        <v>-52.40869756097563</v>
      </c>
      <c r="FN93">
        <v>-33.45367317073169</v>
      </c>
      <c r="FO93">
        <v>3.410193903255199</v>
      </c>
      <c r="FP93">
        <v>-1</v>
      </c>
      <c r="FQ93">
        <v>9.774617073170731</v>
      </c>
      <c r="FR93">
        <v>0.163543066202085</v>
      </c>
      <c r="FS93">
        <v>0.02430349510585881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432</v>
      </c>
      <c r="GB93">
        <v>2.97988</v>
      </c>
      <c r="GC93">
        <v>2.7063</v>
      </c>
      <c r="GD93">
        <v>0.0956636</v>
      </c>
      <c r="GE93">
        <v>0.103546</v>
      </c>
      <c r="GF93">
        <v>0.0880359</v>
      </c>
      <c r="GG93">
        <v>0.0495066</v>
      </c>
      <c r="GH93">
        <v>28532.3</v>
      </c>
      <c r="GI93">
        <v>28346</v>
      </c>
      <c r="GJ93">
        <v>29339.5</v>
      </c>
      <c r="GK93">
        <v>29253.4</v>
      </c>
      <c r="GL93">
        <v>35432.8</v>
      </c>
      <c r="GM93">
        <v>37031.3</v>
      </c>
      <c r="GN93">
        <v>41300.1</v>
      </c>
      <c r="GO93">
        <v>41749.2</v>
      </c>
      <c r="GP93">
        <v>1.95478</v>
      </c>
      <c r="GQ93">
        <v>1.83417</v>
      </c>
      <c r="GR93">
        <v>-0.0351332</v>
      </c>
      <c r="GS93">
        <v>0</v>
      </c>
      <c r="GT93">
        <v>25.5749</v>
      </c>
      <c r="GU93">
        <v>999.9</v>
      </c>
      <c r="GV93">
        <v>38.8</v>
      </c>
      <c r="GW93">
        <v>33.9</v>
      </c>
      <c r="GX93">
        <v>22.8812</v>
      </c>
      <c r="GY93">
        <v>62.2676</v>
      </c>
      <c r="GZ93">
        <v>35.5769</v>
      </c>
      <c r="HA93">
        <v>1</v>
      </c>
      <c r="HB93">
        <v>0.139644</v>
      </c>
      <c r="HC93">
        <v>2.13457</v>
      </c>
      <c r="HD93">
        <v>20.3199</v>
      </c>
      <c r="HE93">
        <v>5.21684</v>
      </c>
      <c r="HF93">
        <v>12.0099</v>
      </c>
      <c r="HG93">
        <v>4.9887</v>
      </c>
      <c r="HH93">
        <v>3.2885</v>
      </c>
      <c r="HI93">
        <v>850.9</v>
      </c>
      <c r="HJ93">
        <v>8468.1</v>
      </c>
      <c r="HK93">
        <v>5139.4</v>
      </c>
      <c r="HL93">
        <v>22.9</v>
      </c>
      <c r="HM93">
        <v>1.86752</v>
      </c>
      <c r="HN93">
        <v>1.86648</v>
      </c>
      <c r="HO93">
        <v>1.866</v>
      </c>
      <c r="HP93">
        <v>1.86585</v>
      </c>
      <c r="HQ93">
        <v>1.8677</v>
      </c>
      <c r="HR93">
        <v>1.87025</v>
      </c>
      <c r="HS93">
        <v>1.8689</v>
      </c>
      <c r="HT93">
        <v>1.87027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-1.328</v>
      </c>
      <c r="II93">
        <v>0.0066</v>
      </c>
      <c r="IJ93">
        <v>-0.4995723906072</v>
      </c>
      <c r="IK93">
        <v>-0.002077099775823331</v>
      </c>
      <c r="IL93">
        <v>4.593143279902166E-07</v>
      </c>
      <c r="IM93">
        <v>-1.865383991892071E-10</v>
      </c>
      <c r="IN93">
        <v>-0.07605349583632376</v>
      </c>
      <c r="IO93">
        <v>-0.01129461987421345</v>
      </c>
      <c r="IP93">
        <v>0.00116580895745559</v>
      </c>
      <c r="IQ93">
        <v>-1.679085872906199E-05</v>
      </c>
      <c r="IR93">
        <v>2</v>
      </c>
      <c r="IS93">
        <v>2290</v>
      </c>
      <c r="IT93">
        <v>0</v>
      </c>
      <c r="IU93">
        <v>32</v>
      </c>
      <c r="IV93">
        <v>7</v>
      </c>
      <c r="IW93">
        <v>6.6</v>
      </c>
      <c r="IX93">
        <v>1.19385</v>
      </c>
      <c r="IY93">
        <v>2.23755</v>
      </c>
      <c r="IZ93">
        <v>1.39648</v>
      </c>
      <c r="JA93">
        <v>2.35962</v>
      </c>
      <c r="JB93">
        <v>1.49536</v>
      </c>
      <c r="JC93">
        <v>2.32178</v>
      </c>
      <c r="JD93">
        <v>38.379</v>
      </c>
      <c r="JE93">
        <v>24.035</v>
      </c>
      <c r="JF93">
        <v>18</v>
      </c>
      <c r="JG93">
        <v>514.861</v>
      </c>
      <c r="JH93">
        <v>422.957</v>
      </c>
      <c r="JI93">
        <v>22.693</v>
      </c>
      <c r="JJ93">
        <v>29.1419</v>
      </c>
      <c r="JK93">
        <v>29.9999</v>
      </c>
      <c r="JL93">
        <v>29.1373</v>
      </c>
      <c r="JM93">
        <v>29.0739</v>
      </c>
      <c r="JN93">
        <v>23.898</v>
      </c>
      <c r="JO93">
        <v>56.5973</v>
      </c>
      <c r="JP93">
        <v>0</v>
      </c>
      <c r="JQ93">
        <v>22.6987</v>
      </c>
      <c r="JR93">
        <v>507.061</v>
      </c>
      <c r="JS93">
        <v>8.669359999999999</v>
      </c>
      <c r="JT93">
        <v>100.293</v>
      </c>
      <c r="JU93">
        <v>100.206</v>
      </c>
    </row>
    <row r="94" spans="1:281">
      <c r="A94">
        <v>78</v>
      </c>
      <c r="B94">
        <v>1651857441.1</v>
      </c>
      <c r="C94">
        <v>440.5</v>
      </c>
      <c r="D94" t="s">
        <v>583</v>
      </c>
      <c r="E94" t="s">
        <v>584</v>
      </c>
      <c r="F94">
        <v>2</v>
      </c>
      <c r="G94" t="s">
        <v>413</v>
      </c>
      <c r="H94" t="s">
        <v>414</v>
      </c>
      <c r="I94">
        <v>1651857440.1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490.3671552473302</v>
      </c>
      <c r="AK94">
        <v>444.8628242424242</v>
      </c>
      <c r="AL94">
        <v>3.171278710590381</v>
      </c>
      <c r="AM94">
        <v>66.38384787954378</v>
      </c>
      <c r="AN94">
        <f>(AP94 - AO94 + DI94*1E3/(8.314*(DK94+273.15)) * AR94/DH94 * AQ94) * DH94/(100*CV94) * 1000/(1000 - AP94)</f>
        <v>0</v>
      </c>
      <c r="AO94">
        <v>8.647078795662413</v>
      </c>
      <c r="AP94">
        <v>18.42956529411764</v>
      </c>
      <c r="AQ94">
        <v>-0.0006248803197080448</v>
      </c>
      <c r="AR94">
        <v>80.44866334591464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1238</v>
      </c>
      <c r="CA94">
        <v>300</v>
      </c>
      <c r="CB94">
        <v>300</v>
      </c>
      <c r="CC94">
        <v>300</v>
      </c>
      <c r="CD94">
        <v>10440.5</v>
      </c>
      <c r="CE94">
        <v>1411.69</v>
      </c>
      <c r="CF94">
        <v>-0.00735121</v>
      </c>
      <c r="CG94">
        <v>-0.77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1651857440.1</v>
      </c>
      <c r="DB94">
        <v>435.0903333333333</v>
      </c>
      <c r="DC94">
        <v>492.1116666666667</v>
      </c>
      <c r="DD94">
        <v>18.4284</v>
      </c>
      <c r="DE94">
        <v>8.644613333333334</v>
      </c>
      <c r="DF94">
        <v>436.4243333333334</v>
      </c>
      <c r="DG94">
        <v>18.42183333333334</v>
      </c>
      <c r="DH94">
        <v>500.0566666666667</v>
      </c>
      <c r="DI94">
        <v>90.09926666666667</v>
      </c>
      <c r="DJ94">
        <v>0.1000027</v>
      </c>
      <c r="DK94">
        <v>25.7542</v>
      </c>
      <c r="DL94">
        <v>24.9938</v>
      </c>
      <c r="DM94">
        <v>999.9</v>
      </c>
      <c r="DN94">
        <v>0</v>
      </c>
      <c r="DO94">
        <v>0</v>
      </c>
      <c r="DP94">
        <v>10026.86666666667</v>
      </c>
      <c r="DQ94">
        <v>0</v>
      </c>
      <c r="DR94">
        <v>3.21788</v>
      </c>
      <c r="DS94">
        <v>-57.02143333333333</v>
      </c>
      <c r="DT94">
        <v>443.2586666666667</v>
      </c>
      <c r="DU94">
        <v>496.4026666666667</v>
      </c>
      <c r="DV94">
        <v>9.783776666666666</v>
      </c>
      <c r="DW94">
        <v>492.1116666666667</v>
      </c>
      <c r="DX94">
        <v>8.644613333333334</v>
      </c>
      <c r="DY94">
        <v>1.660386666666667</v>
      </c>
      <c r="DZ94">
        <v>0.7788729999999999</v>
      </c>
      <c r="EA94">
        <v>14.5309</v>
      </c>
      <c r="EB94">
        <v>3.32798</v>
      </c>
      <c r="EC94">
        <v>1500.08</v>
      </c>
      <c r="ED94">
        <v>0.973007</v>
      </c>
      <c r="EE94">
        <v>0.0269931</v>
      </c>
      <c r="EF94">
        <v>0</v>
      </c>
      <c r="EG94">
        <v>1033.373333333333</v>
      </c>
      <c r="EH94">
        <v>5.00097</v>
      </c>
      <c r="EI94">
        <v>15344.63333333333</v>
      </c>
      <c r="EJ94">
        <v>12492.3</v>
      </c>
      <c r="EK94">
        <v>37.5</v>
      </c>
      <c r="EL94">
        <v>39</v>
      </c>
      <c r="EM94">
        <v>37.937</v>
      </c>
      <c r="EN94">
        <v>38.75</v>
      </c>
      <c r="EO94">
        <v>38.375</v>
      </c>
      <c r="EP94">
        <v>1454.72</v>
      </c>
      <c r="EQ94">
        <v>40.36</v>
      </c>
      <c r="ER94">
        <v>0</v>
      </c>
      <c r="ES94">
        <v>439.8000001907349</v>
      </c>
      <c r="ET94">
        <v>0</v>
      </c>
      <c r="EU94">
        <v>1029.870384615385</v>
      </c>
      <c r="EV94">
        <v>27.9182905945383</v>
      </c>
      <c r="EW94">
        <v>428.225641183772</v>
      </c>
      <c r="EX94">
        <v>15289.85384615384</v>
      </c>
      <c r="EY94">
        <v>15</v>
      </c>
      <c r="EZ94">
        <v>1651857041.1</v>
      </c>
      <c r="FA94" t="s">
        <v>419</v>
      </c>
      <c r="FB94">
        <v>1651857019.6</v>
      </c>
      <c r="FC94">
        <v>1651857041.1</v>
      </c>
      <c r="FD94">
        <v>1</v>
      </c>
      <c r="FE94">
        <v>0.545</v>
      </c>
      <c r="FF94">
        <v>-0.002</v>
      </c>
      <c r="FG94">
        <v>-1.271</v>
      </c>
      <c r="FH94">
        <v>-0.09</v>
      </c>
      <c r="FI94">
        <v>400</v>
      </c>
      <c r="FJ94">
        <v>10</v>
      </c>
      <c r="FK94">
        <v>0.1</v>
      </c>
      <c r="FL94">
        <v>0.02</v>
      </c>
      <c r="FM94">
        <v>-52.99047804878048</v>
      </c>
      <c r="FN94">
        <v>-30.3387428571429</v>
      </c>
      <c r="FO94">
        <v>3.084291605785378</v>
      </c>
      <c r="FP94">
        <v>-1</v>
      </c>
      <c r="FQ94">
        <v>9.777215609756098</v>
      </c>
      <c r="FR94">
        <v>0.1341359581881378</v>
      </c>
      <c r="FS94">
        <v>0.02239469885538365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432</v>
      </c>
      <c r="GB94">
        <v>2.97977</v>
      </c>
      <c r="GC94">
        <v>2.70631</v>
      </c>
      <c r="GD94">
        <v>0.0967121</v>
      </c>
      <c r="GE94">
        <v>0.104596</v>
      </c>
      <c r="GF94">
        <v>0.0880211</v>
      </c>
      <c r="GG94">
        <v>0.0495003</v>
      </c>
      <c r="GH94">
        <v>28499</v>
      </c>
      <c r="GI94">
        <v>28312.6</v>
      </c>
      <c r="GJ94">
        <v>29339.3</v>
      </c>
      <c r="GK94">
        <v>29253.3</v>
      </c>
      <c r="GL94">
        <v>35433.1</v>
      </c>
      <c r="GM94">
        <v>37031.4</v>
      </c>
      <c r="GN94">
        <v>41299.8</v>
      </c>
      <c r="GO94">
        <v>41749</v>
      </c>
      <c r="GP94">
        <v>1.95478</v>
      </c>
      <c r="GQ94">
        <v>1.8343</v>
      </c>
      <c r="GR94">
        <v>-0.0356026</v>
      </c>
      <c r="GS94">
        <v>0</v>
      </c>
      <c r="GT94">
        <v>25.5735</v>
      </c>
      <c r="GU94">
        <v>999.9</v>
      </c>
      <c r="GV94">
        <v>38.7</v>
      </c>
      <c r="GW94">
        <v>33.9</v>
      </c>
      <c r="GX94">
        <v>22.8211</v>
      </c>
      <c r="GY94">
        <v>62.5776</v>
      </c>
      <c r="GZ94">
        <v>35.3405</v>
      </c>
      <c r="HA94">
        <v>1</v>
      </c>
      <c r="HB94">
        <v>0.139642</v>
      </c>
      <c r="HC94">
        <v>2.13053</v>
      </c>
      <c r="HD94">
        <v>20.3202</v>
      </c>
      <c r="HE94">
        <v>5.21744</v>
      </c>
      <c r="HF94">
        <v>12.0099</v>
      </c>
      <c r="HG94">
        <v>4.98905</v>
      </c>
      <c r="HH94">
        <v>3.28858</v>
      </c>
      <c r="HI94">
        <v>850.9</v>
      </c>
      <c r="HJ94">
        <v>8468.1</v>
      </c>
      <c r="HK94">
        <v>5139.4</v>
      </c>
      <c r="HL94">
        <v>22.9</v>
      </c>
      <c r="HM94">
        <v>1.86752</v>
      </c>
      <c r="HN94">
        <v>1.86647</v>
      </c>
      <c r="HO94">
        <v>1.866</v>
      </c>
      <c r="HP94">
        <v>1.86586</v>
      </c>
      <c r="HQ94">
        <v>1.8677</v>
      </c>
      <c r="HR94">
        <v>1.87026</v>
      </c>
      <c r="HS94">
        <v>1.8689</v>
      </c>
      <c r="HT94">
        <v>1.87027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-1.34</v>
      </c>
      <c r="II94">
        <v>0.0065</v>
      </c>
      <c r="IJ94">
        <v>-0.4995723906072</v>
      </c>
      <c r="IK94">
        <v>-0.002077099775823331</v>
      </c>
      <c r="IL94">
        <v>4.593143279902166E-07</v>
      </c>
      <c r="IM94">
        <v>-1.865383991892071E-10</v>
      </c>
      <c r="IN94">
        <v>-0.07605349583632376</v>
      </c>
      <c r="IO94">
        <v>-0.01129461987421345</v>
      </c>
      <c r="IP94">
        <v>0.00116580895745559</v>
      </c>
      <c r="IQ94">
        <v>-1.679085872906199E-05</v>
      </c>
      <c r="IR94">
        <v>2</v>
      </c>
      <c r="IS94">
        <v>2290</v>
      </c>
      <c r="IT94">
        <v>0</v>
      </c>
      <c r="IU94">
        <v>32</v>
      </c>
      <c r="IV94">
        <v>7</v>
      </c>
      <c r="IW94">
        <v>6.7</v>
      </c>
      <c r="IX94">
        <v>1.20483</v>
      </c>
      <c r="IY94">
        <v>2.229</v>
      </c>
      <c r="IZ94">
        <v>1.39648</v>
      </c>
      <c r="JA94">
        <v>2.35962</v>
      </c>
      <c r="JB94">
        <v>1.49536</v>
      </c>
      <c r="JC94">
        <v>2.3584</v>
      </c>
      <c r="JD94">
        <v>38.379</v>
      </c>
      <c r="JE94">
        <v>24.0437</v>
      </c>
      <c r="JF94">
        <v>18</v>
      </c>
      <c r="JG94">
        <v>514.861</v>
      </c>
      <c r="JH94">
        <v>423.029</v>
      </c>
      <c r="JI94">
        <v>22.6958</v>
      </c>
      <c r="JJ94">
        <v>29.1411</v>
      </c>
      <c r="JK94">
        <v>29.9999</v>
      </c>
      <c r="JL94">
        <v>29.1373</v>
      </c>
      <c r="JM94">
        <v>29.0736</v>
      </c>
      <c r="JN94">
        <v>24.1243</v>
      </c>
      <c r="JO94">
        <v>56.5973</v>
      </c>
      <c r="JP94">
        <v>0</v>
      </c>
      <c r="JQ94">
        <v>22.6987</v>
      </c>
      <c r="JR94">
        <v>513.755</v>
      </c>
      <c r="JS94">
        <v>8.671430000000001</v>
      </c>
      <c r="JT94">
        <v>100.293</v>
      </c>
      <c r="JU94">
        <v>100.205</v>
      </c>
    </row>
    <row r="95" spans="1:281">
      <c r="A95">
        <v>79</v>
      </c>
      <c r="B95">
        <v>1651857443.1</v>
      </c>
      <c r="C95">
        <v>442.5</v>
      </c>
      <c r="D95" t="s">
        <v>585</v>
      </c>
      <c r="E95" t="s">
        <v>586</v>
      </c>
      <c r="F95">
        <v>2</v>
      </c>
      <c r="G95" t="s">
        <v>413</v>
      </c>
      <c r="H95" t="s">
        <v>414</v>
      </c>
      <c r="I95">
        <v>1651857441.725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497.2147213409068</v>
      </c>
      <c r="AK95">
        <v>451.3395515151516</v>
      </c>
      <c r="AL95">
        <v>3.224423380741595</v>
      </c>
      <c r="AM95">
        <v>66.38384787954378</v>
      </c>
      <c r="AN95">
        <f>(AP95 - AO95 + DI95*1E3/(8.314*(DK95+273.15)) * AR95/DH95 * AQ95) * DH95/(100*CV95) * 1000/(1000 - AP95)</f>
        <v>0</v>
      </c>
      <c r="AO95">
        <v>8.645650444812016</v>
      </c>
      <c r="AP95">
        <v>18.42697823529411</v>
      </c>
      <c r="AQ95">
        <v>0.0004596013217745595</v>
      </c>
      <c r="AR95">
        <v>80.44866334591464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1238</v>
      </c>
      <c r="CA95">
        <v>300</v>
      </c>
      <c r="CB95">
        <v>300</v>
      </c>
      <c r="CC95">
        <v>300</v>
      </c>
      <c r="CD95">
        <v>10440.5</v>
      </c>
      <c r="CE95">
        <v>1411.69</v>
      </c>
      <c r="CF95">
        <v>-0.00735121</v>
      </c>
      <c r="CG95">
        <v>-0.77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1651857441.725</v>
      </c>
      <c r="DB95">
        <v>440.238</v>
      </c>
      <c r="DC95">
        <v>497.534</v>
      </c>
      <c r="DD95">
        <v>18.427875</v>
      </c>
      <c r="DE95">
        <v>8.64418</v>
      </c>
      <c r="DF95">
        <v>441.58125</v>
      </c>
      <c r="DG95">
        <v>18.42135</v>
      </c>
      <c r="DH95">
        <v>500.008</v>
      </c>
      <c r="DI95">
        <v>90.09845</v>
      </c>
      <c r="DJ95">
        <v>0.10002305</v>
      </c>
      <c r="DK95">
        <v>25.754</v>
      </c>
      <c r="DL95">
        <v>24.9881</v>
      </c>
      <c r="DM95">
        <v>999.9</v>
      </c>
      <c r="DN95">
        <v>0</v>
      </c>
      <c r="DO95">
        <v>0</v>
      </c>
      <c r="DP95">
        <v>10015.3</v>
      </c>
      <c r="DQ95">
        <v>0</v>
      </c>
      <c r="DR95">
        <v>3.2126125</v>
      </c>
      <c r="DS95">
        <v>-57.2961</v>
      </c>
      <c r="DT95">
        <v>448.50275</v>
      </c>
      <c r="DU95">
        <v>501.87225</v>
      </c>
      <c r="DV95">
        <v>9.783715000000001</v>
      </c>
      <c r="DW95">
        <v>497.534</v>
      </c>
      <c r="DX95">
        <v>8.64418</v>
      </c>
      <c r="DY95">
        <v>1.660325</v>
      </c>
      <c r="DZ95">
        <v>0.77882725</v>
      </c>
      <c r="EA95">
        <v>14.530375</v>
      </c>
      <c r="EB95">
        <v>3.32715</v>
      </c>
      <c r="EC95">
        <v>1500.015</v>
      </c>
      <c r="ED95">
        <v>0.9730045</v>
      </c>
      <c r="EE95">
        <v>0.0269958</v>
      </c>
      <c r="EF95">
        <v>0</v>
      </c>
      <c r="EG95">
        <v>1034.4675</v>
      </c>
      <c r="EH95">
        <v>5.00097</v>
      </c>
      <c r="EI95">
        <v>15357.375</v>
      </c>
      <c r="EJ95">
        <v>12491.75</v>
      </c>
      <c r="EK95">
        <v>37.5</v>
      </c>
      <c r="EL95">
        <v>39</v>
      </c>
      <c r="EM95">
        <v>37.92149999999999</v>
      </c>
      <c r="EN95">
        <v>38.75</v>
      </c>
      <c r="EO95">
        <v>38.375</v>
      </c>
      <c r="EP95">
        <v>1454.6525</v>
      </c>
      <c r="EQ95">
        <v>40.3625</v>
      </c>
      <c r="ER95">
        <v>0</v>
      </c>
      <c r="ES95">
        <v>442.2000000476837</v>
      </c>
      <c r="ET95">
        <v>0</v>
      </c>
      <c r="EU95">
        <v>1031.058461538462</v>
      </c>
      <c r="EV95">
        <v>31.06461539420274</v>
      </c>
      <c r="EW95">
        <v>479.6239320432459</v>
      </c>
      <c r="EX95">
        <v>15307.46923076923</v>
      </c>
      <c r="EY95">
        <v>15</v>
      </c>
      <c r="EZ95">
        <v>1651857041.1</v>
      </c>
      <c r="FA95" t="s">
        <v>419</v>
      </c>
      <c r="FB95">
        <v>1651857019.6</v>
      </c>
      <c r="FC95">
        <v>1651857041.1</v>
      </c>
      <c r="FD95">
        <v>1</v>
      </c>
      <c r="FE95">
        <v>0.545</v>
      </c>
      <c r="FF95">
        <v>-0.002</v>
      </c>
      <c r="FG95">
        <v>-1.271</v>
      </c>
      <c r="FH95">
        <v>-0.09</v>
      </c>
      <c r="FI95">
        <v>400</v>
      </c>
      <c r="FJ95">
        <v>10</v>
      </c>
      <c r="FK95">
        <v>0.1</v>
      </c>
      <c r="FL95">
        <v>0.02</v>
      </c>
      <c r="FM95">
        <v>-54.42312439024389</v>
      </c>
      <c r="FN95">
        <v>-23.18629547038333</v>
      </c>
      <c r="FO95">
        <v>2.344907845064308</v>
      </c>
      <c r="FP95">
        <v>-1</v>
      </c>
      <c r="FQ95">
        <v>9.784839024390243</v>
      </c>
      <c r="FR95">
        <v>0.01298383275261729</v>
      </c>
      <c r="FS95">
        <v>0.01191343488484774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432</v>
      </c>
      <c r="GB95">
        <v>2.98007</v>
      </c>
      <c r="GC95">
        <v>2.70617</v>
      </c>
      <c r="GD95">
        <v>0.0977616</v>
      </c>
      <c r="GE95">
        <v>0.105587</v>
      </c>
      <c r="GF95">
        <v>0.0880283</v>
      </c>
      <c r="GG95">
        <v>0.0495005</v>
      </c>
      <c r="GH95">
        <v>28466.2</v>
      </c>
      <c r="GI95">
        <v>28281.2</v>
      </c>
      <c r="GJ95">
        <v>29339.6</v>
      </c>
      <c r="GK95">
        <v>29253.1</v>
      </c>
      <c r="GL95">
        <v>35433</v>
      </c>
      <c r="GM95">
        <v>37031.3</v>
      </c>
      <c r="GN95">
        <v>41300</v>
      </c>
      <c r="GO95">
        <v>41748.9</v>
      </c>
      <c r="GP95">
        <v>1.95497</v>
      </c>
      <c r="GQ95">
        <v>1.83415</v>
      </c>
      <c r="GR95">
        <v>-0.0356697</v>
      </c>
      <c r="GS95">
        <v>0</v>
      </c>
      <c r="GT95">
        <v>25.5721</v>
      </c>
      <c r="GU95">
        <v>999.9</v>
      </c>
      <c r="GV95">
        <v>38.7</v>
      </c>
      <c r="GW95">
        <v>33.9</v>
      </c>
      <c r="GX95">
        <v>22.8223</v>
      </c>
      <c r="GY95">
        <v>62.6476</v>
      </c>
      <c r="GZ95">
        <v>35.2764</v>
      </c>
      <c r="HA95">
        <v>1</v>
      </c>
      <c r="HB95">
        <v>0.139451</v>
      </c>
      <c r="HC95">
        <v>2.13791</v>
      </c>
      <c r="HD95">
        <v>20.32</v>
      </c>
      <c r="HE95">
        <v>5.21744</v>
      </c>
      <c r="HF95">
        <v>12.0099</v>
      </c>
      <c r="HG95">
        <v>4.9888</v>
      </c>
      <c r="HH95">
        <v>3.28858</v>
      </c>
      <c r="HI95">
        <v>850.9</v>
      </c>
      <c r="HJ95">
        <v>8468.1</v>
      </c>
      <c r="HK95">
        <v>5139.4</v>
      </c>
      <c r="HL95">
        <v>22.9</v>
      </c>
      <c r="HM95">
        <v>1.86752</v>
      </c>
      <c r="HN95">
        <v>1.86647</v>
      </c>
      <c r="HO95">
        <v>1.866</v>
      </c>
      <c r="HP95">
        <v>1.86586</v>
      </c>
      <c r="HQ95">
        <v>1.8677</v>
      </c>
      <c r="HR95">
        <v>1.87026</v>
      </c>
      <c r="HS95">
        <v>1.8689</v>
      </c>
      <c r="HT95">
        <v>1.87027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-1.351</v>
      </c>
      <c r="II95">
        <v>0.0065</v>
      </c>
      <c r="IJ95">
        <v>-0.4995723906072</v>
      </c>
      <c r="IK95">
        <v>-0.002077099775823331</v>
      </c>
      <c r="IL95">
        <v>4.593143279902166E-07</v>
      </c>
      <c r="IM95">
        <v>-1.865383991892071E-10</v>
      </c>
      <c r="IN95">
        <v>-0.07605349583632376</v>
      </c>
      <c r="IO95">
        <v>-0.01129461987421345</v>
      </c>
      <c r="IP95">
        <v>0.00116580895745559</v>
      </c>
      <c r="IQ95">
        <v>-1.679085872906199E-05</v>
      </c>
      <c r="IR95">
        <v>2</v>
      </c>
      <c r="IS95">
        <v>2290</v>
      </c>
      <c r="IT95">
        <v>0</v>
      </c>
      <c r="IU95">
        <v>32</v>
      </c>
      <c r="IV95">
        <v>7.1</v>
      </c>
      <c r="IW95">
        <v>6.7</v>
      </c>
      <c r="IX95">
        <v>1.21826</v>
      </c>
      <c r="IY95">
        <v>2.23877</v>
      </c>
      <c r="IZ95">
        <v>1.39648</v>
      </c>
      <c r="JA95">
        <v>2.35962</v>
      </c>
      <c r="JB95">
        <v>1.49536</v>
      </c>
      <c r="JC95">
        <v>2.28516</v>
      </c>
      <c r="JD95">
        <v>38.379</v>
      </c>
      <c r="JE95">
        <v>24.035</v>
      </c>
      <c r="JF95">
        <v>18</v>
      </c>
      <c r="JG95">
        <v>514.9930000000001</v>
      </c>
      <c r="JH95">
        <v>422.94</v>
      </c>
      <c r="JI95">
        <v>22.6993</v>
      </c>
      <c r="JJ95">
        <v>29.1406</v>
      </c>
      <c r="JK95">
        <v>29.9999</v>
      </c>
      <c r="JL95">
        <v>29.1373</v>
      </c>
      <c r="JM95">
        <v>29.0736</v>
      </c>
      <c r="JN95">
        <v>24.3916</v>
      </c>
      <c r="JO95">
        <v>56.5973</v>
      </c>
      <c r="JP95">
        <v>0</v>
      </c>
      <c r="JQ95">
        <v>22.7044</v>
      </c>
      <c r="JR95">
        <v>520.439</v>
      </c>
      <c r="JS95">
        <v>8.67076</v>
      </c>
      <c r="JT95">
        <v>100.293</v>
      </c>
      <c r="JU95">
        <v>100.205</v>
      </c>
    </row>
    <row r="96" spans="1:281">
      <c r="A96">
        <v>80</v>
      </c>
      <c r="B96">
        <v>1651857445.1</v>
      </c>
      <c r="C96">
        <v>444.5</v>
      </c>
      <c r="D96" t="s">
        <v>587</v>
      </c>
      <c r="E96" t="s">
        <v>588</v>
      </c>
      <c r="F96">
        <v>2</v>
      </c>
      <c r="G96" t="s">
        <v>413</v>
      </c>
      <c r="H96" t="s">
        <v>414</v>
      </c>
      <c r="I96">
        <v>1651857444.1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503.8655280281868</v>
      </c>
      <c r="AK96">
        <v>457.7739454545452</v>
      </c>
      <c r="AL96">
        <v>3.225357356819833</v>
      </c>
      <c r="AM96">
        <v>66.38384787954378</v>
      </c>
      <c r="AN96">
        <f>(AP96 - AO96 + DI96*1E3/(8.314*(DK96+273.15)) * AR96/DH96 * AQ96) * DH96/(100*CV96) * 1000/(1000 - AP96)</f>
        <v>0</v>
      </c>
      <c r="AO96">
        <v>8.644429087536404</v>
      </c>
      <c r="AP96">
        <v>18.43160617647058</v>
      </c>
      <c r="AQ96">
        <v>-0.0003677003029621273</v>
      </c>
      <c r="AR96">
        <v>80.44866334591464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1238</v>
      </c>
      <c r="CA96">
        <v>300</v>
      </c>
      <c r="CB96">
        <v>300</v>
      </c>
      <c r="CC96">
        <v>300</v>
      </c>
      <c r="CD96">
        <v>10440.5</v>
      </c>
      <c r="CE96">
        <v>1411.69</v>
      </c>
      <c r="CF96">
        <v>-0.00735121</v>
      </c>
      <c r="CG96">
        <v>-0.77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1651857444.1</v>
      </c>
      <c r="DB96">
        <v>447.7643333333334</v>
      </c>
      <c r="DC96">
        <v>505.066</v>
      </c>
      <c r="DD96">
        <v>18.43106666666667</v>
      </c>
      <c r="DE96">
        <v>8.644170000000001</v>
      </c>
      <c r="DF96">
        <v>449.1213333333333</v>
      </c>
      <c r="DG96">
        <v>18.42446666666667</v>
      </c>
      <c r="DH96">
        <v>500.0479999999999</v>
      </c>
      <c r="DI96">
        <v>90.09829999999999</v>
      </c>
      <c r="DJ96">
        <v>0.1000896666666667</v>
      </c>
      <c r="DK96">
        <v>25.7551</v>
      </c>
      <c r="DL96">
        <v>24.9881</v>
      </c>
      <c r="DM96">
        <v>999.9</v>
      </c>
      <c r="DN96">
        <v>0</v>
      </c>
      <c r="DO96">
        <v>0</v>
      </c>
      <c r="DP96">
        <v>9989.580000000002</v>
      </c>
      <c r="DQ96">
        <v>0</v>
      </c>
      <c r="DR96">
        <v>3.20383</v>
      </c>
      <c r="DS96">
        <v>-57.30173333333334</v>
      </c>
      <c r="DT96">
        <v>456.172</v>
      </c>
      <c r="DU96">
        <v>509.47</v>
      </c>
      <c r="DV96">
        <v>9.78689</v>
      </c>
      <c r="DW96">
        <v>505.066</v>
      </c>
      <c r="DX96">
        <v>8.644170000000001</v>
      </c>
      <c r="DY96">
        <v>1.660606666666667</v>
      </c>
      <c r="DZ96">
        <v>0.7788246666666666</v>
      </c>
      <c r="EA96">
        <v>14.533</v>
      </c>
      <c r="EB96">
        <v>3.327103333333334</v>
      </c>
      <c r="EC96">
        <v>1499.99</v>
      </c>
      <c r="ED96">
        <v>0.9730053333333334</v>
      </c>
      <c r="EE96">
        <v>0.0269949</v>
      </c>
      <c r="EF96">
        <v>0</v>
      </c>
      <c r="EG96">
        <v>1035.81</v>
      </c>
      <c r="EH96">
        <v>5.00097</v>
      </c>
      <c r="EI96">
        <v>15378.33333333333</v>
      </c>
      <c r="EJ96">
        <v>12491.56666666667</v>
      </c>
      <c r="EK96">
        <v>37.52066666666666</v>
      </c>
      <c r="EL96">
        <v>39</v>
      </c>
      <c r="EM96">
        <v>37.89566666666666</v>
      </c>
      <c r="EN96">
        <v>38.75</v>
      </c>
      <c r="EO96">
        <v>38.375</v>
      </c>
      <c r="EP96">
        <v>1454.63</v>
      </c>
      <c r="EQ96">
        <v>40.36</v>
      </c>
      <c r="ER96">
        <v>0</v>
      </c>
      <c r="ES96">
        <v>444</v>
      </c>
      <c r="ET96">
        <v>0</v>
      </c>
      <c r="EU96">
        <v>1032.1404</v>
      </c>
      <c r="EV96">
        <v>33.82307695934014</v>
      </c>
      <c r="EW96">
        <v>511.153847029182</v>
      </c>
      <c r="EX96">
        <v>15324.252</v>
      </c>
      <c r="EY96">
        <v>15</v>
      </c>
      <c r="EZ96">
        <v>1651857041.1</v>
      </c>
      <c r="FA96" t="s">
        <v>419</v>
      </c>
      <c r="FB96">
        <v>1651857019.6</v>
      </c>
      <c r="FC96">
        <v>1651857041.1</v>
      </c>
      <c r="FD96">
        <v>1</v>
      </c>
      <c r="FE96">
        <v>0.545</v>
      </c>
      <c r="FF96">
        <v>-0.002</v>
      </c>
      <c r="FG96">
        <v>-1.271</v>
      </c>
      <c r="FH96">
        <v>-0.09</v>
      </c>
      <c r="FI96">
        <v>400</v>
      </c>
      <c r="FJ96">
        <v>10</v>
      </c>
      <c r="FK96">
        <v>0.1</v>
      </c>
      <c r="FL96">
        <v>0.02</v>
      </c>
      <c r="FM96">
        <v>-54.8078756097561</v>
      </c>
      <c r="FN96">
        <v>-21.06911289198616</v>
      </c>
      <c r="FO96">
        <v>2.132665325508114</v>
      </c>
      <c r="FP96">
        <v>-1</v>
      </c>
      <c r="FQ96">
        <v>9.78673756097561</v>
      </c>
      <c r="FR96">
        <v>-0.02125986062718353</v>
      </c>
      <c r="FS96">
        <v>0.008083401777411863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432</v>
      </c>
      <c r="GB96">
        <v>2.97983</v>
      </c>
      <c r="GC96">
        <v>2.70621</v>
      </c>
      <c r="GD96">
        <v>0.09879259999999999</v>
      </c>
      <c r="GE96">
        <v>0.106549</v>
      </c>
      <c r="GF96">
        <v>0.0880391</v>
      </c>
      <c r="GG96">
        <v>0.049501</v>
      </c>
      <c r="GH96">
        <v>28433.9</v>
      </c>
      <c r="GI96">
        <v>28250.7</v>
      </c>
      <c r="GJ96">
        <v>29339.9</v>
      </c>
      <c r="GK96">
        <v>29253.1</v>
      </c>
      <c r="GL96">
        <v>35432.9</v>
      </c>
      <c r="GM96">
        <v>37031.4</v>
      </c>
      <c r="GN96">
        <v>41300.4</v>
      </c>
      <c r="GO96">
        <v>41749</v>
      </c>
      <c r="GP96">
        <v>1.95492</v>
      </c>
      <c r="GQ96">
        <v>1.83415</v>
      </c>
      <c r="GR96">
        <v>-0.0354983</v>
      </c>
      <c r="GS96">
        <v>0</v>
      </c>
      <c r="GT96">
        <v>25.5711</v>
      </c>
      <c r="GU96">
        <v>999.9</v>
      </c>
      <c r="GV96">
        <v>38.7</v>
      </c>
      <c r="GW96">
        <v>33.9</v>
      </c>
      <c r="GX96">
        <v>22.8223</v>
      </c>
      <c r="GY96">
        <v>62.6276</v>
      </c>
      <c r="GZ96">
        <v>35.5729</v>
      </c>
      <c r="HA96">
        <v>1</v>
      </c>
      <c r="HB96">
        <v>0.1392</v>
      </c>
      <c r="HC96">
        <v>2.13694</v>
      </c>
      <c r="HD96">
        <v>20.3201</v>
      </c>
      <c r="HE96">
        <v>5.21654</v>
      </c>
      <c r="HF96">
        <v>12.0099</v>
      </c>
      <c r="HG96">
        <v>4.98845</v>
      </c>
      <c r="HH96">
        <v>3.28848</v>
      </c>
      <c r="HI96">
        <v>850.9</v>
      </c>
      <c r="HJ96">
        <v>8468.1</v>
      </c>
      <c r="HK96">
        <v>5139.4</v>
      </c>
      <c r="HL96">
        <v>22.9</v>
      </c>
      <c r="HM96">
        <v>1.86752</v>
      </c>
      <c r="HN96">
        <v>1.86647</v>
      </c>
      <c r="HO96">
        <v>1.866</v>
      </c>
      <c r="HP96">
        <v>1.86586</v>
      </c>
      <c r="HQ96">
        <v>1.8677</v>
      </c>
      <c r="HR96">
        <v>1.87026</v>
      </c>
      <c r="HS96">
        <v>1.86891</v>
      </c>
      <c r="HT96">
        <v>1.87027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-1.362</v>
      </c>
      <c r="II96">
        <v>0.0066</v>
      </c>
      <c r="IJ96">
        <v>-0.4995723906072</v>
      </c>
      <c r="IK96">
        <v>-0.002077099775823331</v>
      </c>
      <c r="IL96">
        <v>4.593143279902166E-07</v>
      </c>
      <c r="IM96">
        <v>-1.865383991892071E-10</v>
      </c>
      <c r="IN96">
        <v>-0.07605349583632376</v>
      </c>
      <c r="IO96">
        <v>-0.01129461987421345</v>
      </c>
      <c r="IP96">
        <v>0.00116580895745559</v>
      </c>
      <c r="IQ96">
        <v>-1.679085872906199E-05</v>
      </c>
      <c r="IR96">
        <v>2</v>
      </c>
      <c r="IS96">
        <v>2290</v>
      </c>
      <c r="IT96">
        <v>0</v>
      </c>
      <c r="IU96">
        <v>32</v>
      </c>
      <c r="IV96">
        <v>7.1</v>
      </c>
      <c r="IW96">
        <v>6.7</v>
      </c>
      <c r="IX96">
        <v>1.23047</v>
      </c>
      <c r="IY96">
        <v>2.23267</v>
      </c>
      <c r="IZ96">
        <v>1.39648</v>
      </c>
      <c r="JA96">
        <v>2.3584</v>
      </c>
      <c r="JB96">
        <v>1.49536</v>
      </c>
      <c r="JC96">
        <v>2.35107</v>
      </c>
      <c r="JD96">
        <v>38.379</v>
      </c>
      <c r="JE96">
        <v>24.0437</v>
      </c>
      <c r="JF96">
        <v>18</v>
      </c>
      <c r="JG96">
        <v>514.951</v>
      </c>
      <c r="JH96">
        <v>422.94</v>
      </c>
      <c r="JI96">
        <v>22.7017</v>
      </c>
      <c r="JJ96">
        <v>29.1393</v>
      </c>
      <c r="JK96">
        <v>29.9999</v>
      </c>
      <c r="JL96">
        <v>29.1362</v>
      </c>
      <c r="JM96">
        <v>29.0736</v>
      </c>
      <c r="JN96">
        <v>24.6306</v>
      </c>
      <c r="JO96">
        <v>56.5973</v>
      </c>
      <c r="JP96">
        <v>0</v>
      </c>
      <c r="JQ96">
        <v>22.7044</v>
      </c>
      <c r="JR96">
        <v>527.13</v>
      </c>
      <c r="JS96">
        <v>8.67071</v>
      </c>
      <c r="JT96">
        <v>100.294</v>
      </c>
      <c r="JU96">
        <v>100.205</v>
      </c>
    </row>
    <row r="97" spans="1:281">
      <c r="A97">
        <v>81</v>
      </c>
      <c r="B97">
        <v>1651857447.1</v>
      </c>
      <c r="C97">
        <v>446.5</v>
      </c>
      <c r="D97" t="s">
        <v>589</v>
      </c>
      <c r="E97" t="s">
        <v>590</v>
      </c>
      <c r="F97">
        <v>2</v>
      </c>
      <c r="G97" t="s">
        <v>413</v>
      </c>
      <c r="H97" t="s">
        <v>414</v>
      </c>
      <c r="I97">
        <v>1651857445.725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510.1915875943438</v>
      </c>
      <c r="AK97">
        <v>464.0365515151514</v>
      </c>
      <c r="AL97">
        <v>3.162057856066229</v>
      </c>
      <c r="AM97">
        <v>66.38384787954378</v>
      </c>
      <c r="AN97">
        <f>(AP97 - AO97 + DI97*1E3/(8.314*(DK97+273.15)) * AR97/DH97 * AQ97) * DH97/(100*CV97) * 1000/(1000 - AP97)</f>
        <v>0</v>
      </c>
      <c r="AO97">
        <v>8.644251062807889</v>
      </c>
      <c r="AP97">
        <v>18.43189147058823</v>
      </c>
      <c r="AQ97">
        <v>6.748066722481991E-05</v>
      </c>
      <c r="AR97">
        <v>80.44866334591464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1238</v>
      </c>
      <c r="CA97">
        <v>300</v>
      </c>
      <c r="CB97">
        <v>300</v>
      </c>
      <c r="CC97">
        <v>300</v>
      </c>
      <c r="CD97">
        <v>10440.5</v>
      </c>
      <c r="CE97">
        <v>1411.69</v>
      </c>
      <c r="CF97">
        <v>-0.00735121</v>
      </c>
      <c r="CG97">
        <v>-0.77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1651857445.725</v>
      </c>
      <c r="DB97">
        <v>452.795</v>
      </c>
      <c r="DC97">
        <v>510.298</v>
      </c>
      <c r="DD97">
        <v>18.431125</v>
      </c>
      <c r="DE97">
        <v>8.643445</v>
      </c>
      <c r="DF97">
        <v>454.1607500000001</v>
      </c>
      <c r="DG97">
        <v>18.42455</v>
      </c>
      <c r="DH97">
        <v>500.05375</v>
      </c>
      <c r="DI97">
        <v>90.09987500000001</v>
      </c>
      <c r="DJ97">
        <v>0.1001446</v>
      </c>
      <c r="DK97">
        <v>25.755825</v>
      </c>
      <c r="DL97">
        <v>24.99</v>
      </c>
      <c r="DM97">
        <v>999.9</v>
      </c>
      <c r="DN97">
        <v>0</v>
      </c>
      <c r="DO97">
        <v>0</v>
      </c>
      <c r="DP97">
        <v>9986.564999999999</v>
      </c>
      <c r="DQ97">
        <v>0</v>
      </c>
      <c r="DR97">
        <v>3.20383</v>
      </c>
      <c r="DS97">
        <v>-57.503125</v>
      </c>
      <c r="DT97">
        <v>461.297</v>
      </c>
      <c r="DU97">
        <v>514.74725</v>
      </c>
      <c r="DV97">
        <v>9.7877025</v>
      </c>
      <c r="DW97">
        <v>510.298</v>
      </c>
      <c r="DX97">
        <v>8.643445</v>
      </c>
      <c r="DY97">
        <v>1.660645</v>
      </c>
      <c r="DZ97">
        <v>0.77877325</v>
      </c>
      <c r="EA97">
        <v>14.53335</v>
      </c>
      <c r="EB97">
        <v>3.3261675</v>
      </c>
      <c r="EC97">
        <v>1499.945</v>
      </c>
      <c r="ED97">
        <v>0.9730045</v>
      </c>
      <c r="EE97">
        <v>0.0269958</v>
      </c>
      <c r="EF97">
        <v>0</v>
      </c>
      <c r="EG97">
        <v>1036.8675</v>
      </c>
      <c r="EH97">
        <v>5.00097</v>
      </c>
      <c r="EI97">
        <v>15394</v>
      </c>
      <c r="EJ97">
        <v>12491.175</v>
      </c>
      <c r="EK97">
        <v>37.5</v>
      </c>
      <c r="EL97">
        <v>39</v>
      </c>
      <c r="EM97">
        <v>37.875</v>
      </c>
      <c r="EN97">
        <v>38.75</v>
      </c>
      <c r="EO97">
        <v>38.375</v>
      </c>
      <c r="EP97">
        <v>1454.585</v>
      </c>
      <c r="EQ97">
        <v>40.36</v>
      </c>
      <c r="ER97">
        <v>0</v>
      </c>
      <c r="ES97">
        <v>445.8000001907349</v>
      </c>
      <c r="ET97">
        <v>0</v>
      </c>
      <c r="EU97">
        <v>1033.002692307692</v>
      </c>
      <c r="EV97">
        <v>34.99247862435308</v>
      </c>
      <c r="EW97">
        <v>526.4068376884627</v>
      </c>
      <c r="EX97">
        <v>15337.03846153846</v>
      </c>
      <c r="EY97">
        <v>15</v>
      </c>
      <c r="EZ97">
        <v>1651857041.1</v>
      </c>
      <c r="FA97" t="s">
        <v>419</v>
      </c>
      <c r="FB97">
        <v>1651857019.6</v>
      </c>
      <c r="FC97">
        <v>1651857041.1</v>
      </c>
      <c r="FD97">
        <v>1</v>
      </c>
      <c r="FE97">
        <v>0.545</v>
      </c>
      <c r="FF97">
        <v>-0.002</v>
      </c>
      <c r="FG97">
        <v>-1.271</v>
      </c>
      <c r="FH97">
        <v>-0.09</v>
      </c>
      <c r="FI97">
        <v>400</v>
      </c>
      <c r="FJ97">
        <v>10</v>
      </c>
      <c r="FK97">
        <v>0.1</v>
      </c>
      <c r="FL97">
        <v>0.02</v>
      </c>
      <c r="FM97">
        <v>-55.74723414634147</v>
      </c>
      <c r="FN97">
        <v>-15.59881463414623</v>
      </c>
      <c r="FO97">
        <v>1.59219480800526</v>
      </c>
      <c r="FP97">
        <v>-1</v>
      </c>
      <c r="FQ97">
        <v>9.787493170731709</v>
      </c>
      <c r="FR97">
        <v>-0.03497456445992672</v>
      </c>
      <c r="FS97">
        <v>0.005700840091718051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432</v>
      </c>
      <c r="GB97">
        <v>2.97992</v>
      </c>
      <c r="GC97">
        <v>2.70612</v>
      </c>
      <c r="GD97">
        <v>0.0998004</v>
      </c>
      <c r="GE97">
        <v>0.107558</v>
      </c>
      <c r="GF97">
        <v>0.08803709999999999</v>
      </c>
      <c r="GG97">
        <v>0.0494958</v>
      </c>
      <c r="GH97">
        <v>28402</v>
      </c>
      <c r="GI97">
        <v>28218.7</v>
      </c>
      <c r="GJ97">
        <v>29339.8</v>
      </c>
      <c r="GK97">
        <v>29253</v>
      </c>
      <c r="GL97">
        <v>35433</v>
      </c>
      <c r="GM97">
        <v>37031.4</v>
      </c>
      <c r="GN97">
        <v>41300.4</v>
      </c>
      <c r="GO97">
        <v>41748.8</v>
      </c>
      <c r="GP97">
        <v>1.95492</v>
      </c>
      <c r="GQ97">
        <v>1.83428</v>
      </c>
      <c r="GR97">
        <v>-0.0352114</v>
      </c>
      <c r="GS97">
        <v>0</v>
      </c>
      <c r="GT97">
        <v>25.57</v>
      </c>
      <c r="GU97">
        <v>999.9</v>
      </c>
      <c r="GV97">
        <v>38.7</v>
      </c>
      <c r="GW97">
        <v>33.9</v>
      </c>
      <c r="GX97">
        <v>22.8227</v>
      </c>
      <c r="GY97">
        <v>62.3076</v>
      </c>
      <c r="GZ97">
        <v>35.1562</v>
      </c>
      <c r="HA97">
        <v>1</v>
      </c>
      <c r="HB97">
        <v>0.139154</v>
      </c>
      <c r="HC97">
        <v>2.13461</v>
      </c>
      <c r="HD97">
        <v>20.3202</v>
      </c>
      <c r="HE97">
        <v>5.21624</v>
      </c>
      <c r="HF97">
        <v>12.0099</v>
      </c>
      <c r="HG97">
        <v>4.9886</v>
      </c>
      <c r="HH97">
        <v>3.28848</v>
      </c>
      <c r="HI97">
        <v>851.1</v>
      </c>
      <c r="HJ97">
        <v>8470.4</v>
      </c>
      <c r="HK97">
        <v>5139.4</v>
      </c>
      <c r="HL97">
        <v>22.9</v>
      </c>
      <c r="HM97">
        <v>1.86752</v>
      </c>
      <c r="HN97">
        <v>1.86647</v>
      </c>
      <c r="HO97">
        <v>1.866</v>
      </c>
      <c r="HP97">
        <v>1.86586</v>
      </c>
      <c r="HQ97">
        <v>1.8677</v>
      </c>
      <c r="HR97">
        <v>1.87026</v>
      </c>
      <c r="HS97">
        <v>1.86891</v>
      </c>
      <c r="HT97">
        <v>1.87027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-1.373</v>
      </c>
      <c r="II97">
        <v>0.0066</v>
      </c>
      <c r="IJ97">
        <v>-0.4995723906072</v>
      </c>
      <c r="IK97">
        <v>-0.002077099775823331</v>
      </c>
      <c r="IL97">
        <v>4.593143279902166E-07</v>
      </c>
      <c r="IM97">
        <v>-1.865383991892071E-10</v>
      </c>
      <c r="IN97">
        <v>-0.07605349583632376</v>
      </c>
      <c r="IO97">
        <v>-0.01129461987421345</v>
      </c>
      <c r="IP97">
        <v>0.00116580895745559</v>
      </c>
      <c r="IQ97">
        <v>-1.679085872906199E-05</v>
      </c>
      <c r="IR97">
        <v>2</v>
      </c>
      <c r="IS97">
        <v>2290</v>
      </c>
      <c r="IT97">
        <v>0</v>
      </c>
      <c r="IU97">
        <v>32</v>
      </c>
      <c r="IV97">
        <v>7.1</v>
      </c>
      <c r="IW97">
        <v>6.8</v>
      </c>
      <c r="IX97">
        <v>1.24146</v>
      </c>
      <c r="IY97">
        <v>2.229</v>
      </c>
      <c r="IZ97">
        <v>1.39648</v>
      </c>
      <c r="JA97">
        <v>2.35962</v>
      </c>
      <c r="JB97">
        <v>1.49536</v>
      </c>
      <c r="JC97">
        <v>2.2998</v>
      </c>
      <c r="JD97">
        <v>38.379</v>
      </c>
      <c r="JE97">
        <v>24.0437</v>
      </c>
      <c r="JF97">
        <v>18</v>
      </c>
      <c r="JG97">
        <v>514.9400000000001</v>
      </c>
      <c r="JH97">
        <v>423.012</v>
      </c>
      <c r="JI97">
        <v>22.7041</v>
      </c>
      <c r="JJ97">
        <v>29.1385</v>
      </c>
      <c r="JK97">
        <v>30</v>
      </c>
      <c r="JL97">
        <v>29.1349</v>
      </c>
      <c r="JM97">
        <v>29.0733</v>
      </c>
      <c r="JN97">
        <v>24.8704</v>
      </c>
      <c r="JO97">
        <v>56.5973</v>
      </c>
      <c r="JP97">
        <v>0</v>
      </c>
      <c r="JQ97">
        <v>22.7044</v>
      </c>
      <c r="JR97">
        <v>533.831</v>
      </c>
      <c r="JS97">
        <v>8.66976</v>
      </c>
      <c r="JT97">
        <v>100.294</v>
      </c>
      <c r="JU97">
        <v>100.204</v>
      </c>
    </row>
    <row r="98" spans="1:281">
      <c r="A98">
        <v>82</v>
      </c>
      <c r="B98">
        <v>1651857449.1</v>
      </c>
      <c r="C98">
        <v>448.5</v>
      </c>
      <c r="D98" t="s">
        <v>591</v>
      </c>
      <c r="E98" t="s">
        <v>592</v>
      </c>
      <c r="F98">
        <v>2</v>
      </c>
      <c r="G98" t="s">
        <v>413</v>
      </c>
      <c r="H98" t="s">
        <v>414</v>
      </c>
      <c r="I98">
        <v>1651857448.1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516.7576680008582</v>
      </c>
      <c r="AK98">
        <v>470.3693454545456</v>
      </c>
      <c r="AL98">
        <v>3.154437445639242</v>
      </c>
      <c r="AM98">
        <v>66.38384787954378</v>
      </c>
      <c r="AN98">
        <f>(AP98 - AO98 + DI98*1E3/(8.314*(DK98+273.15)) * AR98/DH98 * AQ98) * DH98/(100*CV98) * 1000/(1000 - AP98)</f>
        <v>0</v>
      </c>
      <c r="AO98">
        <v>8.643912787828315</v>
      </c>
      <c r="AP98">
        <v>18.43194294117646</v>
      </c>
      <c r="AQ98">
        <v>0.000194625540681087</v>
      </c>
      <c r="AR98">
        <v>80.44866334591464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1238</v>
      </c>
      <c r="CA98">
        <v>300</v>
      </c>
      <c r="CB98">
        <v>300</v>
      </c>
      <c r="CC98">
        <v>300</v>
      </c>
      <c r="CD98">
        <v>10440.5</v>
      </c>
      <c r="CE98">
        <v>1411.69</v>
      </c>
      <c r="CF98">
        <v>-0.00735121</v>
      </c>
      <c r="CG98">
        <v>-0.77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1651857448.1</v>
      </c>
      <c r="DB98">
        <v>460.141</v>
      </c>
      <c r="DC98">
        <v>518.1706666666666</v>
      </c>
      <c r="DD98">
        <v>18.43226666666667</v>
      </c>
      <c r="DE98">
        <v>8.643206666666666</v>
      </c>
      <c r="DF98">
        <v>461.5196666666666</v>
      </c>
      <c r="DG98">
        <v>18.42566666666667</v>
      </c>
      <c r="DH98">
        <v>499.992</v>
      </c>
      <c r="DI98">
        <v>90.10123333333333</v>
      </c>
      <c r="DJ98">
        <v>0.09969446666666666</v>
      </c>
      <c r="DK98">
        <v>25.75553333333333</v>
      </c>
      <c r="DL98">
        <v>24.99313333333333</v>
      </c>
      <c r="DM98">
        <v>999.9</v>
      </c>
      <c r="DN98">
        <v>0</v>
      </c>
      <c r="DO98">
        <v>0</v>
      </c>
      <c r="DP98">
        <v>10018.73333333333</v>
      </c>
      <c r="DQ98">
        <v>0</v>
      </c>
      <c r="DR98">
        <v>3.20383</v>
      </c>
      <c r="DS98">
        <v>-58.02950000000001</v>
      </c>
      <c r="DT98">
        <v>468.7816666666667</v>
      </c>
      <c r="DU98">
        <v>522.688</v>
      </c>
      <c r="DV98">
        <v>9.789076666666666</v>
      </c>
      <c r="DW98">
        <v>518.1706666666666</v>
      </c>
      <c r="DX98">
        <v>8.643206666666666</v>
      </c>
      <c r="DY98">
        <v>1.660773333333333</v>
      </c>
      <c r="DZ98">
        <v>0.7787636666666667</v>
      </c>
      <c r="EA98">
        <v>14.53453333333333</v>
      </c>
      <c r="EB98">
        <v>3.325993333333333</v>
      </c>
      <c r="EC98">
        <v>1500.096666666667</v>
      </c>
      <c r="ED98">
        <v>0.9730053333333334</v>
      </c>
      <c r="EE98">
        <v>0.0269949</v>
      </c>
      <c r="EF98">
        <v>0</v>
      </c>
      <c r="EG98">
        <v>1038.08</v>
      </c>
      <c r="EH98">
        <v>5.00097</v>
      </c>
      <c r="EI98">
        <v>15415.73333333333</v>
      </c>
      <c r="EJ98">
        <v>12492.43333333333</v>
      </c>
      <c r="EK98">
        <v>37.5</v>
      </c>
      <c r="EL98">
        <v>39</v>
      </c>
      <c r="EM98">
        <v>37.937</v>
      </c>
      <c r="EN98">
        <v>38.75</v>
      </c>
      <c r="EO98">
        <v>38.375</v>
      </c>
      <c r="EP98">
        <v>1454.733333333334</v>
      </c>
      <c r="EQ98">
        <v>40.36333333333333</v>
      </c>
      <c r="ER98">
        <v>0</v>
      </c>
      <c r="ES98">
        <v>448.2000000476837</v>
      </c>
      <c r="ET98">
        <v>0</v>
      </c>
      <c r="EU98">
        <v>1034.396538461538</v>
      </c>
      <c r="EV98">
        <v>35.59897437997814</v>
      </c>
      <c r="EW98">
        <v>534.6188038096759</v>
      </c>
      <c r="EX98">
        <v>15358.18461538462</v>
      </c>
      <c r="EY98">
        <v>15</v>
      </c>
      <c r="EZ98">
        <v>1651857041.1</v>
      </c>
      <c r="FA98" t="s">
        <v>419</v>
      </c>
      <c r="FB98">
        <v>1651857019.6</v>
      </c>
      <c r="FC98">
        <v>1651857041.1</v>
      </c>
      <c r="FD98">
        <v>1</v>
      </c>
      <c r="FE98">
        <v>0.545</v>
      </c>
      <c r="FF98">
        <v>-0.002</v>
      </c>
      <c r="FG98">
        <v>-1.271</v>
      </c>
      <c r="FH98">
        <v>-0.09</v>
      </c>
      <c r="FI98">
        <v>400</v>
      </c>
      <c r="FJ98">
        <v>10</v>
      </c>
      <c r="FK98">
        <v>0.1</v>
      </c>
      <c r="FL98">
        <v>0.02</v>
      </c>
      <c r="FM98">
        <v>-56.01795121951221</v>
      </c>
      <c r="FN98">
        <v>-14.27310940766555</v>
      </c>
      <c r="FO98">
        <v>1.454671147167274</v>
      </c>
      <c r="FP98">
        <v>-1</v>
      </c>
      <c r="FQ98">
        <v>9.786867073170731</v>
      </c>
      <c r="FR98">
        <v>-0.02198090592335101</v>
      </c>
      <c r="FS98">
        <v>0.004797054606431551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432</v>
      </c>
      <c r="GB98">
        <v>2.97984</v>
      </c>
      <c r="GC98">
        <v>2.7061</v>
      </c>
      <c r="GD98">
        <v>0.100812</v>
      </c>
      <c r="GE98">
        <v>0.108549</v>
      </c>
      <c r="GF98">
        <v>0.0880454</v>
      </c>
      <c r="GG98">
        <v>0.0494977</v>
      </c>
      <c r="GH98">
        <v>28370.1</v>
      </c>
      <c r="GI98">
        <v>28187.3</v>
      </c>
      <c r="GJ98">
        <v>29339.8</v>
      </c>
      <c r="GK98">
        <v>29252.9</v>
      </c>
      <c r="GL98">
        <v>35432.6</v>
      </c>
      <c r="GM98">
        <v>37031.3</v>
      </c>
      <c r="GN98">
        <v>41300.2</v>
      </c>
      <c r="GO98">
        <v>41748.7</v>
      </c>
      <c r="GP98">
        <v>1.95497</v>
      </c>
      <c r="GQ98">
        <v>1.83438</v>
      </c>
      <c r="GR98">
        <v>-0.0351295</v>
      </c>
      <c r="GS98">
        <v>0</v>
      </c>
      <c r="GT98">
        <v>25.5692</v>
      </c>
      <c r="GU98">
        <v>999.9</v>
      </c>
      <c r="GV98">
        <v>38.7</v>
      </c>
      <c r="GW98">
        <v>33.9</v>
      </c>
      <c r="GX98">
        <v>22.8222</v>
      </c>
      <c r="GY98">
        <v>62.4976</v>
      </c>
      <c r="GZ98">
        <v>35.605</v>
      </c>
      <c r="HA98">
        <v>1</v>
      </c>
      <c r="HB98">
        <v>0.139238</v>
      </c>
      <c r="HC98">
        <v>2.13842</v>
      </c>
      <c r="HD98">
        <v>20.32</v>
      </c>
      <c r="HE98">
        <v>5.21714</v>
      </c>
      <c r="HF98">
        <v>12.0099</v>
      </c>
      <c r="HG98">
        <v>4.9888</v>
      </c>
      <c r="HH98">
        <v>3.28855</v>
      </c>
      <c r="HI98">
        <v>851.1</v>
      </c>
      <c r="HJ98">
        <v>8470.4</v>
      </c>
      <c r="HK98">
        <v>5139.4</v>
      </c>
      <c r="HL98">
        <v>22.9</v>
      </c>
      <c r="HM98">
        <v>1.86752</v>
      </c>
      <c r="HN98">
        <v>1.86646</v>
      </c>
      <c r="HO98">
        <v>1.866</v>
      </c>
      <c r="HP98">
        <v>1.86586</v>
      </c>
      <c r="HQ98">
        <v>1.8677</v>
      </c>
      <c r="HR98">
        <v>1.87026</v>
      </c>
      <c r="HS98">
        <v>1.86891</v>
      </c>
      <c r="HT98">
        <v>1.87027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-1.384</v>
      </c>
      <c r="II98">
        <v>0.0066</v>
      </c>
      <c r="IJ98">
        <v>-0.4995723906072</v>
      </c>
      <c r="IK98">
        <v>-0.002077099775823331</v>
      </c>
      <c r="IL98">
        <v>4.593143279902166E-07</v>
      </c>
      <c r="IM98">
        <v>-1.865383991892071E-10</v>
      </c>
      <c r="IN98">
        <v>-0.07605349583632376</v>
      </c>
      <c r="IO98">
        <v>-0.01129461987421345</v>
      </c>
      <c r="IP98">
        <v>0.00116580895745559</v>
      </c>
      <c r="IQ98">
        <v>-1.679085872906199E-05</v>
      </c>
      <c r="IR98">
        <v>2</v>
      </c>
      <c r="IS98">
        <v>2290</v>
      </c>
      <c r="IT98">
        <v>0</v>
      </c>
      <c r="IU98">
        <v>32</v>
      </c>
      <c r="IV98">
        <v>7.2</v>
      </c>
      <c r="IW98">
        <v>6.8</v>
      </c>
      <c r="IX98">
        <v>1.25488</v>
      </c>
      <c r="IY98">
        <v>2.23389</v>
      </c>
      <c r="IZ98">
        <v>1.39648</v>
      </c>
      <c r="JA98">
        <v>2.35962</v>
      </c>
      <c r="JB98">
        <v>1.49536</v>
      </c>
      <c r="JC98">
        <v>2.3291</v>
      </c>
      <c r="JD98">
        <v>38.379</v>
      </c>
      <c r="JE98">
        <v>24.0437</v>
      </c>
      <c r="JF98">
        <v>18</v>
      </c>
      <c r="JG98">
        <v>514.971</v>
      </c>
      <c r="JH98">
        <v>423.063</v>
      </c>
      <c r="JI98">
        <v>22.7064</v>
      </c>
      <c r="JJ98">
        <v>29.1381</v>
      </c>
      <c r="JK98">
        <v>30.0001</v>
      </c>
      <c r="JL98">
        <v>29.1347</v>
      </c>
      <c r="JM98">
        <v>29.0721</v>
      </c>
      <c r="JN98">
        <v>25.1223</v>
      </c>
      <c r="JO98">
        <v>56.5973</v>
      </c>
      <c r="JP98">
        <v>0</v>
      </c>
      <c r="JQ98">
        <v>22.7112</v>
      </c>
      <c r="JR98">
        <v>540.744</v>
      </c>
      <c r="JS98">
        <v>8.66404</v>
      </c>
      <c r="JT98">
        <v>100.294</v>
      </c>
      <c r="JU98">
        <v>100.204</v>
      </c>
    </row>
    <row r="99" spans="1:281">
      <c r="A99">
        <v>83</v>
      </c>
      <c r="B99">
        <v>1651857451.1</v>
      </c>
      <c r="C99">
        <v>450.5</v>
      </c>
      <c r="D99" t="s">
        <v>593</v>
      </c>
      <c r="E99" t="s">
        <v>594</v>
      </c>
      <c r="F99">
        <v>2</v>
      </c>
      <c r="G99" t="s">
        <v>413</v>
      </c>
      <c r="H99" t="s">
        <v>414</v>
      </c>
      <c r="I99">
        <v>1651857449.725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523.4354860680211</v>
      </c>
      <c r="AK99">
        <v>476.7495151515151</v>
      </c>
      <c r="AL99">
        <v>3.181058454048895</v>
      </c>
      <c r="AM99">
        <v>66.38384787954378</v>
      </c>
      <c r="AN99">
        <f>(AP99 - AO99 + DI99*1E3/(8.314*(DK99+273.15)) * AR99/DH99 * AQ99) * DH99/(100*CV99) * 1000/(1000 - AP99)</f>
        <v>0</v>
      </c>
      <c r="AO99">
        <v>8.643181791739615</v>
      </c>
      <c r="AP99">
        <v>18.43365676470589</v>
      </c>
      <c r="AQ99">
        <v>-3.359664382565142E-06</v>
      </c>
      <c r="AR99">
        <v>80.44866334591464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1238</v>
      </c>
      <c r="CA99">
        <v>300</v>
      </c>
      <c r="CB99">
        <v>300</v>
      </c>
      <c r="CC99">
        <v>300</v>
      </c>
      <c r="CD99">
        <v>10440.5</v>
      </c>
      <c r="CE99">
        <v>1411.69</v>
      </c>
      <c r="CF99">
        <v>-0.00735121</v>
      </c>
      <c r="CG99">
        <v>-0.77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1651857449.725</v>
      </c>
      <c r="DB99">
        <v>465.22575</v>
      </c>
      <c r="DC99">
        <v>523.3987499999999</v>
      </c>
      <c r="DD99">
        <v>18.433125</v>
      </c>
      <c r="DE99">
        <v>8.64311</v>
      </c>
      <c r="DF99">
        <v>466.6130000000001</v>
      </c>
      <c r="DG99">
        <v>18.426525</v>
      </c>
      <c r="DH99">
        <v>500.00425</v>
      </c>
      <c r="DI99">
        <v>90.10097499999999</v>
      </c>
      <c r="DJ99">
        <v>0.09978955</v>
      </c>
      <c r="DK99">
        <v>25.755325</v>
      </c>
      <c r="DL99">
        <v>24.9935</v>
      </c>
      <c r="DM99">
        <v>999.9</v>
      </c>
      <c r="DN99">
        <v>0</v>
      </c>
      <c r="DO99">
        <v>0</v>
      </c>
      <c r="DP99">
        <v>10022.025</v>
      </c>
      <c r="DQ99">
        <v>0</v>
      </c>
      <c r="DR99">
        <v>3.20383</v>
      </c>
      <c r="DS99">
        <v>-58.173</v>
      </c>
      <c r="DT99">
        <v>473.96225</v>
      </c>
      <c r="DU99">
        <v>527.9617499999999</v>
      </c>
      <c r="DV99">
        <v>9.790005000000001</v>
      </c>
      <c r="DW99">
        <v>523.3987499999999</v>
      </c>
      <c r="DX99">
        <v>8.64311</v>
      </c>
      <c r="DY99">
        <v>1.6608425</v>
      </c>
      <c r="DZ99">
        <v>0.7787525</v>
      </c>
      <c r="EA99">
        <v>14.5352</v>
      </c>
      <c r="EB99">
        <v>3.3257925</v>
      </c>
      <c r="EC99">
        <v>1500.0925</v>
      </c>
      <c r="ED99">
        <v>0.9730045</v>
      </c>
      <c r="EE99">
        <v>0.0269958</v>
      </c>
      <c r="EF99">
        <v>0</v>
      </c>
      <c r="EG99">
        <v>1039.395</v>
      </c>
      <c r="EH99">
        <v>5.00097</v>
      </c>
      <c r="EI99">
        <v>15430.225</v>
      </c>
      <c r="EJ99">
        <v>12492.4</v>
      </c>
      <c r="EK99">
        <v>37.5</v>
      </c>
      <c r="EL99">
        <v>39</v>
      </c>
      <c r="EM99">
        <v>37.8905</v>
      </c>
      <c r="EN99">
        <v>38.75</v>
      </c>
      <c r="EO99">
        <v>38.375</v>
      </c>
      <c r="EP99">
        <v>1454.7275</v>
      </c>
      <c r="EQ99">
        <v>40.36499999999999</v>
      </c>
      <c r="ER99">
        <v>0</v>
      </c>
      <c r="ES99">
        <v>450</v>
      </c>
      <c r="ET99">
        <v>0</v>
      </c>
      <c r="EU99">
        <v>1035.6272</v>
      </c>
      <c r="EV99">
        <v>36.34923083497789</v>
      </c>
      <c r="EW99">
        <v>543.2615393396227</v>
      </c>
      <c r="EX99">
        <v>15376.816</v>
      </c>
      <c r="EY99">
        <v>15</v>
      </c>
      <c r="EZ99">
        <v>1651857041.1</v>
      </c>
      <c r="FA99" t="s">
        <v>419</v>
      </c>
      <c r="FB99">
        <v>1651857019.6</v>
      </c>
      <c r="FC99">
        <v>1651857041.1</v>
      </c>
      <c r="FD99">
        <v>1</v>
      </c>
      <c r="FE99">
        <v>0.545</v>
      </c>
      <c r="FF99">
        <v>-0.002</v>
      </c>
      <c r="FG99">
        <v>-1.271</v>
      </c>
      <c r="FH99">
        <v>-0.09</v>
      </c>
      <c r="FI99">
        <v>400</v>
      </c>
      <c r="FJ99">
        <v>10</v>
      </c>
      <c r="FK99">
        <v>0.1</v>
      </c>
      <c r="FL99">
        <v>0.02</v>
      </c>
      <c r="FM99">
        <v>-56.70851219512195</v>
      </c>
      <c r="FN99">
        <v>-11.21022648083617</v>
      </c>
      <c r="FO99">
        <v>1.134050939019189</v>
      </c>
      <c r="FP99">
        <v>-1</v>
      </c>
      <c r="FQ99">
        <v>9.786137317073171</v>
      </c>
      <c r="FR99">
        <v>0.008097491289222478</v>
      </c>
      <c r="FS99">
        <v>0.003753191828226393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432</v>
      </c>
      <c r="GB99">
        <v>2.97977</v>
      </c>
      <c r="GC99">
        <v>2.70621</v>
      </c>
      <c r="GD99">
        <v>0.101815</v>
      </c>
      <c r="GE99">
        <v>0.109515</v>
      </c>
      <c r="GF99">
        <v>0.088049</v>
      </c>
      <c r="GG99">
        <v>0.0494961</v>
      </c>
      <c r="GH99">
        <v>28338.4</v>
      </c>
      <c r="GI99">
        <v>28156.7</v>
      </c>
      <c r="GJ99">
        <v>29339.7</v>
      </c>
      <c r="GK99">
        <v>29252.9</v>
      </c>
      <c r="GL99">
        <v>35432.5</v>
      </c>
      <c r="GM99">
        <v>37031.4</v>
      </c>
      <c r="GN99">
        <v>41300.3</v>
      </c>
      <c r="GO99">
        <v>41748.7</v>
      </c>
      <c r="GP99">
        <v>1.95505</v>
      </c>
      <c r="GQ99">
        <v>1.83425</v>
      </c>
      <c r="GR99">
        <v>-0.0350028</v>
      </c>
      <c r="GS99">
        <v>0</v>
      </c>
      <c r="GT99">
        <v>25.5684</v>
      </c>
      <c r="GU99">
        <v>999.9</v>
      </c>
      <c r="GV99">
        <v>38.7</v>
      </c>
      <c r="GW99">
        <v>33.9</v>
      </c>
      <c r="GX99">
        <v>22.8206</v>
      </c>
      <c r="GY99">
        <v>62.6876</v>
      </c>
      <c r="GZ99">
        <v>35.3606</v>
      </c>
      <c r="HA99">
        <v>1</v>
      </c>
      <c r="HB99">
        <v>0.1392</v>
      </c>
      <c r="HC99">
        <v>2.13182</v>
      </c>
      <c r="HD99">
        <v>20.32</v>
      </c>
      <c r="HE99">
        <v>5.21744</v>
      </c>
      <c r="HF99">
        <v>12.0099</v>
      </c>
      <c r="HG99">
        <v>4.98875</v>
      </c>
      <c r="HH99">
        <v>3.28855</v>
      </c>
      <c r="HI99">
        <v>851.1</v>
      </c>
      <c r="HJ99">
        <v>8470.4</v>
      </c>
      <c r="HK99">
        <v>5139.4</v>
      </c>
      <c r="HL99">
        <v>22.9</v>
      </c>
      <c r="HM99">
        <v>1.86752</v>
      </c>
      <c r="HN99">
        <v>1.86646</v>
      </c>
      <c r="HO99">
        <v>1.866</v>
      </c>
      <c r="HP99">
        <v>1.86585</v>
      </c>
      <c r="HQ99">
        <v>1.86769</v>
      </c>
      <c r="HR99">
        <v>1.87026</v>
      </c>
      <c r="HS99">
        <v>1.86891</v>
      </c>
      <c r="HT99">
        <v>1.87027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-1.396</v>
      </c>
      <c r="II99">
        <v>0.0066</v>
      </c>
      <c r="IJ99">
        <v>-0.4995723906072</v>
      </c>
      <c r="IK99">
        <v>-0.002077099775823331</v>
      </c>
      <c r="IL99">
        <v>4.593143279902166E-07</v>
      </c>
      <c r="IM99">
        <v>-1.865383991892071E-10</v>
      </c>
      <c r="IN99">
        <v>-0.07605349583632376</v>
      </c>
      <c r="IO99">
        <v>-0.01129461987421345</v>
      </c>
      <c r="IP99">
        <v>0.00116580895745559</v>
      </c>
      <c r="IQ99">
        <v>-1.679085872906199E-05</v>
      </c>
      <c r="IR99">
        <v>2</v>
      </c>
      <c r="IS99">
        <v>2290</v>
      </c>
      <c r="IT99">
        <v>0</v>
      </c>
      <c r="IU99">
        <v>32</v>
      </c>
      <c r="IV99">
        <v>7.2</v>
      </c>
      <c r="IW99">
        <v>6.8</v>
      </c>
      <c r="IX99">
        <v>1.26709</v>
      </c>
      <c r="IY99">
        <v>2.229</v>
      </c>
      <c r="IZ99">
        <v>1.39648</v>
      </c>
      <c r="JA99">
        <v>2.35962</v>
      </c>
      <c r="JB99">
        <v>1.49536</v>
      </c>
      <c r="JC99">
        <v>2.33276</v>
      </c>
      <c r="JD99">
        <v>38.379</v>
      </c>
      <c r="JE99">
        <v>24.0437</v>
      </c>
      <c r="JF99">
        <v>18</v>
      </c>
      <c r="JG99">
        <v>515.021</v>
      </c>
      <c r="JH99">
        <v>422.981</v>
      </c>
      <c r="JI99">
        <v>22.7086</v>
      </c>
      <c r="JJ99">
        <v>29.1368</v>
      </c>
      <c r="JK99">
        <v>30</v>
      </c>
      <c r="JL99">
        <v>29.1347</v>
      </c>
      <c r="JM99">
        <v>29.0711</v>
      </c>
      <c r="JN99">
        <v>25.3735</v>
      </c>
      <c r="JO99">
        <v>56.5973</v>
      </c>
      <c r="JP99">
        <v>0</v>
      </c>
      <c r="JQ99">
        <v>22.7112</v>
      </c>
      <c r="JR99">
        <v>547.472</v>
      </c>
      <c r="JS99">
        <v>8.664059999999999</v>
      </c>
      <c r="JT99">
        <v>100.294</v>
      </c>
      <c r="JU99">
        <v>100.204</v>
      </c>
    </row>
    <row r="100" spans="1:281">
      <c r="A100">
        <v>84</v>
      </c>
      <c r="B100">
        <v>1651857453.1</v>
      </c>
      <c r="C100">
        <v>452.5</v>
      </c>
      <c r="D100" t="s">
        <v>595</v>
      </c>
      <c r="E100" t="s">
        <v>596</v>
      </c>
      <c r="F100">
        <v>2</v>
      </c>
      <c r="G100" t="s">
        <v>413</v>
      </c>
      <c r="H100" t="s">
        <v>414</v>
      </c>
      <c r="I100">
        <v>1651857452.1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529.9186087302924</v>
      </c>
      <c r="AK100">
        <v>483.0268303030303</v>
      </c>
      <c r="AL100">
        <v>3.154896011006326</v>
      </c>
      <c r="AM100">
        <v>66.38384787954378</v>
      </c>
      <c r="AN100">
        <f>(AP100 - AO100 + DI100*1E3/(8.314*(DK100+273.15)) * AR100/DH100 * AQ100) * DH100/(100*CV100) * 1000/(1000 - AP100)</f>
        <v>0</v>
      </c>
      <c r="AO100">
        <v>8.643257669539132</v>
      </c>
      <c r="AP100">
        <v>18.43475823529412</v>
      </c>
      <c r="AQ100">
        <v>6.839341208883579E-05</v>
      </c>
      <c r="AR100">
        <v>80.44866334591464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1238</v>
      </c>
      <c r="CA100">
        <v>300</v>
      </c>
      <c r="CB100">
        <v>300</v>
      </c>
      <c r="CC100">
        <v>300</v>
      </c>
      <c r="CD100">
        <v>10440.5</v>
      </c>
      <c r="CE100">
        <v>1411.69</v>
      </c>
      <c r="CF100">
        <v>-0.00735121</v>
      </c>
      <c r="CG100">
        <v>-0.77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1651857452.1</v>
      </c>
      <c r="DB100">
        <v>472.59</v>
      </c>
      <c r="DC100">
        <v>531.1313333333333</v>
      </c>
      <c r="DD100">
        <v>18.4343</v>
      </c>
      <c r="DE100">
        <v>8.642003333333333</v>
      </c>
      <c r="DF100">
        <v>473.9906666666666</v>
      </c>
      <c r="DG100">
        <v>18.4277</v>
      </c>
      <c r="DH100">
        <v>500.0113333333334</v>
      </c>
      <c r="DI100">
        <v>90.10119999999999</v>
      </c>
      <c r="DJ100">
        <v>0.1001836666666667</v>
      </c>
      <c r="DK100">
        <v>25.7572</v>
      </c>
      <c r="DL100">
        <v>24.9947</v>
      </c>
      <c r="DM100">
        <v>999.9</v>
      </c>
      <c r="DN100">
        <v>0</v>
      </c>
      <c r="DO100">
        <v>0</v>
      </c>
      <c r="DP100">
        <v>9989.163333333334</v>
      </c>
      <c r="DQ100">
        <v>0</v>
      </c>
      <c r="DR100">
        <v>3.20383</v>
      </c>
      <c r="DS100">
        <v>-58.54163333333333</v>
      </c>
      <c r="DT100">
        <v>481.4653333333333</v>
      </c>
      <c r="DU100">
        <v>535.7613333333334</v>
      </c>
      <c r="DV100">
        <v>9.792296666666667</v>
      </c>
      <c r="DW100">
        <v>531.1313333333333</v>
      </c>
      <c r="DX100">
        <v>8.642003333333333</v>
      </c>
      <c r="DY100">
        <v>1.660953333333334</v>
      </c>
      <c r="DZ100">
        <v>0.7786553333333334</v>
      </c>
      <c r="EA100">
        <v>14.53623333333333</v>
      </c>
      <c r="EB100">
        <v>3.324023333333333</v>
      </c>
      <c r="EC100">
        <v>1499.996666666667</v>
      </c>
      <c r="ED100">
        <v>0.973002</v>
      </c>
      <c r="EE100">
        <v>0.0269985</v>
      </c>
      <c r="EF100">
        <v>0</v>
      </c>
      <c r="EG100">
        <v>1040.44</v>
      </c>
      <c r="EH100">
        <v>5.00097</v>
      </c>
      <c r="EI100">
        <v>15448.23333333333</v>
      </c>
      <c r="EJ100">
        <v>12491.56666666667</v>
      </c>
      <c r="EK100">
        <v>37.5</v>
      </c>
      <c r="EL100">
        <v>39</v>
      </c>
      <c r="EM100">
        <v>37.91633333333333</v>
      </c>
      <c r="EN100">
        <v>38.75</v>
      </c>
      <c r="EO100">
        <v>38.375</v>
      </c>
      <c r="EP100">
        <v>1454.63</v>
      </c>
      <c r="EQ100">
        <v>40.36666666666667</v>
      </c>
      <c r="ER100">
        <v>0</v>
      </c>
      <c r="ES100">
        <v>451.8000001907349</v>
      </c>
      <c r="ET100">
        <v>0</v>
      </c>
      <c r="EU100">
        <v>1036.503461538462</v>
      </c>
      <c r="EV100">
        <v>36.63008548118857</v>
      </c>
      <c r="EW100">
        <v>535.2854701083503</v>
      </c>
      <c r="EX100">
        <v>15390.09615384615</v>
      </c>
      <c r="EY100">
        <v>15</v>
      </c>
      <c r="EZ100">
        <v>1651857041.1</v>
      </c>
      <c r="FA100" t="s">
        <v>419</v>
      </c>
      <c r="FB100">
        <v>1651857019.6</v>
      </c>
      <c r="FC100">
        <v>1651857041.1</v>
      </c>
      <c r="FD100">
        <v>1</v>
      </c>
      <c r="FE100">
        <v>0.545</v>
      </c>
      <c r="FF100">
        <v>-0.002</v>
      </c>
      <c r="FG100">
        <v>-1.271</v>
      </c>
      <c r="FH100">
        <v>-0.09</v>
      </c>
      <c r="FI100">
        <v>400</v>
      </c>
      <c r="FJ100">
        <v>10</v>
      </c>
      <c r="FK100">
        <v>0.1</v>
      </c>
      <c r="FL100">
        <v>0.02</v>
      </c>
      <c r="FM100">
        <v>-56.90061219512196</v>
      </c>
      <c r="FN100">
        <v>-10.51816097560984</v>
      </c>
      <c r="FO100">
        <v>1.063414785237179</v>
      </c>
      <c r="FP100">
        <v>-1</v>
      </c>
      <c r="FQ100">
        <v>9.786055609756097</v>
      </c>
      <c r="FR100">
        <v>0.0186842508710921</v>
      </c>
      <c r="FS100">
        <v>0.003616267479301889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432</v>
      </c>
      <c r="GB100">
        <v>2.97999</v>
      </c>
      <c r="GC100">
        <v>2.70621</v>
      </c>
      <c r="GD100">
        <v>0.102802</v>
      </c>
      <c r="GE100">
        <v>0.110509</v>
      </c>
      <c r="GF100">
        <v>0.08805499999999999</v>
      </c>
      <c r="GG100">
        <v>0.0494924</v>
      </c>
      <c r="GH100">
        <v>28307.4</v>
      </c>
      <c r="GI100">
        <v>28125.4</v>
      </c>
      <c r="GJ100">
        <v>29339.9</v>
      </c>
      <c r="GK100">
        <v>29253</v>
      </c>
      <c r="GL100">
        <v>35432.6</v>
      </c>
      <c r="GM100">
        <v>37031.8</v>
      </c>
      <c r="GN100">
        <v>41300.7</v>
      </c>
      <c r="GO100">
        <v>41749</v>
      </c>
      <c r="GP100">
        <v>1.95525</v>
      </c>
      <c r="GQ100">
        <v>1.83405</v>
      </c>
      <c r="GR100">
        <v>-0.0350624</v>
      </c>
      <c r="GS100">
        <v>0</v>
      </c>
      <c r="GT100">
        <v>25.5673</v>
      </c>
      <c r="GU100">
        <v>999.9</v>
      </c>
      <c r="GV100">
        <v>38.7</v>
      </c>
      <c r="GW100">
        <v>33.9</v>
      </c>
      <c r="GX100">
        <v>22.8187</v>
      </c>
      <c r="GY100">
        <v>62.4876</v>
      </c>
      <c r="GZ100">
        <v>35.4688</v>
      </c>
      <c r="HA100">
        <v>1</v>
      </c>
      <c r="HB100">
        <v>0.139146</v>
      </c>
      <c r="HC100">
        <v>2.13543</v>
      </c>
      <c r="HD100">
        <v>20.3197</v>
      </c>
      <c r="HE100">
        <v>5.21729</v>
      </c>
      <c r="HF100">
        <v>12.0099</v>
      </c>
      <c r="HG100">
        <v>4.98885</v>
      </c>
      <c r="HH100">
        <v>3.28858</v>
      </c>
      <c r="HI100">
        <v>851.1</v>
      </c>
      <c r="HJ100">
        <v>8470.4</v>
      </c>
      <c r="HK100">
        <v>5139.4</v>
      </c>
      <c r="HL100">
        <v>22.9</v>
      </c>
      <c r="HM100">
        <v>1.86752</v>
      </c>
      <c r="HN100">
        <v>1.86646</v>
      </c>
      <c r="HO100">
        <v>1.866</v>
      </c>
      <c r="HP100">
        <v>1.86584</v>
      </c>
      <c r="HQ100">
        <v>1.86769</v>
      </c>
      <c r="HR100">
        <v>1.87026</v>
      </c>
      <c r="HS100">
        <v>1.86891</v>
      </c>
      <c r="HT100">
        <v>1.87026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-1.406</v>
      </c>
      <c r="II100">
        <v>0.0067</v>
      </c>
      <c r="IJ100">
        <v>-0.4995723906072</v>
      </c>
      <c r="IK100">
        <v>-0.002077099775823331</v>
      </c>
      <c r="IL100">
        <v>4.593143279902166E-07</v>
      </c>
      <c r="IM100">
        <v>-1.865383991892071E-10</v>
      </c>
      <c r="IN100">
        <v>-0.07605349583632376</v>
      </c>
      <c r="IO100">
        <v>-0.01129461987421345</v>
      </c>
      <c r="IP100">
        <v>0.00116580895745559</v>
      </c>
      <c r="IQ100">
        <v>-1.679085872906199E-05</v>
      </c>
      <c r="IR100">
        <v>2</v>
      </c>
      <c r="IS100">
        <v>2290</v>
      </c>
      <c r="IT100">
        <v>0</v>
      </c>
      <c r="IU100">
        <v>32</v>
      </c>
      <c r="IV100">
        <v>7.2</v>
      </c>
      <c r="IW100">
        <v>6.9</v>
      </c>
      <c r="IX100">
        <v>1.28052</v>
      </c>
      <c r="IY100">
        <v>2.23511</v>
      </c>
      <c r="IZ100">
        <v>1.39648</v>
      </c>
      <c r="JA100">
        <v>2.35962</v>
      </c>
      <c r="JB100">
        <v>1.49536</v>
      </c>
      <c r="JC100">
        <v>2.2937</v>
      </c>
      <c r="JD100">
        <v>38.379</v>
      </c>
      <c r="JE100">
        <v>24.035</v>
      </c>
      <c r="JF100">
        <v>18</v>
      </c>
      <c r="JG100">
        <v>515.144</v>
      </c>
      <c r="JH100">
        <v>422.862</v>
      </c>
      <c r="JI100">
        <v>22.7114</v>
      </c>
      <c r="JJ100">
        <v>29.136</v>
      </c>
      <c r="JK100">
        <v>30</v>
      </c>
      <c r="JL100">
        <v>29.1337</v>
      </c>
      <c r="JM100">
        <v>29.0711</v>
      </c>
      <c r="JN100">
        <v>25.6237</v>
      </c>
      <c r="JO100">
        <v>56.5973</v>
      </c>
      <c r="JP100">
        <v>0</v>
      </c>
      <c r="JQ100">
        <v>22.7155</v>
      </c>
      <c r="JR100">
        <v>554.159</v>
      </c>
      <c r="JS100">
        <v>8.661490000000001</v>
      </c>
      <c r="JT100">
        <v>100.295</v>
      </c>
      <c r="JU100">
        <v>100.205</v>
      </c>
    </row>
    <row r="101" spans="1:281">
      <c r="A101">
        <v>85</v>
      </c>
      <c r="B101">
        <v>1651857455.1</v>
      </c>
      <c r="C101">
        <v>454.5</v>
      </c>
      <c r="D101" t="s">
        <v>597</v>
      </c>
      <c r="E101" t="s">
        <v>598</v>
      </c>
      <c r="F101">
        <v>2</v>
      </c>
      <c r="G101" t="s">
        <v>413</v>
      </c>
      <c r="H101" t="s">
        <v>414</v>
      </c>
      <c r="I101">
        <v>1651857453.725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536.5344726259791</v>
      </c>
      <c r="AK101">
        <v>489.3789757575757</v>
      </c>
      <c r="AL101">
        <v>3.161950698110168</v>
      </c>
      <c r="AM101">
        <v>66.38384787954378</v>
      </c>
      <c r="AN101">
        <f>(AP101 - AO101 + DI101*1E3/(8.314*(DK101+273.15)) * AR101/DH101 * AQ101) * DH101/(100*CV101) * 1000/(1000 - AP101)</f>
        <v>0</v>
      </c>
      <c r="AO101">
        <v>8.642735139660468</v>
      </c>
      <c r="AP101">
        <v>18.43850470588234</v>
      </c>
      <c r="AQ101">
        <v>1.372111856659481E-05</v>
      </c>
      <c r="AR101">
        <v>80.44866334591464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1238</v>
      </c>
      <c r="CA101">
        <v>300</v>
      </c>
      <c r="CB101">
        <v>300</v>
      </c>
      <c r="CC101">
        <v>300</v>
      </c>
      <c r="CD101">
        <v>10440.5</v>
      </c>
      <c r="CE101">
        <v>1411.69</v>
      </c>
      <c r="CF101">
        <v>-0.00735121</v>
      </c>
      <c r="CG101">
        <v>-0.77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1651857453.725</v>
      </c>
      <c r="DB101">
        <v>477.6235</v>
      </c>
      <c r="DC101">
        <v>536.55925</v>
      </c>
      <c r="DD101">
        <v>18.4371</v>
      </c>
      <c r="DE101">
        <v>8.64184</v>
      </c>
      <c r="DF101">
        <v>479.03325</v>
      </c>
      <c r="DG101">
        <v>18.430475</v>
      </c>
      <c r="DH101">
        <v>500.06625</v>
      </c>
      <c r="DI101">
        <v>90.10302499999999</v>
      </c>
      <c r="DJ101">
        <v>0.100099</v>
      </c>
      <c r="DK101">
        <v>25.759975</v>
      </c>
      <c r="DL101">
        <v>24.991375</v>
      </c>
      <c r="DM101">
        <v>999.9</v>
      </c>
      <c r="DN101">
        <v>0</v>
      </c>
      <c r="DO101">
        <v>0</v>
      </c>
      <c r="DP101">
        <v>9997.6625</v>
      </c>
      <c r="DQ101">
        <v>0</v>
      </c>
      <c r="DR101">
        <v>3.20383</v>
      </c>
      <c r="DS101">
        <v>-58.9359</v>
      </c>
      <c r="DT101">
        <v>486.595</v>
      </c>
      <c r="DU101">
        <v>541.2365</v>
      </c>
      <c r="DV101">
        <v>9.795285</v>
      </c>
      <c r="DW101">
        <v>536.55925</v>
      </c>
      <c r="DX101">
        <v>8.64184</v>
      </c>
      <c r="DY101">
        <v>1.66124</v>
      </c>
      <c r="DZ101">
        <v>0.7786562499999999</v>
      </c>
      <c r="EA101">
        <v>14.5389</v>
      </c>
      <c r="EB101">
        <v>3.3240375</v>
      </c>
      <c r="EC101">
        <v>1500.0275</v>
      </c>
      <c r="ED101">
        <v>0.9730032500000001</v>
      </c>
      <c r="EE101">
        <v>0.02699715</v>
      </c>
      <c r="EF101">
        <v>0</v>
      </c>
      <c r="EG101">
        <v>1041.43</v>
      </c>
      <c r="EH101">
        <v>5.00097</v>
      </c>
      <c r="EI101">
        <v>15460.9</v>
      </c>
      <c r="EJ101">
        <v>12491.825</v>
      </c>
      <c r="EK101">
        <v>37.5</v>
      </c>
      <c r="EL101">
        <v>39</v>
      </c>
      <c r="EM101">
        <v>37.8905</v>
      </c>
      <c r="EN101">
        <v>38.75</v>
      </c>
      <c r="EO101">
        <v>38.375</v>
      </c>
      <c r="EP101">
        <v>1454.6625</v>
      </c>
      <c r="EQ101">
        <v>40.36499999999999</v>
      </c>
      <c r="ER101">
        <v>0</v>
      </c>
      <c r="ES101">
        <v>454.2000000476837</v>
      </c>
      <c r="ET101">
        <v>0</v>
      </c>
      <c r="EU101">
        <v>1037.962307692308</v>
      </c>
      <c r="EV101">
        <v>35.47760687722591</v>
      </c>
      <c r="EW101">
        <v>522.6119662093413</v>
      </c>
      <c r="EX101">
        <v>15410.98461538461</v>
      </c>
      <c r="EY101">
        <v>15</v>
      </c>
      <c r="EZ101">
        <v>1651857041.1</v>
      </c>
      <c r="FA101" t="s">
        <v>419</v>
      </c>
      <c r="FB101">
        <v>1651857019.6</v>
      </c>
      <c r="FC101">
        <v>1651857041.1</v>
      </c>
      <c r="FD101">
        <v>1</v>
      </c>
      <c r="FE101">
        <v>0.545</v>
      </c>
      <c r="FF101">
        <v>-0.002</v>
      </c>
      <c r="FG101">
        <v>-1.271</v>
      </c>
      <c r="FH101">
        <v>-0.09</v>
      </c>
      <c r="FI101">
        <v>400</v>
      </c>
      <c r="FJ101">
        <v>10</v>
      </c>
      <c r="FK101">
        <v>0.1</v>
      </c>
      <c r="FL101">
        <v>0.02</v>
      </c>
      <c r="FM101">
        <v>-57.45222439024389</v>
      </c>
      <c r="FN101">
        <v>-9.412342160278756</v>
      </c>
      <c r="FO101">
        <v>0.9449804916764256</v>
      </c>
      <c r="FP101">
        <v>-1</v>
      </c>
      <c r="FQ101">
        <v>9.786981951219511</v>
      </c>
      <c r="FR101">
        <v>0.04495944250869689</v>
      </c>
      <c r="FS101">
        <v>0.004595815286101395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432</v>
      </c>
      <c r="GB101">
        <v>2.97992</v>
      </c>
      <c r="GC101">
        <v>2.70631</v>
      </c>
      <c r="GD101">
        <v>0.103803</v>
      </c>
      <c r="GE101">
        <v>0.111507</v>
      </c>
      <c r="GF101">
        <v>0.0880639</v>
      </c>
      <c r="GG101">
        <v>0.0494961</v>
      </c>
      <c r="GH101">
        <v>28276.3</v>
      </c>
      <c r="GI101">
        <v>28094</v>
      </c>
      <c r="GJ101">
        <v>29340.3</v>
      </c>
      <c r="GK101">
        <v>29253.2</v>
      </c>
      <c r="GL101">
        <v>35432.8</v>
      </c>
      <c r="GM101">
        <v>37032.1</v>
      </c>
      <c r="GN101">
        <v>41301.2</v>
      </c>
      <c r="GO101">
        <v>41749.5</v>
      </c>
      <c r="GP101">
        <v>1.9551</v>
      </c>
      <c r="GQ101">
        <v>1.83412</v>
      </c>
      <c r="GR101">
        <v>-0.0352971</v>
      </c>
      <c r="GS101">
        <v>0</v>
      </c>
      <c r="GT101">
        <v>25.5668</v>
      </c>
      <c r="GU101">
        <v>999.9</v>
      </c>
      <c r="GV101">
        <v>38.7</v>
      </c>
      <c r="GW101">
        <v>33.9</v>
      </c>
      <c r="GX101">
        <v>22.82</v>
      </c>
      <c r="GY101">
        <v>62.1676</v>
      </c>
      <c r="GZ101">
        <v>35.601</v>
      </c>
      <c r="HA101">
        <v>1</v>
      </c>
      <c r="HB101">
        <v>0.139184</v>
      </c>
      <c r="HC101">
        <v>2.1354</v>
      </c>
      <c r="HD101">
        <v>20.3195</v>
      </c>
      <c r="HE101">
        <v>5.21744</v>
      </c>
      <c r="HF101">
        <v>12.0099</v>
      </c>
      <c r="HG101">
        <v>4.9888</v>
      </c>
      <c r="HH101">
        <v>3.28858</v>
      </c>
      <c r="HI101">
        <v>851.1</v>
      </c>
      <c r="HJ101">
        <v>8470.4</v>
      </c>
      <c r="HK101">
        <v>5139.4</v>
      </c>
      <c r="HL101">
        <v>22.9</v>
      </c>
      <c r="HM101">
        <v>1.86752</v>
      </c>
      <c r="HN101">
        <v>1.86647</v>
      </c>
      <c r="HO101">
        <v>1.866</v>
      </c>
      <c r="HP101">
        <v>1.86584</v>
      </c>
      <c r="HQ101">
        <v>1.8677</v>
      </c>
      <c r="HR101">
        <v>1.87027</v>
      </c>
      <c r="HS101">
        <v>1.8689</v>
      </c>
      <c r="HT101">
        <v>1.87027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-1.418</v>
      </c>
      <c r="II101">
        <v>0.0067</v>
      </c>
      <c r="IJ101">
        <v>-0.4995723906072</v>
      </c>
      <c r="IK101">
        <v>-0.002077099775823331</v>
      </c>
      <c r="IL101">
        <v>4.593143279902166E-07</v>
      </c>
      <c r="IM101">
        <v>-1.865383991892071E-10</v>
      </c>
      <c r="IN101">
        <v>-0.07605349583632376</v>
      </c>
      <c r="IO101">
        <v>-0.01129461987421345</v>
      </c>
      <c r="IP101">
        <v>0.00116580895745559</v>
      </c>
      <c r="IQ101">
        <v>-1.679085872906199E-05</v>
      </c>
      <c r="IR101">
        <v>2</v>
      </c>
      <c r="IS101">
        <v>2290</v>
      </c>
      <c r="IT101">
        <v>0</v>
      </c>
      <c r="IU101">
        <v>32</v>
      </c>
      <c r="IV101">
        <v>7.3</v>
      </c>
      <c r="IW101">
        <v>6.9</v>
      </c>
      <c r="IX101">
        <v>1.29272</v>
      </c>
      <c r="IY101">
        <v>2.22778</v>
      </c>
      <c r="IZ101">
        <v>1.39648</v>
      </c>
      <c r="JA101">
        <v>2.35962</v>
      </c>
      <c r="JB101">
        <v>1.49536</v>
      </c>
      <c r="JC101">
        <v>2.37305</v>
      </c>
      <c r="JD101">
        <v>38.379</v>
      </c>
      <c r="JE101">
        <v>24.0437</v>
      </c>
      <c r="JF101">
        <v>18</v>
      </c>
      <c r="JG101">
        <v>515.034</v>
      </c>
      <c r="JH101">
        <v>422.907</v>
      </c>
      <c r="JI101">
        <v>22.7134</v>
      </c>
      <c r="JJ101">
        <v>29.1356</v>
      </c>
      <c r="JK101">
        <v>30</v>
      </c>
      <c r="JL101">
        <v>29.1324</v>
      </c>
      <c r="JM101">
        <v>29.0711</v>
      </c>
      <c r="JN101">
        <v>25.8739</v>
      </c>
      <c r="JO101">
        <v>56.5973</v>
      </c>
      <c r="JP101">
        <v>0</v>
      </c>
      <c r="JQ101">
        <v>22.7155</v>
      </c>
      <c r="JR101">
        <v>560.89</v>
      </c>
      <c r="JS101">
        <v>8.664099999999999</v>
      </c>
      <c r="JT101">
        <v>100.296</v>
      </c>
      <c r="JU101">
        <v>100.206</v>
      </c>
    </row>
    <row r="102" spans="1:281">
      <c r="A102">
        <v>86</v>
      </c>
      <c r="B102">
        <v>1651857457.1</v>
      </c>
      <c r="C102">
        <v>456.5</v>
      </c>
      <c r="D102" t="s">
        <v>599</v>
      </c>
      <c r="E102" t="s">
        <v>600</v>
      </c>
      <c r="F102">
        <v>2</v>
      </c>
      <c r="G102" t="s">
        <v>413</v>
      </c>
      <c r="H102" t="s">
        <v>414</v>
      </c>
      <c r="I102">
        <v>1651857456.1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543.2785636817744</v>
      </c>
      <c r="AK102">
        <v>495.8420727272725</v>
      </c>
      <c r="AL102">
        <v>3.214129144084549</v>
      </c>
      <c r="AM102">
        <v>66.38384787954378</v>
      </c>
      <c r="AN102">
        <f>(AP102 - AO102 + DI102*1E3/(8.314*(DK102+273.15)) * AR102/DH102 * AQ102) * DH102/(100*CV102) * 1000/(1000 - AP102)</f>
        <v>0</v>
      </c>
      <c r="AO102">
        <v>8.641963417759742</v>
      </c>
      <c r="AP102">
        <v>18.43733088235293</v>
      </c>
      <c r="AQ102">
        <v>0.0001553569276948166</v>
      </c>
      <c r="AR102">
        <v>80.44866334591464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1238</v>
      </c>
      <c r="CA102">
        <v>300</v>
      </c>
      <c r="CB102">
        <v>300</v>
      </c>
      <c r="CC102">
        <v>300</v>
      </c>
      <c r="CD102">
        <v>10440.5</v>
      </c>
      <c r="CE102">
        <v>1411.69</v>
      </c>
      <c r="CF102">
        <v>-0.00735121</v>
      </c>
      <c r="CG102">
        <v>-0.77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1651857456.1</v>
      </c>
      <c r="DB102">
        <v>485.1036666666666</v>
      </c>
      <c r="DC102">
        <v>544.5503333333332</v>
      </c>
      <c r="DD102">
        <v>18.43693333333333</v>
      </c>
      <c r="DE102">
        <v>8.642026666666666</v>
      </c>
      <c r="DF102">
        <v>486.5266666666666</v>
      </c>
      <c r="DG102">
        <v>18.4303</v>
      </c>
      <c r="DH102">
        <v>500.0606666666666</v>
      </c>
      <c r="DI102">
        <v>90.10469999999999</v>
      </c>
      <c r="DJ102">
        <v>0.09998703333333332</v>
      </c>
      <c r="DK102">
        <v>25.7613</v>
      </c>
      <c r="DL102">
        <v>24.98586666666667</v>
      </c>
      <c r="DM102">
        <v>999.9</v>
      </c>
      <c r="DN102">
        <v>0</v>
      </c>
      <c r="DO102">
        <v>0</v>
      </c>
      <c r="DP102">
        <v>10017.9</v>
      </c>
      <c r="DQ102">
        <v>0</v>
      </c>
      <c r="DR102">
        <v>3.20383</v>
      </c>
      <c r="DS102">
        <v>-59.44613333333334</v>
      </c>
      <c r="DT102">
        <v>494.2156666666667</v>
      </c>
      <c r="DU102">
        <v>549.2973333333334</v>
      </c>
      <c r="DV102">
        <v>9.794923333333333</v>
      </c>
      <c r="DW102">
        <v>544.5503333333332</v>
      </c>
      <c r="DX102">
        <v>8.642026666666666</v>
      </c>
      <c r="DY102">
        <v>1.66126</v>
      </c>
      <c r="DZ102">
        <v>0.7786873333333334</v>
      </c>
      <c r="EA102">
        <v>14.5391</v>
      </c>
      <c r="EB102">
        <v>3.324606666666666</v>
      </c>
      <c r="EC102">
        <v>1500</v>
      </c>
      <c r="ED102">
        <v>0.9730053333333334</v>
      </c>
      <c r="EE102">
        <v>0.0269949</v>
      </c>
      <c r="EF102">
        <v>0</v>
      </c>
      <c r="EG102">
        <v>1042.39</v>
      </c>
      <c r="EH102">
        <v>5.00097</v>
      </c>
      <c r="EI102">
        <v>15478.6</v>
      </c>
      <c r="EJ102">
        <v>12491.63333333333</v>
      </c>
      <c r="EK102">
        <v>37.5</v>
      </c>
      <c r="EL102">
        <v>39</v>
      </c>
      <c r="EM102">
        <v>37.937</v>
      </c>
      <c r="EN102">
        <v>38.75</v>
      </c>
      <c r="EO102">
        <v>38.375</v>
      </c>
      <c r="EP102">
        <v>1454.64</v>
      </c>
      <c r="EQ102">
        <v>40.36</v>
      </c>
      <c r="ER102">
        <v>0</v>
      </c>
      <c r="ES102">
        <v>456</v>
      </c>
      <c r="ET102">
        <v>0</v>
      </c>
      <c r="EU102">
        <v>1039.1512</v>
      </c>
      <c r="EV102">
        <v>34.09307699299239</v>
      </c>
      <c r="EW102">
        <v>501.6538469199815</v>
      </c>
      <c r="EX102">
        <v>15428.88</v>
      </c>
      <c r="EY102">
        <v>15</v>
      </c>
      <c r="EZ102">
        <v>1651857041.1</v>
      </c>
      <c r="FA102" t="s">
        <v>419</v>
      </c>
      <c r="FB102">
        <v>1651857019.6</v>
      </c>
      <c r="FC102">
        <v>1651857041.1</v>
      </c>
      <c r="FD102">
        <v>1</v>
      </c>
      <c r="FE102">
        <v>0.545</v>
      </c>
      <c r="FF102">
        <v>-0.002</v>
      </c>
      <c r="FG102">
        <v>-1.271</v>
      </c>
      <c r="FH102">
        <v>-0.09</v>
      </c>
      <c r="FI102">
        <v>400</v>
      </c>
      <c r="FJ102">
        <v>10</v>
      </c>
      <c r="FK102">
        <v>0.1</v>
      </c>
      <c r="FL102">
        <v>0.02</v>
      </c>
      <c r="FM102">
        <v>-57.63385609756097</v>
      </c>
      <c r="FN102">
        <v>-9.213163066202249</v>
      </c>
      <c r="FO102">
        <v>0.9223699543603545</v>
      </c>
      <c r="FP102">
        <v>-1</v>
      </c>
      <c r="FQ102">
        <v>9.787729024390242</v>
      </c>
      <c r="FR102">
        <v>0.04537693379792575</v>
      </c>
      <c r="FS102">
        <v>0.004629021813582855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432</v>
      </c>
      <c r="GB102">
        <v>2.98005</v>
      </c>
      <c r="GC102">
        <v>2.70638</v>
      </c>
      <c r="GD102">
        <v>0.104808</v>
      </c>
      <c r="GE102">
        <v>0.112504</v>
      </c>
      <c r="GF102">
        <v>0.088061</v>
      </c>
      <c r="GG102">
        <v>0.0494916</v>
      </c>
      <c r="GH102">
        <v>28244.3</v>
      </c>
      <c r="GI102">
        <v>28062.6</v>
      </c>
      <c r="GJ102">
        <v>29340</v>
      </c>
      <c r="GK102">
        <v>29253.3</v>
      </c>
      <c r="GL102">
        <v>35432.5</v>
      </c>
      <c r="GM102">
        <v>37032.2</v>
      </c>
      <c r="GN102">
        <v>41300.8</v>
      </c>
      <c r="GO102">
        <v>41749.4</v>
      </c>
      <c r="GP102">
        <v>1.9551</v>
      </c>
      <c r="GQ102">
        <v>1.83433</v>
      </c>
      <c r="GR102">
        <v>-0.0352301</v>
      </c>
      <c r="GS102">
        <v>0</v>
      </c>
      <c r="GT102">
        <v>25.5657</v>
      </c>
      <c r="GU102">
        <v>999.9</v>
      </c>
      <c r="GV102">
        <v>38.7</v>
      </c>
      <c r="GW102">
        <v>33.9</v>
      </c>
      <c r="GX102">
        <v>22.819</v>
      </c>
      <c r="GY102">
        <v>62.2976</v>
      </c>
      <c r="GZ102">
        <v>35.1843</v>
      </c>
      <c r="HA102">
        <v>1</v>
      </c>
      <c r="HB102">
        <v>0.139177</v>
      </c>
      <c r="HC102">
        <v>2.13408</v>
      </c>
      <c r="HD102">
        <v>20.3196</v>
      </c>
      <c r="HE102">
        <v>5.21729</v>
      </c>
      <c r="HF102">
        <v>12.0099</v>
      </c>
      <c r="HG102">
        <v>4.9887</v>
      </c>
      <c r="HH102">
        <v>3.28858</v>
      </c>
      <c r="HI102">
        <v>851.3</v>
      </c>
      <c r="HJ102">
        <v>8472.6</v>
      </c>
      <c r="HK102">
        <v>5139.4</v>
      </c>
      <c r="HL102">
        <v>22.9</v>
      </c>
      <c r="HM102">
        <v>1.86752</v>
      </c>
      <c r="HN102">
        <v>1.86647</v>
      </c>
      <c r="HO102">
        <v>1.866</v>
      </c>
      <c r="HP102">
        <v>1.86585</v>
      </c>
      <c r="HQ102">
        <v>1.86772</v>
      </c>
      <c r="HR102">
        <v>1.87026</v>
      </c>
      <c r="HS102">
        <v>1.8689</v>
      </c>
      <c r="HT102">
        <v>1.87027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-1.429</v>
      </c>
      <c r="II102">
        <v>0.0067</v>
      </c>
      <c r="IJ102">
        <v>-0.4995723906072</v>
      </c>
      <c r="IK102">
        <v>-0.002077099775823331</v>
      </c>
      <c r="IL102">
        <v>4.593143279902166E-07</v>
      </c>
      <c r="IM102">
        <v>-1.865383991892071E-10</v>
      </c>
      <c r="IN102">
        <v>-0.07605349583632376</v>
      </c>
      <c r="IO102">
        <v>-0.01129461987421345</v>
      </c>
      <c r="IP102">
        <v>0.00116580895745559</v>
      </c>
      <c r="IQ102">
        <v>-1.679085872906199E-05</v>
      </c>
      <c r="IR102">
        <v>2</v>
      </c>
      <c r="IS102">
        <v>2290</v>
      </c>
      <c r="IT102">
        <v>0</v>
      </c>
      <c r="IU102">
        <v>32</v>
      </c>
      <c r="IV102">
        <v>7.3</v>
      </c>
      <c r="IW102">
        <v>6.9</v>
      </c>
      <c r="IX102">
        <v>1.30493</v>
      </c>
      <c r="IY102">
        <v>2.23145</v>
      </c>
      <c r="IZ102">
        <v>1.39648</v>
      </c>
      <c r="JA102">
        <v>2.35962</v>
      </c>
      <c r="JB102">
        <v>1.49536</v>
      </c>
      <c r="JC102">
        <v>2.2937</v>
      </c>
      <c r="JD102">
        <v>38.379</v>
      </c>
      <c r="JE102">
        <v>24.035</v>
      </c>
      <c r="JF102">
        <v>18</v>
      </c>
      <c r="JG102">
        <v>515.032</v>
      </c>
      <c r="JH102">
        <v>423.024</v>
      </c>
      <c r="JI102">
        <v>22.7153</v>
      </c>
      <c r="JJ102">
        <v>29.1344</v>
      </c>
      <c r="JK102">
        <v>30</v>
      </c>
      <c r="JL102">
        <v>29.1322</v>
      </c>
      <c r="JM102">
        <v>29.0708</v>
      </c>
      <c r="JN102">
        <v>26.1237</v>
      </c>
      <c r="JO102">
        <v>56.5973</v>
      </c>
      <c r="JP102">
        <v>0</v>
      </c>
      <c r="JQ102">
        <v>22.7155</v>
      </c>
      <c r="JR102">
        <v>567.616</v>
      </c>
      <c r="JS102">
        <v>8.66333</v>
      </c>
      <c r="JT102">
        <v>100.295</v>
      </c>
      <c r="JU102">
        <v>100.206</v>
      </c>
    </row>
    <row r="103" spans="1:281">
      <c r="A103">
        <v>87</v>
      </c>
      <c r="B103">
        <v>1651857459.1</v>
      </c>
      <c r="C103">
        <v>458.5</v>
      </c>
      <c r="D103" t="s">
        <v>601</v>
      </c>
      <c r="E103" t="s">
        <v>602</v>
      </c>
      <c r="F103">
        <v>2</v>
      </c>
      <c r="G103" t="s">
        <v>413</v>
      </c>
      <c r="H103" t="s">
        <v>414</v>
      </c>
      <c r="I103">
        <v>1651857457.725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550.081069040126</v>
      </c>
      <c r="AK103">
        <v>502.357793939394</v>
      </c>
      <c r="AL103">
        <v>3.248226395818492</v>
      </c>
      <c r="AM103">
        <v>66.38384787954378</v>
      </c>
      <c r="AN103">
        <f>(AP103 - AO103 + DI103*1E3/(8.314*(DK103+273.15)) * AR103/DH103 * AQ103) * DH103/(100*CV103) * 1000/(1000 - AP103)</f>
        <v>0</v>
      </c>
      <c r="AO103">
        <v>8.642145128075763</v>
      </c>
      <c r="AP103">
        <v>18.43342705882353</v>
      </c>
      <c r="AQ103">
        <v>0.0001866426989140393</v>
      </c>
      <c r="AR103">
        <v>80.44866334591464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1238</v>
      </c>
      <c r="CA103">
        <v>300</v>
      </c>
      <c r="CB103">
        <v>300</v>
      </c>
      <c r="CC103">
        <v>300</v>
      </c>
      <c r="CD103">
        <v>10440.5</v>
      </c>
      <c r="CE103">
        <v>1411.69</v>
      </c>
      <c r="CF103">
        <v>-0.00735121</v>
      </c>
      <c r="CG103">
        <v>-0.77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1651857457.725</v>
      </c>
      <c r="DB103">
        <v>490.29825</v>
      </c>
      <c r="DC103">
        <v>550.0617500000001</v>
      </c>
      <c r="DD103">
        <v>18.434925</v>
      </c>
      <c r="DE103">
        <v>8.640915</v>
      </c>
      <c r="DF103">
        <v>491.73025</v>
      </c>
      <c r="DG103">
        <v>18.428275</v>
      </c>
      <c r="DH103">
        <v>500.04025</v>
      </c>
      <c r="DI103">
        <v>90.10535000000002</v>
      </c>
      <c r="DJ103">
        <v>0.100018375</v>
      </c>
      <c r="DK103">
        <v>25.761525</v>
      </c>
      <c r="DL103">
        <v>24.98855</v>
      </c>
      <c r="DM103">
        <v>999.9</v>
      </c>
      <c r="DN103">
        <v>0</v>
      </c>
      <c r="DO103">
        <v>0</v>
      </c>
      <c r="DP103">
        <v>10010.3</v>
      </c>
      <c r="DQ103">
        <v>0</v>
      </c>
      <c r="DR103">
        <v>3.20383</v>
      </c>
      <c r="DS103">
        <v>-59.76325000000001</v>
      </c>
      <c r="DT103">
        <v>499.5065</v>
      </c>
      <c r="DU103">
        <v>554.8562499999999</v>
      </c>
      <c r="DV103">
        <v>9.794007499999999</v>
      </c>
      <c r="DW103">
        <v>550.0617500000001</v>
      </c>
      <c r="DX103">
        <v>8.640915</v>
      </c>
      <c r="DY103">
        <v>1.6610875</v>
      </c>
      <c r="DZ103">
        <v>0.7785925</v>
      </c>
      <c r="EA103">
        <v>14.5375</v>
      </c>
      <c r="EB103">
        <v>3.322885</v>
      </c>
      <c r="EC103">
        <v>1499.955</v>
      </c>
      <c r="ED103">
        <v>0.9730045</v>
      </c>
      <c r="EE103">
        <v>0.0269958</v>
      </c>
      <c r="EF103">
        <v>0</v>
      </c>
      <c r="EG103">
        <v>1043.34</v>
      </c>
      <c r="EH103">
        <v>5.00097</v>
      </c>
      <c r="EI103">
        <v>15489.8</v>
      </c>
      <c r="EJ103">
        <v>12491.225</v>
      </c>
      <c r="EK103">
        <v>37.5</v>
      </c>
      <c r="EL103">
        <v>39</v>
      </c>
      <c r="EM103">
        <v>37.8905</v>
      </c>
      <c r="EN103">
        <v>38.75</v>
      </c>
      <c r="EO103">
        <v>38.375</v>
      </c>
      <c r="EP103">
        <v>1454.595</v>
      </c>
      <c r="EQ103">
        <v>40.36</v>
      </c>
      <c r="ER103">
        <v>0</v>
      </c>
      <c r="ES103">
        <v>457.8000001907349</v>
      </c>
      <c r="ET103">
        <v>0</v>
      </c>
      <c r="EU103">
        <v>1039.968461538461</v>
      </c>
      <c r="EV103">
        <v>32.89504274641717</v>
      </c>
      <c r="EW103">
        <v>484.8547007644416</v>
      </c>
      <c r="EX103">
        <v>15440.90769230769</v>
      </c>
      <c r="EY103">
        <v>15</v>
      </c>
      <c r="EZ103">
        <v>1651857041.1</v>
      </c>
      <c r="FA103" t="s">
        <v>419</v>
      </c>
      <c r="FB103">
        <v>1651857019.6</v>
      </c>
      <c r="FC103">
        <v>1651857041.1</v>
      </c>
      <c r="FD103">
        <v>1</v>
      </c>
      <c r="FE103">
        <v>0.545</v>
      </c>
      <c r="FF103">
        <v>-0.002</v>
      </c>
      <c r="FG103">
        <v>-1.271</v>
      </c>
      <c r="FH103">
        <v>-0.09</v>
      </c>
      <c r="FI103">
        <v>400</v>
      </c>
      <c r="FJ103">
        <v>10</v>
      </c>
      <c r="FK103">
        <v>0.1</v>
      </c>
      <c r="FL103">
        <v>0.02</v>
      </c>
      <c r="FM103">
        <v>-58.15327804878048</v>
      </c>
      <c r="FN103">
        <v>-9.300357491289194</v>
      </c>
      <c r="FO103">
        <v>0.9312728042091678</v>
      </c>
      <c r="FP103">
        <v>-1</v>
      </c>
      <c r="FQ103">
        <v>9.789640731707316</v>
      </c>
      <c r="FR103">
        <v>0.0404811846689945</v>
      </c>
      <c r="FS103">
        <v>0.004209578734641104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432</v>
      </c>
      <c r="GB103">
        <v>2.97993</v>
      </c>
      <c r="GC103">
        <v>2.70622</v>
      </c>
      <c r="GD103">
        <v>0.105812</v>
      </c>
      <c r="GE103">
        <v>0.113501</v>
      </c>
      <c r="GF103">
        <v>0.08805780000000001</v>
      </c>
      <c r="GG103">
        <v>0.0494841</v>
      </c>
      <c r="GH103">
        <v>28212.5</v>
      </c>
      <c r="GI103">
        <v>28031</v>
      </c>
      <c r="GJ103">
        <v>29340</v>
      </c>
      <c r="GK103">
        <v>29253.3</v>
      </c>
      <c r="GL103">
        <v>35432.6</v>
      </c>
      <c r="GM103">
        <v>37032.3</v>
      </c>
      <c r="GN103">
        <v>41300.7</v>
      </c>
      <c r="GO103">
        <v>41749.1</v>
      </c>
      <c r="GP103">
        <v>1.95535</v>
      </c>
      <c r="GQ103">
        <v>1.83452</v>
      </c>
      <c r="GR103">
        <v>-0.035014</v>
      </c>
      <c r="GS103">
        <v>0</v>
      </c>
      <c r="GT103">
        <v>25.5649</v>
      </c>
      <c r="GU103">
        <v>999.9</v>
      </c>
      <c r="GV103">
        <v>38.7</v>
      </c>
      <c r="GW103">
        <v>33.9</v>
      </c>
      <c r="GX103">
        <v>22.8209</v>
      </c>
      <c r="GY103">
        <v>62.3676</v>
      </c>
      <c r="GZ103">
        <v>35.6731</v>
      </c>
      <c r="HA103">
        <v>1</v>
      </c>
      <c r="HB103">
        <v>0.139123</v>
      </c>
      <c r="HC103">
        <v>2.13321</v>
      </c>
      <c r="HD103">
        <v>20.3198</v>
      </c>
      <c r="HE103">
        <v>5.21684</v>
      </c>
      <c r="HF103">
        <v>12.0099</v>
      </c>
      <c r="HG103">
        <v>4.9888</v>
      </c>
      <c r="HH103">
        <v>3.28855</v>
      </c>
      <c r="HI103">
        <v>851.3</v>
      </c>
      <c r="HJ103">
        <v>8472.6</v>
      </c>
      <c r="HK103">
        <v>5139.4</v>
      </c>
      <c r="HL103">
        <v>22.9</v>
      </c>
      <c r="HM103">
        <v>1.86751</v>
      </c>
      <c r="HN103">
        <v>1.86646</v>
      </c>
      <c r="HO103">
        <v>1.866</v>
      </c>
      <c r="HP103">
        <v>1.86586</v>
      </c>
      <c r="HQ103">
        <v>1.86773</v>
      </c>
      <c r="HR103">
        <v>1.87027</v>
      </c>
      <c r="HS103">
        <v>1.8689</v>
      </c>
      <c r="HT103">
        <v>1.87027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-1.44</v>
      </c>
      <c r="II103">
        <v>0.0066</v>
      </c>
      <c r="IJ103">
        <v>-0.4995723906072</v>
      </c>
      <c r="IK103">
        <v>-0.002077099775823331</v>
      </c>
      <c r="IL103">
        <v>4.593143279902166E-07</v>
      </c>
      <c r="IM103">
        <v>-1.865383991892071E-10</v>
      </c>
      <c r="IN103">
        <v>-0.07605349583632376</v>
      </c>
      <c r="IO103">
        <v>-0.01129461987421345</v>
      </c>
      <c r="IP103">
        <v>0.00116580895745559</v>
      </c>
      <c r="IQ103">
        <v>-1.679085872906199E-05</v>
      </c>
      <c r="IR103">
        <v>2</v>
      </c>
      <c r="IS103">
        <v>2290</v>
      </c>
      <c r="IT103">
        <v>0</v>
      </c>
      <c r="IU103">
        <v>32</v>
      </c>
      <c r="IV103">
        <v>7.3</v>
      </c>
      <c r="IW103">
        <v>7</v>
      </c>
      <c r="IX103">
        <v>1.31714</v>
      </c>
      <c r="IY103">
        <v>2.23389</v>
      </c>
      <c r="IZ103">
        <v>1.39648</v>
      </c>
      <c r="JA103">
        <v>2.35962</v>
      </c>
      <c r="JB103">
        <v>1.49536</v>
      </c>
      <c r="JC103">
        <v>2.323</v>
      </c>
      <c r="JD103">
        <v>38.379</v>
      </c>
      <c r="JE103">
        <v>24.035</v>
      </c>
      <c r="JF103">
        <v>18</v>
      </c>
      <c r="JG103">
        <v>515.197</v>
      </c>
      <c r="JH103">
        <v>423.135</v>
      </c>
      <c r="JI103">
        <v>22.717</v>
      </c>
      <c r="JJ103">
        <v>29.1336</v>
      </c>
      <c r="JK103">
        <v>30</v>
      </c>
      <c r="JL103">
        <v>29.1322</v>
      </c>
      <c r="JM103">
        <v>29.0696</v>
      </c>
      <c r="JN103">
        <v>26.3723</v>
      </c>
      <c r="JO103">
        <v>56.5973</v>
      </c>
      <c r="JP103">
        <v>0</v>
      </c>
      <c r="JQ103">
        <v>22.7237</v>
      </c>
      <c r="JR103">
        <v>574.309</v>
      </c>
      <c r="JS103">
        <v>8.655239999999999</v>
      </c>
      <c r="JT103">
        <v>100.295</v>
      </c>
      <c r="JU103">
        <v>100.205</v>
      </c>
    </row>
    <row r="104" spans="1:281">
      <c r="A104">
        <v>88</v>
      </c>
      <c r="B104">
        <v>1651857461.1</v>
      </c>
      <c r="C104">
        <v>460.5</v>
      </c>
      <c r="D104" t="s">
        <v>603</v>
      </c>
      <c r="E104" t="s">
        <v>604</v>
      </c>
      <c r="F104">
        <v>2</v>
      </c>
      <c r="G104" t="s">
        <v>413</v>
      </c>
      <c r="H104" t="s">
        <v>414</v>
      </c>
      <c r="I104">
        <v>1651857460.1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556.9293536768455</v>
      </c>
      <c r="AK104">
        <v>508.9153999999998</v>
      </c>
      <c r="AL104">
        <v>3.270739935286494</v>
      </c>
      <c r="AM104">
        <v>66.38384787954378</v>
      </c>
      <c r="AN104">
        <f>(AP104 - AO104 + DI104*1E3/(8.314*(DK104+273.15)) * AR104/DH104 * AQ104) * DH104/(100*CV104) * 1000/(1000 - AP104)</f>
        <v>0</v>
      </c>
      <c r="AO104">
        <v>8.641587076770989</v>
      </c>
      <c r="AP104">
        <v>18.43676882352941</v>
      </c>
      <c r="AQ104">
        <v>-0.0001119258196670652</v>
      </c>
      <c r="AR104">
        <v>80.44866334591464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1238</v>
      </c>
      <c r="CA104">
        <v>300</v>
      </c>
      <c r="CB104">
        <v>300</v>
      </c>
      <c r="CC104">
        <v>300</v>
      </c>
      <c r="CD104">
        <v>10440.5</v>
      </c>
      <c r="CE104">
        <v>1411.69</v>
      </c>
      <c r="CF104">
        <v>-0.00735121</v>
      </c>
      <c r="CG104">
        <v>-0.77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1651857460.1</v>
      </c>
      <c r="DB104">
        <v>497.924</v>
      </c>
      <c r="DC104">
        <v>558.0793333333332</v>
      </c>
      <c r="DD104">
        <v>18.43686666666667</v>
      </c>
      <c r="DE104">
        <v>8.639630000000002</v>
      </c>
      <c r="DF104">
        <v>499.3696666666667</v>
      </c>
      <c r="DG104">
        <v>18.43023333333333</v>
      </c>
      <c r="DH104">
        <v>500.0676666666666</v>
      </c>
      <c r="DI104">
        <v>90.10443333333332</v>
      </c>
      <c r="DJ104">
        <v>0.09990093333333333</v>
      </c>
      <c r="DK104">
        <v>25.76136666666666</v>
      </c>
      <c r="DL104">
        <v>24.99216666666667</v>
      </c>
      <c r="DM104">
        <v>999.9</v>
      </c>
      <c r="DN104">
        <v>0</v>
      </c>
      <c r="DO104">
        <v>0</v>
      </c>
      <c r="DP104">
        <v>10012.9</v>
      </c>
      <c r="DQ104">
        <v>0</v>
      </c>
      <c r="DR104">
        <v>3.20383</v>
      </c>
      <c r="DS104">
        <v>-60.155</v>
      </c>
      <c r="DT104">
        <v>507.2766666666666</v>
      </c>
      <c r="DU104">
        <v>562.9430000000001</v>
      </c>
      <c r="DV104">
        <v>9.797246666666666</v>
      </c>
      <c r="DW104">
        <v>558.0793333333332</v>
      </c>
      <c r="DX104">
        <v>8.639630000000002</v>
      </c>
      <c r="DY104">
        <v>1.661246666666667</v>
      </c>
      <c r="DZ104">
        <v>0.778469</v>
      </c>
      <c r="EA104">
        <v>14.53893333333333</v>
      </c>
      <c r="EB104">
        <v>3.320636666666667</v>
      </c>
      <c r="EC104">
        <v>1500.103333333333</v>
      </c>
      <c r="ED104">
        <v>0.9730053333333334</v>
      </c>
      <c r="EE104">
        <v>0.0269949</v>
      </c>
      <c r="EF104">
        <v>0</v>
      </c>
      <c r="EG104">
        <v>1044.25</v>
      </c>
      <c r="EH104">
        <v>5.00097</v>
      </c>
      <c r="EI104">
        <v>15506.66666666667</v>
      </c>
      <c r="EJ104">
        <v>12492.46666666667</v>
      </c>
      <c r="EK104">
        <v>37.5</v>
      </c>
      <c r="EL104">
        <v>39</v>
      </c>
      <c r="EM104">
        <v>37.91633333333333</v>
      </c>
      <c r="EN104">
        <v>38.75</v>
      </c>
      <c r="EO104">
        <v>38.375</v>
      </c>
      <c r="EP104">
        <v>1454.74</v>
      </c>
      <c r="EQ104">
        <v>40.36333333333333</v>
      </c>
      <c r="ER104">
        <v>0</v>
      </c>
      <c r="ES104">
        <v>460.2000000476837</v>
      </c>
      <c r="ET104">
        <v>0</v>
      </c>
      <c r="EU104">
        <v>1041.234230769231</v>
      </c>
      <c r="EV104">
        <v>30.44683764207824</v>
      </c>
      <c r="EW104">
        <v>454.8752139708285</v>
      </c>
      <c r="EX104">
        <v>15459.68846153846</v>
      </c>
      <c r="EY104">
        <v>15</v>
      </c>
      <c r="EZ104">
        <v>1651857041.1</v>
      </c>
      <c r="FA104" t="s">
        <v>419</v>
      </c>
      <c r="FB104">
        <v>1651857019.6</v>
      </c>
      <c r="FC104">
        <v>1651857041.1</v>
      </c>
      <c r="FD104">
        <v>1</v>
      </c>
      <c r="FE104">
        <v>0.545</v>
      </c>
      <c r="FF104">
        <v>-0.002</v>
      </c>
      <c r="FG104">
        <v>-1.271</v>
      </c>
      <c r="FH104">
        <v>-0.09</v>
      </c>
      <c r="FI104">
        <v>400</v>
      </c>
      <c r="FJ104">
        <v>10</v>
      </c>
      <c r="FK104">
        <v>0.1</v>
      </c>
      <c r="FL104">
        <v>0.02</v>
      </c>
      <c r="FM104">
        <v>-58.31639756097561</v>
      </c>
      <c r="FN104">
        <v>-9.564482926829275</v>
      </c>
      <c r="FO104">
        <v>0.9578441806391557</v>
      </c>
      <c r="FP104">
        <v>-1</v>
      </c>
      <c r="FQ104">
        <v>9.790185853658537</v>
      </c>
      <c r="FR104">
        <v>0.04185909407664348</v>
      </c>
      <c r="FS104">
        <v>0.004312327183167274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432</v>
      </c>
      <c r="GB104">
        <v>2.97991</v>
      </c>
      <c r="GC104">
        <v>2.70617</v>
      </c>
      <c r="GD104">
        <v>0.106815</v>
      </c>
      <c r="GE104">
        <v>0.114477</v>
      </c>
      <c r="GF104">
        <v>0.0880616</v>
      </c>
      <c r="GG104">
        <v>0.0494857</v>
      </c>
      <c r="GH104">
        <v>28181.3</v>
      </c>
      <c r="GI104">
        <v>28000.1</v>
      </c>
      <c r="GJ104">
        <v>29340.4</v>
      </c>
      <c r="GK104">
        <v>29253.3</v>
      </c>
      <c r="GL104">
        <v>35433</v>
      </c>
      <c r="GM104">
        <v>37032.2</v>
      </c>
      <c r="GN104">
        <v>41301.3</v>
      </c>
      <c r="GO104">
        <v>41749.1</v>
      </c>
      <c r="GP104">
        <v>1.95532</v>
      </c>
      <c r="GQ104">
        <v>1.8345</v>
      </c>
      <c r="GR104">
        <v>-0.0349209</v>
      </c>
      <c r="GS104">
        <v>0</v>
      </c>
      <c r="GT104">
        <v>25.5646</v>
      </c>
      <c r="GU104">
        <v>999.9</v>
      </c>
      <c r="GV104">
        <v>38.7</v>
      </c>
      <c r="GW104">
        <v>33.9</v>
      </c>
      <c r="GX104">
        <v>22.8208</v>
      </c>
      <c r="GY104">
        <v>62.7076</v>
      </c>
      <c r="GZ104">
        <v>35.2524</v>
      </c>
      <c r="HA104">
        <v>1</v>
      </c>
      <c r="HB104">
        <v>0.13904</v>
      </c>
      <c r="HC104">
        <v>2.12111</v>
      </c>
      <c r="HD104">
        <v>20.32</v>
      </c>
      <c r="HE104">
        <v>5.21699</v>
      </c>
      <c r="HF104">
        <v>12.0099</v>
      </c>
      <c r="HG104">
        <v>4.98885</v>
      </c>
      <c r="HH104">
        <v>3.28855</v>
      </c>
      <c r="HI104">
        <v>851.3</v>
      </c>
      <c r="HJ104">
        <v>8472.6</v>
      </c>
      <c r="HK104">
        <v>5139.4</v>
      </c>
      <c r="HL104">
        <v>22.9</v>
      </c>
      <c r="HM104">
        <v>1.8675</v>
      </c>
      <c r="HN104">
        <v>1.86646</v>
      </c>
      <c r="HO104">
        <v>1.866</v>
      </c>
      <c r="HP104">
        <v>1.86586</v>
      </c>
      <c r="HQ104">
        <v>1.86771</v>
      </c>
      <c r="HR104">
        <v>1.87027</v>
      </c>
      <c r="HS104">
        <v>1.8689</v>
      </c>
      <c r="HT104">
        <v>1.87027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-1.452</v>
      </c>
      <c r="II104">
        <v>0.0067</v>
      </c>
      <c r="IJ104">
        <v>-0.4995723906072</v>
      </c>
      <c r="IK104">
        <v>-0.002077099775823331</v>
      </c>
      <c r="IL104">
        <v>4.593143279902166E-07</v>
      </c>
      <c r="IM104">
        <v>-1.865383991892071E-10</v>
      </c>
      <c r="IN104">
        <v>-0.07605349583632376</v>
      </c>
      <c r="IO104">
        <v>-0.01129461987421345</v>
      </c>
      <c r="IP104">
        <v>0.00116580895745559</v>
      </c>
      <c r="IQ104">
        <v>-1.679085872906199E-05</v>
      </c>
      <c r="IR104">
        <v>2</v>
      </c>
      <c r="IS104">
        <v>2290</v>
      </c>
      <c r="IT104">
        <v>0</v>
      </c>
      <c r="IU104">
        <v>32</v>
      </c>
      <c r="IV104">
        <v>7.4</v>
      </c>
      <c r="IW104">
        <v>7</v>
      </c>
      <c r="IX104">
        <v>1.32935</v>
      </c>
      <c r="IY104">
        <v>2.22778</v>
      </c>
      <c r="IZ104">
        <v>1.39648</v>
      </c>
      <c r="JA104">
        <v>2.35962</v>
      </c>
      <c r="JB104">
        <v>1.49536</v>
      </c>
      <c r="JC104">
        <v>2.34131</v>
      </c>
      <c r="JD104">
        <v>38.379</v>
      </c>
      <c r="JE104">
        <v>24.0437</v>
      </c>
      <c r="JF104">
        <v>18</v>
      </c>
      <c r="JG104">
        <v>515.181</v>
      </c>
      <c r="JH104">
        <v>423.113</v>
      </c>
      <c r="JI104">
        <v>22.7191</v>
      </c>
      <c r="JJ104">
        <v>29.1336</v>
      </c>
      <c r="JK104">
        <v>29.9999</v>
      </c>
      <c r="JL104">
        <v>29.1322</v>
      </c>
      <c r="JM104">
        <v>29.0687</v>
      </c>
      <c r="JN104">
        <v>26.621</v>
      </c>
      <c r="JO104">
        <v>56.5973</v>
      </c>
      <c r="JP104">
        <v>0</v>
      </c>
      <c r="JQ104">
        <v>22.7237</v>
      </c>
      <c r="JR104">
        <v>580.991</v>
      </c>
      <c r="JS104">
        <v>8.660399999999999</v>
      </c>
      <c r="JT104">
        <v>100.296</v>
      </c>
      <c r="JU104">
        <v>100.205</v>
      </c>
    </row>
    <row r="105" spans="1:281">
      <c r="A105">
        <v>89</v>
      </c>
      <c r="B105">
        <v>1651857463.1</v>
      </c>
      <c r="C105">
        <v>462.5</v>
      </c>
      <c r="D105" t="s">
        <v>605</v>
      </c>
      <c r="E105" t="s">
        <v>606</v>
      </c>
      <c r="F105">
        <v>2</v>
      </c>
      <c r="G105" t="s">
        <v>413</v>
      </c>
      <c r="H105" t="s">
        <v>414</v>
      </c>
      <c r="I105">
        <v>1651857461.725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563.7205066790772</v>
      </c>
      <c r="AK105">
        <v>515.4532363636364</v>
      </c>
      <c r="AL105">
        <v>3.273955378413254</v>
      </c>
      <c r="AM105">
        <v>66.38384787954378</v>
      </c>
      <c r="AN105">
        <f>(AP105 - AO105 + DI105*1E3/(8.314*(DK105+273.15)) * AR105/DH105 * AQ105) * DH105/(100*CV105) * 1000/(1000 - AP105)</f>
        <v>0</v>
      </c>
      <c r="AO105">
        <v>8.640178161888178</v>
      </c>
      <c r="AP105">
        <v>18.43923676470587</v>
      </c>
      <c r="AQ105">
        <v>-7.798837311432374E-05</v>
      </c>
      <c r="AR105">
        <v>80.44866334591464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1238</v>
      </c>
      <c r="CA105">
        <v>300</v>
      </c>
      <c r="CB105">
        <v>300</v>
      </c>
      <c r="CC105">
        <v>300</v>
      </c>
      <c r="CD105">
        <v>10440.5</v>
      </c>
      <c r="CE105">
        <v>1411.69</v>
      </c>
      <c r="CF105">
        <v>-0.00735121</v>
      </c>
      <c r="CG105">
        <v>-0.77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1651857461.725</v>
      </c>
      <c r="DB105">
        <v>503.138</v>
      </c>
      <c r="DC105">
        <v>563.51225</v>
      </c>
      <c r="DD105">
        <v>18.438075</v>
      </c>
      <c r="DE105">
        <v>8.639984999999999</v>
      </c>
      <c r="DF105">
        <v>504.59275</v>
      </c>
      <c r="DG105">
        <v>18.431375</v>
      </c>
      <c r="DH105">
        <v>500.0355</v>
      </c>
      <c r="DI105">
        <v>90.10374999999999</v>
      </c>
      <c r="DJ105">
        <v>0.1000502</v>
      </c>
      <c r="DK105">
        <v>25.7597</v>
      </c>
      <c r="DL105">
        <v>24.9923</v>
      </c>
      <c r="DM105">
        <v>999.9</v>
      </c>
      <c r="DN105">
        <v>0</v>
      </c>
      <c r="DO105">
        <v>0</v>
      </c>
      <c r="DP105">
        <v>9995.4625</v>
      </c>
      <c r="DQ105">
        <v>0</v>
      </c>
      <c r="DR105">
        <v>3.20383</v>
      </c>
      <c r="DS105">
        <v>-60.373825</v>
      </c>
      <c r="DT105">
        <v>512.5889999999999</v>
      </c>
      <c r="DU105">
        <v>568.423</v>
      </c>
      <c r="DV105">
        <v>9.798080000000001</v>
      </c>
      <c r="DW105">
        <v>563.51225</v>
      </c>
      <c r="DX105">
        <v>8.639984999999999</v>
      </c>
      <c r="DY105">
        <v>1.66134</v>
      </c>
      <c r="DZ105">
        <v>0.7784949999999999</v>
      </c>
      <c r="EA105">
        <v>14.5398</v>
      </c>
      <c r="EB105">
        <v>3.32111</v>
      </c>
      <c r="EC105">
        <v>1500.1075</v>
      </c>
      <c r="ED105">
        <v>0.9730045</v>
      </c>
      <c r="EE105">
        <v>0.0269958</v>
      </c>
      <c r="EF105">
        <v>0</v>
      </c>
      <c r="EG105">
        <v>1044.89</v>
      </c>
      <c r="EH105">
        <v>5.00097</v>
      </c>
      <c r="EI105">
        <v>15515.725</v>
      </c>
      <c r="EJ105">
        <v>12492.525</v>
      </c>
      <c r="EK105">
        <v>37.5</v>
      </c>
      <c r="EL105">
        <v>39</v>
      </c>
      <c r="EM105">
        <v>37.906</v>
      </c>
      <c r="EN105">
        <v>38.75</v>
      </c>
      <c r="EO105">
        <v>38.375</v>
      </c>
      <c r="EP105">
        <v>1454.7425</v>
      </c>
      <c r="EQ105">
        <v>40.36499999999999</v>
      </c>
      <c r="ER105">
        <v>0</v>
      </c>
      <c r="ES105">
        <v>462</v>
      </c>
      <c r="ET105">
        <v>0</v>
      </c>
      <c r="EU105">
        <v>1042.2656</v>
      </c>
      <c r="EV105">
        <v>27.68307697877906</v>
      </c>
      <c r="EW105">
        <v>424.5846160875637</v>
      </c>
      <c r="EX105">
        <v>15475.208</v>
      </c>
      <c r="EY105">
        <v>15</v>
      </c>
      <c r="EZ105">
        <v>1651857041.1</v>
      </c>
      <c r="FA105" t="s">
        <v>419</v>
      </c>
      <c r="FB105">
        <v>1651857019.6</v>
      </c>
      <c r="FC105">
        <v>1651857041.1</v>
      </c>
      <c r="FD105">
        <v>1</v>
      </c>
      <c r="FE105">
        <v>0.545</v>
      </c>
      <c r="FF105">
        <v>-0.002</v>
      </c>
      <c r="FG105">
        <v>-1.271</v>
      </c>
      <c r="FH105">
        <v>-0.09</v>
      </c>
      <c r="FI105">
        <v>400</v>
      </c>
      <c r="FJ105">
        <v>10</v>
      </c>
      <c r="FK105">
        <v>0.1</v>
      </c>
      <c r="FL105">
        <v>0.02</v>
      </c>
      <c r="FM105">
        <v>-58.77778780487805</v>
      </c>
      <c r="FN105">
        <v>-10.58368641114967</v>
      </c>
      <c r="FO105">
        <v>1.048827936130315</v>
      </c>
      <c r="FP105">
        <v>-1</v>
      </c>
      <c r="FQ105">
        <v>9.792248292682926</v>
      </c>
      <c r="FR105">
        <v>0.03946850174218029</v>
      </c>
      <c r="FS105">
        <v>0.004058450925456389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432</v>
      </c>
      <c r="GB105">
        <v>2.97995</v>
      </c>
      <c r="GC105">
        <v>2.70623</v>
      </c>
      <c r="GD105">
        <v>0.107812</v>
      </c>
      <c r="GE105">
        <v>0.115445</v>
      </c>
      <c r="GF105">
        <v>0.0880668</v>
      </c>
      <c r="GG105">
        <v>0.0494859</v>
      </c>
      <c r="GH105">
        <v>28150</v>
      </c>
      <c r="GI105">
        <v>27969.6</v>
      </c>
      <c r="GJ105">
        <v>29340.6</v>
      </c>
      <c r="GK105">
        <v>29253.3</v>
      </c>
      <c r="GL105">
        <v>35432.9</v>
      </c>
      <c r="GM105">
        <v>37032.3</v>
      </c>
      <c r="GN105">
        <v>41301.4</v>
      </c>
      <c r="GO105">
        <v>41749.2</v>
      </c>
      <c r="GP105">
        <v>1.95518</v>
      </c>
      <c r="GQ105">
        <v>1.83442</v>
      </c>
      <c r="GR105">
        <v>-0.0348315</v>
      </c>
      <c r="GS105">
        <v>0</v>
      </c>
      <c r="GT105">
        <v>25.5635</v>
      </c>
      <c r="GU105">
        <v>999.9</v>
      </c>
      <c r="GV105">
        <v>38.7</v>
      </c>
      <c r="GW105">
        <v>33.9</v>
      </c>
      <c r="GX105">
        <v>22.8202</v>
      </c>
      <c r="GY105">
        <v>62.4176</v>
      </c>
      <c r="GZ105">
        <v>35.4728</v>
      </c>
      <c r="HA105">
        <v>1</v>
      </c>
      <c r="HB105">
        <v>0.138986</v>
      </c>
      <c r="HC105">
        <v>2.12285</v>
      </c>
      <c r="HD105">
        <v>20.3201</v>
      </c>
      <c r="HE105">
        <v>5.21744</v>
      </c>
      <c r="HF105">
        <v>12.0099</v>
      </c>
      <c r="HG105">
        <v>4.98885</v>
      </c>
      <c r="HH105">
        <v>3.28858</v>
      </c>
      <c r="HI105">
        <v>851.3</v>
      </c>
      <c r="HJ105">
        <v>8472.6</v>
      </c>
      <c r="HK105">
        <v>5139.4</v>
      </c>
      <c r="HL105">
        <v>22.9</v>
      </c>
      <c r="HM105">
        <v>1.86751</v>
      </c>
      <c r="HN105">
        <v>1.86646</v>
      </c>
      <c r="HO105">
        <v>1.866</v>
      </c>
      <c r="HP105">
        <v>1.86586</v>
      </c>
      <c r="HQ105">
        <v>1.8677</v>
      </c>
      <c r="HR105">
        <v>1.87026</v>
      </c>
      <c r="HS105">
        <v>1.8689</v>
      </c>
      <c r="HT105">
        <v>1.87027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-1.463</v>
      </c>
      <c r="II105">
        <v>0.0066</v>
      </c>
      <c r="IJ105">
        <v>-0.4995723906072</v>
      </c>
      <c r="IK105">
        <v>-0.002077099775823331</v>
      </c>
      <c r="IL105">
        <v>4.593143279902166E-07</v>
      </c>
      <c r="IM105">
        <v>-1.865383991892071E-10</v>
      </c>
      <c r="IN105">
        <v>-0.07605349583632376</v>
      </c>
      <c r="IO105">
        <v>-0.01129461987421345</v>
      </c>
      <c r="IP105">
        <v>0.00116580895745559</v>
      </c>
      <c r="IQ105">
        <v>-1.679085872906199E-05</v>
      </c>
      <c r="IR105">
        <v>2</v>
      </c>
      <c r="IS105">
        <v>2290</v>
      </c>
      <c r="IT105">
        <v>0</v>
      </c>
      <c r="IU105">
        <v>32</v>
      </c>
      <c r="IV105">
        <v>7.4</v>
      </c>
      <c r="IW105">
        <v>7</v>
      </c>
      <c r="IX105">
        <v>1.34277</v>
      </c>
      <c r="IY105">
        <v>2.23145</v>
      </c>
      <c r="IZ105">
        <v>1.39648</v>
      </c>
      <c r="JA105">
        <v>2.35962</v>
      </c>
      <c r="JB105">
        <v>1.49536</v>
      </c>
      <c r="JC105">
        <v>2.30469</v>
      </c>
      <c r="JD105">
        <v>38.379</v>
      </c>
      <c r="JE105">
        <v>24.035</v>
      </c>
      <c r="JF105">
        <v>18</v>
      </c>
      <c r="JG105">
        <v>515.074</v>
      </c>
      <c r="JH105">
        <v>423.068</v>
      </c>
      <c r="JI105">
        <v>22.7225</v>
      </c>
      <c r="JJ105">
        <v>29.1325</v>
      </c>
      <c r="JK105">
        <v>29.9999</v>
      </c>
      <c r="JL105">
        <v>29.1312</v>
      </c>
      <c r="JM105">
        <v>29.0687</v>
      </c>
      <c r="JN105">
        <v>26.8718</v>
      </c>
      <c r="JO105">
        <v>56.5973</v>
      </c>
      <c r="JP105">
        <v>0</v>
      </c>
      <c r="JQ105">
        <v>22.7294</v>
      </c>
      <c r="JR105">
        <v>587.734</v>
      </c>
      <c r="JS105">
        <v>8.65643</v>
      </c>
      <c r="JT105">
        <v>100.297</v>
      </c>
      <c r="JU105">
        <v>100.205</v>
      </c>
    </row>
    <row r="106" spans="1:281">
      <c r="A106">
        <v>90</v>
      </c>
      <c r="B106">
        <v>1651857465.1</v>
      </c>
      <c r="C106">
        <v>464.5</v>
      </c>
      <c r="D106" t="s">
        <v>607</v>
      </c>
      <c r="E106" t="s">
        <v>608</v>
      </c>
      <c r="F106">
        <v>2</v>
      </c>
      <c r="G106" t="s">
        <v>413</v>
      </c>
      <c r="H106" t="s">
        <v>414</v>
      </c>
      <c r="I106">
        <v>1651857464.1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570.462276143094</v>
      </c>
      <c r="AK106">
        <v>522.0320242424237</v>
      </c>
      <c r="AL106">
        <v>3.283131082118698</v>
      </c>
      <c r="AM106">
        <v>66.38384787954378</v>
      </c>
      <c r="AN106">
        <f>(AP106 - AO106 + DI106*1E3/(8.314*(DK106+273.15)) * AR106/DH106 * AQ106) * DH106/(100*CV106) * 1000/(1000 - AP106)</f>
        <v>0</v>
      </c>
      <c r="AO106">
        <v>8.639866325439892</v>
      </c>
      <c r="AP106">
        <v>18.43830323529411</v>
      </c>
      <c r="AQ106">
        <v>9.756044313804372E-05</v>
      </c>
      <c r="AR106">
        <v>80.44866334591464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1238</v>
      </c>
      <c r="CA106">
        <v>300</v>
      </c>
      <c r="CB106">
        <v>300</v>
      </c>
      <c r="CC106">
        <v>300</v>
      </c>
      <c r="CD106">
        <v>10440.5</v>
      </c>
      <c r="CE106">
        <v>1411.69</v>
      </c>
      <c r="CF106">
        <v>-0.00735121</v>
      </c>
      <c r="CG106">
        <v>-0.77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1651857464.1</v>
      </c>
      <c r="DB106">
        <v>510.7916666666667</v>
      </c>
      <c r="DC106">
        <v>571.5023333333334</v>
      </c>
      <c r="DD106">
        <v>18.43826666666667</v>
      </c>
      <c r="DE106">
        <v>8.639566666666667</v>
      </c>
      <c r="DF106">
        <v>512.2596666666667</v>
      </c>
      <c r="DG106">
        <v>18.4316</v>
      </c>
      <c r="DH106">
        <v>500.04</v>
      </c>
      <c r="DI106">
        <v>90.10526666666668</v>
      </c>
      <c r="DJ106">
        <v>0.09995686666666666</v>
      </c>
      <c r="DK106">
        <v>25.7592</v>
      </c>
      <c r="DL106">
        <v>24.99393333333333</v>
      </c>
      <c r="DM106">
        <v>999.9</v>
      </c>
      <c r="DN106">
        <v>0</v>
      </c>
      <c r="DO106">
        <v>0</v>
      </c>
      <c r="DP106">
        <v>10013.75</v>
      </c>
      <c r="DQ106">
        <v>0</v>
      </c>
      <c r="DR106">
        <v>3.20383</v>
      </c>
      <c r="DS106">
        <v>-60.71056666666667</v>
      </c>
      <c r="DT106">
        <v>520.3866666666667</v>
      </c>
      <c r="DU106">
        <v>576.4826666666668</v>
      </c>
      <c r="DV106">
        <v>9.798696666666666</v>
      </c>
      <c r="DW106">
        <v>571.5023333333334</v>
      </c>
      <c r="DX106">
        <v>8.639566666666667</v>
      </c>
      <c r="DY106">
        <v>1.661383333333333</v>
      </c>
      <c r="DZ106">
        <v>0.7784706666666666</v>
      </c>
      <c r="EA106">
        <v>14.54023333333333</v>
      </c>
      <c r="EB106">
        <v>3.32067</v>
      </c>
      <c r="EC106">
        <v>1500.103333333333</v>
      </c>
      <c r="ED106">
        <v>0.973007</v>
      </c>
      <c r="EE106">
        <v>0.0269931</v>
      </c>
      <c r="EF106">
        <v>0</v>
      </c>
      <c r="EG106">
        <v>1045.416666666667</v>
      </c>
      <c r="EH106">
        <v>5.00097</v>
      </c>
      <c r="EI106">
        <v>15528.76666666667</v>
      </c>
      <c r="EJ106">
        <v>12492.5</v>
      </c>
      <c r="EK106">
        <v>37.5</v>
      </c>
      <c r="EL106">
        <v>39</v>
      </c>
      <c r="EM106">
        <v>37.875</v>
      </c>
      <c r="EN106">
        <v>38.75</v>
      </c>
      <c r="EO106">
        <v>38.375</v>
      </c>
      <c r="EP106">
        <v>1454.743333333333</v>
      </c>
      <c r="EQ106">
        <v>40.36</v>
      </c>
      <c r="ER106">
        <v>0</v>
      </c>
      <c r="ES106">
        <v>463.8000001907349</v>
      </c>
      <c r="ET106">
        <v>0</v>
      </c>
      <c r="EU106">
        <v>1042.916153846154</v>
      </c>
      <c r="EV106">
        <v>25.88717949673367</v>
      </c>
      <c r="EW106">
        <v>404.3692307425438</v>
      </c>
      <c r="EX106">
        <v>15485.60769230769</v>
      </c>
      <c r="EY106">
        <v>15</v>
      </c>
      <c r="EZ106">
        <v>1651857041.1</v>
      </c>
      <c r="FA106" t="s">
        <v>419</v>
      </c>
      <c r="FB106">
        <v>1651857019.6</v>
      </c>
      <c r="FC106">
        <v>1651857041.1</v>
      </c>
      <c r="FD106">
        <v>1</v>
      </c>
      <c r="FE106">
        <v>0.545</v>
      </c>
      <c r="FF106">
        <v>-0.002</v>
      </c>
      <c r="FG106">
        <v>-1.271</v>
      </c>
      <c r="FH106">
        <v>-0.09</v>
      </c>
      <c r="FI106">
        <v>400</v>
      </c>
      <c r="FJ106">
        <v>10</v>
      </c>
      <c r="FK106">
        <v>0.1</v>
      </c>
      <c r="FL106">
        <v>0.02</v>
      </c>
      <c r="FM106">
        <v>-58.93549756097562</v>
      </c>
      <c r="FN106">
        <v>-10.77540418118455</v>
      </c>
      <c r="FO106">
        <v>1.065476622876584</v>
      </c>
      <c r="FP106">
        <v>-1</v>
      </c>
      <c r="FQ106">
        <v>9.792921707317074</v>
      </c>
      <c r="FR106">
        <v>0.03753951219513263</v>
      </c>
      <c r="FS106">
        <v>0.003867294953297643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432</v>
      </c>
      <c r="GB106">
        <v>2.97987</v>
      </c>
      <c r="GC106">
        <v>2.70624</v>
      </c>
      <c r="GD106">
        <v>0.10881</v>
      </c>
      <c r="GE106">
        <v>0.116428</v>
      </c>
      <c r="GF106">
        <v>0.08807039999999999</v>
      </c>
      <c r="GG106">
        <v>0.0494823</v>
      </c>
      <c r="GH106">
        <v>28118.7</v>
      </c>
      <c r="GI106">
        <v>27938.6</v>
      </c>
      <c r="GJ106">
        <v>29340.8</v>
      </c>
      <c r="GK106">
        <v>29253.4</v>
      </c>
      <c r="GL106">
        <v>35432.9</v>
      </c>
      <c r="GM106">
        <v>37032.6</v>
      </c>
      <c r="GN106">
        <v>41301.6</v>
      </c>
      <c r="GO106">
        <v>41749.4</v>
      </c>
      <c r="GP106">
        <v>1.95508</v>
      </c>
      <c r="GQ106">
        <v>1.83442</v>
      </c>
      <c r="GR106">
        <v>-0.0344105</v>
      </c>
      <c r="GS106">
        <v>0</v>
      </c>
      <c r="GT106">
        <v>25.5627</v>
      </c>
      <c r="GU106">
        <v>999.9</v>
      </c>
      <c r="GV106">
        <v>38.7</v>
      </c>
      <c r="GW106">
        <v>33.9</v>
      </c>
      <c r="GX106">
        <v>22.8198</v>
      </c>
      <c r="GY106">
        <v>62.5176</v>
      </c>
      <c r="GZ106">
        <v>35.4688</v>
      </c>
      <c r="HA106">
        <v>1</v>
      </c>
      <c r="HB106">
        <v>0.138971</v>
      </c>
      <c r="HC106">
        <v>2.11992</v>
      </c>
      <c r="HD106">
        <v>20.3202</v>
      </c>
      <c r="HE106">
        <v>5.21714</v>
      </c>
      <c r="HF106">
        <v>12.0099</v>
      </c>
      <c r="HG106">
        <v>4.98875</v>
      </c>
      <c r="HH106">
        <v>3.28858</v>
      </c>
      <c r="HI106">
        <v>851.3</v>
      </c>
      <c r="HJ106">
        <v>8472.6</v>
      </c>
      <c r="HK106">
        <v>5139.4</v>
      </c>
      <c r="HL106">
        <v>22.9</v>
      </c>
      <c r="HM106">
        <v>1.86752</v>
      </c>
      <c r="HN106">
        <v>1.86646</v>
      </c>
      <c r="HO106">
        <v>1.866</v>
      </c>
      <c r="HP106">
        <v>1.86587</v>
      </c>
      <c r="HQ106">
        <v>1.8677</v>
      </c>
      <c r="HR106">
        <v>1.87026</v>
      </c>
      <c r="HS106">
        <v>1.8689</v>
      </c>
      <c r="HT106">
        <v>1.87027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-1.474</v>
      </c>
      <c r="II106">
        <v>0.0067</v>
      </c>
      <c r="IJ106">
        <v>-0.4995723906072</v>
      </c>
      <c r="IK106">
        <v>-0.002077099775823331</v>
      </c>
      <c r="IL106">
        <v>4.593143279902166E-07</v>
      </c>
      <c r="IM106">
        <v>-1.865383991892071E-10</v>
      </c>
      <c r="IN106">
        <v>-0.07605349583632376</v>
      </c>
      <c r="IO106">
        <v>-0.01129461987421345</v>
      </c>
      <c r="IP106">
        <v>0.00116580895745559</v>
      </c>
      <c r="IQ106">
        <v>-1.679085872906199E-05</v>
      </c>
      <c r="IR106">
        <v>2</v>
      </c>
      <c r="IS106">
        <v>2290</v>
      </c>
      <c r="IT106">
        <v>0</v>
      </c>
      <c r="IU106">
        <v>32</v>
      </c>
      <c r="IV106">
        <v>7.4</v>
      </c>
      <c r="IW106">
        <v>7.1</v>
      </c>
      <c r="IX106">
        <v>1.35498</v>
      </c>
      <c r="IY106">
        <v>2.22534</v>
      </c>
      <c r="IZ106">
        <v>1.39648</v>
      </c>
      <c r="JA106">
        <v>2.35962</v>
      </c>
      <c r="JB106">
        <v>1.49536</v>
      </c>
      <c r="JC106">
        <v>2.36328</v>
      </c>
      <c r="JD106">
        <v>38.379</v>
      </c>
      <c r="JE106">
        <v>24.0437</v>
      </c>
      <c r="JF106">
        <v>18</v>
      </c>
      <c r="JG106">
        <v>514.997</v>
      </c>
      <c r="JH106">
        <v>423.068</v>
      </c>
      <c r="JI106">
        <v>22.7252</v>
      </c>
      <c r="JJ106">
        <v>29.1312</v>
      </c>
      <c r="JK106">
        <v>29.9999</v>
      </c>
      <c r="JL106">
        <v>29.13</v>
      </c>
      <c r="JM106">
        <v>29.0687</v>
      </c>
      <c r="JN106">
        <v>27.1173</v>
      </c>
      <c r="JO106">
        <v>56.5973</v>
      </c>
      <c r="JP106">
        <v>0</v>
      </c>
      <c r="JQ106">
        <v>22.7294</v>
      </c>
      <c r="JR106">
        <v>594.451</v>
      </c>
      <c r="JS106">
        <v>8.65274</v>
      </c>
      <c r="JT106">
        <v>100.297</v>
      </c>
      <c r="JU106">
        <v>100.206</v>
      </c>
    </row>
    <row r="107" spans="1:281">
      <c r="A107">
        <v>91</v>
      </c>
      <c r="B107">
        <v>1651857467.1</v>
      </c>
      <c r="C107">
        <v>466.5</v>
      </c>
      <c r="D107" t="s">
        <v>609</v>
      </c>
      <c r="E107" t="s">
        <v>610</v>
      </c>
      <c r="F107">
        <v>2</v>
      </c>
      <c r="G107" t="s">
        <v>413</v>
      </c>
      <c r="H107" t="s">
        <v>414</v>
      </c>
      <c r="I107">
        <v>1651857465.725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577.2781647045177</v>
      </c>
      <c r="AK107">
        <v>528.6669757575753</v>
      </c>
      <c r="AL107">
        <v>3.306948788454185</v>
      </c>
      <c r="AM107">
        <v>66.38384787954378</v>
      </c>
      <c r="AN107">
        <f>(AP107 - AO107 + DI107*1E3/(8.314*(DK107+273.15)) * AR107/DH107 * AQ107) * DH107/(100*CV107) * 1000/(1000 - AP107)</f>
        <v>0</v>
      </c>
      <c r="AO107">
        <v>8.639913375189897</v>
      </c>
      <c r="AP107">
        <v>18.44040617647058</v>
      </c>
      <c r="AQ107">
        <v>1.895532784554222E-05</v>
      </c>
      <c r="AR107">
        <v>80.44866334591464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1238</v>
      </c>
      <c r="CA107">
        <v>300</v>
      </c>
      <c r="CB107">
        <v>300</v>
      </c>
      <c r="CC107">
        <v>300</v>
      </c>
      <c r="CD107">
        <v>10440.5</v>
      </c>
      <c r="CE107">
        <v>1411.69</v>
      </c>
      <c r="CF107">
        <v>-0.00735121</v>
      </c>
      <c r="CG107">
        <v>-0.77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1651857465.725</v>
      </c>
      <c r="DB107">
        <v>516.06525</v>
      </c>
      <c r="DC107">
        <v>577.02075</v>
      </c>
      <c r="DD107">
        <v>18.4397</v>
      </c>
      <c r="DE107">
        <v>8.6392425</v>
      </c>
      <c r="DF107">
        <v>517.5425</v>
      </c>
      <c r="DG107">
        <v>18.433025</v>
      </c>
      <c r="DH107">
        <v>500.047</v>
      </c>
      <c r="DI107">
        <v>90.1056</v>
      </c>
      <c r="DJ107">
        <v>0.09991610000000001</v>
      </c>
      <c r="DK107">
        <v>25.760525</v>
      </c>
      <c r="DL107">
        <v>24.996725</v>
      </c>
      <c r="DM107">
        <v>999.9</v>
      </c>
      <c r="DN107">
        <v>0</v>
      </c>
      <c r="DO107">
        <v>0</v>
      </c>
      <c r="DP107">
        <v>10020</v>
      </c>
      <c r="DQ107">
        <v>0</v>
      </c>
      <c r="DR107">
        <v>3.20383</v>
      </c>
      <c r="DS107">
        <v>-60.955575</v>
      </c>
      <c r="DT107">
        <v>525.76</v>
      </c>
      <c r="DU107">
        <v>582.04925</v>
      </c>
      <c r="DV107">
        <v>9.800470000000001</v>
      </c>
      <c r="DW107">
        <v>577.02075</v>
      </c>
      <c r="DX107">
        <v>8.6392425</v>
      </c>
      <c r="DY107">
        <v>1.6615225</v>
      </c>
      <c r="DZ107">
        <v>0.77844475</v>
      </c>
      <c r="EA107">
        <v>14.54155</v>
      </c>
      <c r="EB107">
        <v>3.320195</v>
      </c>
      <c r="EC107">
        <v>1500.03</v>
      </c>
      <c r="ED107">
        <v>0.97300575</v>
      </c>
      <c r="EE107">
        <v>0.02699445</v>
      </c>
      <c r="EF107">
        <v>0</v>
      </c>
      <c r="EG107">
        <v>1046.0175</v>
      </c>
      <c r="EH107">
        <v>5.00097</v>
      </c>
      <c r="EI107">
        <v>15535.625</v>
      </c>
      <c r="EJ107">
        <v>12491.9</v>
      </c>
      <c r="EK107">
        <v>37.5</v>
      </c>
      <c r="EL107">
        <v>39</v>
      </c>
      <c r="EM107">
        <v>37.906</v>
      </c>
      <c r="EN107">
        <v>38.75</v>
      </c>
      <c r="EO107">
        <v>38.375</v>
      </c>
      <c r="EP107">
        <v>1454.67</v>
      </c>
      <c r="EQ107">
        <v>40.36</v>
      </c>
      <c r="ER107">
        <v>0</v>
      </c>
      <c r="ES107">
        <v>466.2000000476837</v>
      </c>
      <c r="ET107">
        <v>0</v>
      </c>
      <c r="EU107">
        <v>1043.936923076923</v>
      </c>
      <c r="EV107">
        <v>23.28136754428189</v>
      </c>
      <c r="EW107">
        <v>371.1658122811558</v>
      </c>
      <c r="EX107">
        <v>15501.14615384615</v>
      </c>
      <c r="EY107">
        <v>15</v>
      </c>
      <c r="EZ107">
        <v>1651857041.1</v>
      </c>
      <c r="FA107" t="s">
        <v>419</v>
      </c>
      <c r="FB107">
        <v>1651857019.6</v>
      </c>
      <c r="FC107">
        <v>1651857041.1</v>
      </c>
      <c r="FD107">
        <v>1</v>
      </c>
      <c r="FE107">
        <v>0.545</v>
      </c>
      <c r="FF107">
        <v>-0.002</v>
      </c>
      <c r="FG107">
        <v>-1.271</v>
      </c>
      <c r="FH107">
        <v>-0.09</v>
      </c>
      <c r="FI107">
        <v>400</v>
      </c>
      <c r="FJ107">
        <v>10</v>
      </c>
      <c r="FK107">
        <v>0.1</v>
      </c>
      <c r="FL107">
        <v>0.02</v>
      </c>
      <c r="FM107">
        <v>-59.4513243902439</v>
      </c>
      <c r="FN107">
        <v>-10.51001811846684</v>
      </c>
      <c r="FO107">
        <v>1.039930520610775</v>
      </c>
      <c r="FP107">
        <v>-1</v>
      </c>
      <c r="FQ107">
        <v>9.794782926829267</v>
      </c>
      <c r="FR107">
        <v>0.0369142160278771</v>
      </c>
      <c r="FS107">
        <v>0.003809230921611204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432</v>
      </c>
      <c r="GB107">
        <v>2.97995</v>
      </c>
      <c r="GC107">
        <v>2.7062</v>
      </c>
      <c r="GD107">
        <v>0.109805</v>
      </c>
      <c r="GE107">
        <v>0.117393</v>
      </c>
      <c r="GF107">
        <v>0.0880792</v>
      </c>
      <c r="GG107">
        <v>0.0494849</v>
      </c>
      <c r="GH107">
        <v>28087</v>
      </c>
      <c r="GI107">
        <v>27908.1</v>
      </c>
      <c r="GJ107">
        <v>29340.5</v>
      </c>
      <c r="GK107">
        <v>29253.5</v>
      </c>
      <c r="GL107">
        <v>35432.3</v>
      </c>
      <c r="GM107">
        <v>37032.8</v>
      </c>
      <c r="GN107">
        <v>41301.3</v>
      </c>
      <c r="GO107">
        <v>41749.7</v>
      </c>
      <c r="GP107">
        <v>1.9551</v>
      </c>
      <c r="GQ107">
        <v>1.83442</v>
      </c>
      <c r="GR107">
        <v>-0.0344776</v>
      </c>
      <c r="GS107">
        <v>0</v>
      </c>
      <c r="GT107">
        <v>25.5619</v>
      </c>
      <c r="GU107">
        <v>999.9</v>
      </c>
      <c r="GV107">
        <v>38.7</v>
      </c>
      <c r="GW107">
        <v>33.9</v>
      </c>
      <c r="GX107">
        <v>22.8188</v>
      </c>
      <c r="GY107">
        <v>62.5576</v>
      </c>
      <c r="GZ107">
        <v>35.2804</v>
      </c>
      <c r="HA107">
        <v>1</v>
      </c>
      <c r="HB107">
        <v>0.138905</v>
      </c>
      <c r="HC107">
        <v>2.11626</v>
      </c>
      <c r="HD107">
        <v>20.3203</v>
      </c>
      <c r="HE107">
        <v>5.21744</v>
      </c>
      <c r="HF107">
        <v>12.0099</v>
      </c>
      <c r="HG107">
        <v>4.9887</v>
      </c>
      <c r="HH107">
        <v>3.28858</v>
      </c>
      <c r="HI107">
        <v>851.5</v>
      </c>
      <c r="HJ107">
        <v>8474.9</v>
      </c>
      <c r="HK107">
        <v>5139.4</v>
      </c>
      <c r="HL107">
        <v>22.9</v>
      </c>
      <c r="HM107">
        <v>1.86752</v>
      </c>
      <c r="HN107">
        <v>1.86647</v>
      </c>
      <c r="HO107">
        <v>1.866</v>
      </c>
      <c r="HP107">
        <v>1.86586</v>
      </c>
      <c r="HQ107">
        <v>1.8677</v>
      </c>
      <c r="HR107">
        <v>1.87026</v>
      </c>
      <c r="HS107">
        <v>1.8689</v>
      </c>
      <c r="HT107">
        <v>1.87027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-1.485</v>
      </c>
      <c r="II107">
        <v>0.0067</v>
      </c>
      <c r="IJ107">
        <v>-0.4995723906072</v>
      </c>
      <c r="IK107">
        <v>-0.002077099775823331</v>
      </c>
      <c r="IL107">
        <v>4.593143279902166E-07</v>
      </c>
      <c r="IM107">
        <v>-1.865383991892071E-10</v>
      </c>
      <c r="IN107">
        <v>-0.07605349583632376</v>
      </c>
      <c r="IO107">
        <v>-0.01129461987421345</v>
      </c>
      <c r="IP107">
        <v>0.00116580895745559</v>
      </c>
      <c r="IQ107">
        <v>-1.679085872906199E-05</v>
      </c>
      <c r="IR107">
        <v>2</v>
      </c>
      <c r="IS107">
        <v>2290</v>
      </c>
      <c r="IT107">
        <v>0</v>
      </c>
      <c r="IU107">
        <v>32</v>
      </c>
      <c r="IV107">
        <v>7.5</v>
      </c>
      <c r="IW107">
        <v>7.1</v>
      </c>
      <c r="IX107">
        <v>1.36719</v>
      </c>
      <c r="IY107">
        <v>2.229</v>
      </c>
      <c r="IZ107">
        <v>1.39648</v>
      </c>
      <c r="JA107">
        <v>2.35962</v>
      </c>
      <c r="JB107">
        <v>1.49536</v>
      </c>
      <c r="JC107">
        <v>2.27417</v>
      </c>
      <c r="JD107">
        <v>38.379</v>
      </c>
      <c r="JE107">
        <v>24.035</v>
      </c>
      <c r="JF107">
        <v>18</v>
      </c>
      <c r="JG107">
        <v>515.0119999999999</v>
      </c>
      <c r="JH107">
        <v>423.067</v>
      </c>
      <c r="JI107">
        <v>22.7279</v>
      </c>
      <c r="JJ107">
        <v>29.131</v>
      </c>
      <c r="JK107">
        <v>29.9998</v>
      </c>
      <c r="JL107">
        <v>29.1298</v>
      </c>
      <c r="JM107">
        <v>29.0684</v>
      </c>
      <c r="JN107">
        <v>27.3666</v>
      </c>
      <c r="JO107">
        <v>56.5973</v>
      </c>
      <c r="JP107">
        <v>0</v>
      </c>
      <c r="JQ107">
        <v>22.7294</v>
      </c>
      <c r="JR107">
        <v>601.131</v>
      </c>
      <c r="JS107">
        <v>8.6469</v>
      </c>
      <c r="JT107">
        <v>100.296</v>
      </c>
      <c r="JU107">
        <v>100.206</v>
      </c>
    </row>
    <row r="108" spans="1:281">
      <c r="A108">
        <v>92</v>
      </c>
      <c r="B108">
        <v>1651857469.1</v>
      </c>
      <c r="C108">
        <v>468.5</v>
      </c>
      <c r="D108" t="s">
        <v>611</v>
      </c>
      <c r="E108" t="s">
        <v>612</v>
      </c>
      <c r="F108">
        <v>2</v>
      </c>
      <c r="G108" t="s">
        <v>413</v>
      </c>
      <c r="H108" t="s">
        <v>414</v>
      </c>
      <c r="I108">
        <v>1651857468.1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584.1104382318797</v>
      </c>
      <c r="AK108">
        <v>535.257909090909</v>
      </c>
      <c r="AL108">
        <v>3.306070936660293</v>
      </c>
      <c r="AM108">
        <v>66.38384787954378</v>
      </c>
      <c r="AN108">
        <f>(AP108 - AO108 + DI108*1E3/(8.314*(DK108+273.15)) * AR108/DH108 * AQ108) * DH108/(100*CV108) * 1000/(1000 - AP108)</f>
        <v>0</v>
      </c>
      <c r="AO108">
        <v>8.639404319629611</v>
      </c>
      <c r="AP108">
        <v>18.44214264705881</v>
      </c>
      <c r="AQ108">
        <v>1.026348388909854E-05</v>
      </c>
      <c r="AR108">
        <v>80.44866334591464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1238</v>
      </c>
      <c r="CA108">
        <v>300</v>
      </c>
      <c r="CB108">
        <v>300</v>
      </c>
      <c r="CC108">
        <v>300</v>
      </c>
      <c r="CD108">
        <v>10440.5</v>
      </c>
      <c r="CE108">
        <v>1411.69</v>
      </c>
      <c r="CF108">
        <v>-0.00735121</v>
      </c>
      <c r="CG108">
        <v>-0.77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1651857468.1</v>
      </c>
      <c r="DB108">
        <v>523.7616666666667</v>
      </c>
      <c r="DC108">
        <v>585.011</v>
      </c>
      <c r="DD108">
        <v>18.44133333333333</v>
      </c>
      <c r="DE108">
        <v>8.639263333333332</v>
      </c>
      <c r="DF108">
        <v>525.2526666666668</v>
      </c>
      <c r="DG108">
        <v>18.4346</v>
      </c>
      <c r="DH108">
        <v>500.0136666666667</v>
      </c>
      <c r="DI108">
        <v>90.10610000000001</v>
      </c>
      <c r="DJ108">
        <v>0.1001373333333333</v>
      </c>
      <c r="DK108">
        <v>25.76233333333333</v>
      </c>
      <c r="DL108">
        <v>24.9972</v>
      </c>
      <c r="DM108">
        <v>999.9</v>
      </c>
      <c r="DN108">
        <v>0</v>
      </c>
      <c r="DO108">
        <v>0</v>
      </c>
      <c r="DP108">
        <v>9986.25</v>
      </c>
      <c r="DQ108">
        <v>0</v>
      </c>
      <c r="DR108">
        <v>3.20383</v>
      </c>
      <c r="DS108">
        <v>-61.2494</v>
      </c>
      <c r="DT108">
        <v>533.602</v>
      </c>
      <c r="DU108">
        <v>590.109</v>
      </c>
      <c r="DV108">
        <v>9.802066666666667</v>
      </c>
      <c r="DW108">
        <v>585.011</v>
      </c>
      <c r="DX108">
        <v>8.639263333333332</v>
      </c>
      <c r="DY108">
        <v>1.661676666666667</v>
      </c>
      <c r="DZ108">
        <v>0.77845</v>
      </c>
      <c r="EA108">
        <v>14.54296666666667</v>
      </c>
      <c r="EB108">
        <v>3.32029</v>
      </c>
      <c r="EC108">
        <v>1499.906666666667</v>
      </c>
      <c r="ED108">
        <v>0.9730036666666667</v>
      </c>
      <c r="EE108">
        <v>0.0269967</v>
      </c>
      <c r="EF108">
        <v>0</v>
      </c>
      <c r="EG108">
        <v>1047.026666666667</v>
      </c>
      <c r="EH108">
        <v>5.00097</v>
      </c>
      <c r="EI108">
        <v>15545.46666666667</v>
      </c>
      <c r="EJ108">
        <v>12490.83333333333</v>
      </c>
      <c r="EK108">
        <v>37.5</v>
      </c>
      <c r="EL108">
        <v>39</v>
      </c>
      <c r="EM108">
        <v>37.875</v>
      </c>
      <c r="EN108">
        <v>38.75</v>
      </c>
      <c r="EO108">
        <v>38.375</v>
      </c>
      <c r="EP108">
        <v>1454.546666666667</v>
      </c>
      <c r="EQ108">
        <v>40.36</v>
      </c>
      <c r="ER108">
        <v>0</v>
      </c>
      <c r="ES108">
        <v>468</v>
      </c>
      <c r="ET108">
        <v>0</v>
      </c>
      <c r="EU108">
        <v>1044.7484</v>
      </c>
      <c r="EV108">
        <v>22.03384619576368</v>
      </c>
      <c r="EW108">
        <v>342.5769235555543</v>
      </c>
      <c r="EX108">
        <v>15513.84</v>
      </c>
      <c r="EY108">
        <v>15</v>
      </c>
      <c r="EZ108">
        <v>1651857041.1</v>
      </c>
      <c r="FA108" t="s">
        <v>419</v>
      </c>
      <c r="FB108">
        <v>1651857019.6</v>
      </c>
      <c r="FC108">
        <v>1651857041.1</v>
      </c>
      <c r="FD108">
        <v>1</v>
      </c>
      <c r="FE108">
        <v>0.545</v>
      </c>
      <c r="FF108">
        <v>-0.002</v>
      </c>
      <c r="FG108">
        <v>-1.271</v>
      </c>
      <c r="FH108">
        <v>-0.09</v>
      </c>
      <c r="FI108">
        <v>400</v>
      </c>
      <c r="FJ108">
        <v>10</v>
      </c>
      <c r="FK108">
        <v>0.1</v>
      </c>
      <c r="FL108">
        <v>0.02</v>
      </c>
      <c r="FM108">
        <v>-59.61754878048782</v>
      </c>
      <c r="FN108">
        <v>-10.37680766550512</v>
      </c>
      <c r="FO108">
        <v>1.027426808531273</v>
      </c>
      <c r="FP108">
        <v>-1</v>
      </c>
      <c r="FQ108">
        <v>9.795478292682928</v>
      </c>
      <c r="FR108">
        <v>0.03635519163762382</v>
      </c>
      <c r="FS108">
        <v>0.003749314020144742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432</v>
      </c>
      <c r="GB108">
        <v>2.97981</v>
      </c>
      <c r="GC108">
        <v>2.70617</v>
      </c>
      <c r="GD108">
        <v>0.110796</v>
      </c>
      <c r="GE108">
        <v>0.118351</v>
      </c>
      <c r="GF108">
        <v>0.0880787</v>
      </c>
      <c r="GG108">
        <v>0.0494836</v>
      </c>
      <c r="GH108">
        <v>28055.6</v>
      </c>
      <c r="GI108">
        <v>27878.1</v>
      </c>
      <c r="GJ108">
        <v>29340.4</v>
      </c>
      <c r="GK108">
        <v>29253.8</v>
      </c>
      <c r="GL108">
        <v>35432.3</v>
      </c>
      <c r="GM108">
        <v>37033.3</v>
      </c>
      <c r="GN108">
        <v>41301.2</v>
      </c>
      <c r="GO108">
        <v>41750.1</v>
      </c>
      <c r="GP108">
        <v>1.95503</v>
      </c>
      <c r="GQ108">
        <v>1.83442</v>
      </c>
      <c r="GR108">
        <v>-0.0344105</v>
      </c>
      <c r="GS108">
        <v>0</v>
      </c>
      <c r="GT108">
        <v>25.5608</v>
      </c>
      <c r="GU108">
        <v>999.9</v>
      </c>
      <c r="GV108">
        <v>38.7</v>
      </c>
      <c r="GW108">
        <v>33.9</v>
      </c>
      <c r="GX108">
        <v>22.8156</v>
      </c>
      <c r="GY108">
        <v>62.6576</v>
      </c>
      <c r="GZ108">
        <v>35.7011</v>
      </c>
      <c r="HA108">
        <v>1</v>
      </c>
      <c r="HB108">
        <v>0.13861</v>
      </c>
      <c r="HC108">
        <v>2.12443</v>
      </c>
      <c r="HD108">
        <v>20.3202</v>
      </c>
      <c r="HE108">
        <v>5.21774</v>
      </c>
      <c r="HF108">
        <v>12.0099</v>
      </c>
      <c r="HG108">
        <v>4.98875</v>
      </c>
      <c r="HH108">
        <v>3.28858</v>
      </c>
      <c r="HI108">
        <v>851.5</v>
      </c>
      <c r="HJ108">
        <v>8474.9</v>
      </c>
      <c r="HK108">
        <v>5139.4</v>
      </c>
      <c r="HL108">
        <v>22.9</v>
      </c>
      <c r="HM108">
        <v>1.86751</v>
      </c>
      <c r="HN108">
        <v>1.86647</v>
      </c>
      <c r="HO108">
        <v>1.866</v>
      </c>
      <c r="HP108">
        <v>1.86586</v>
      </c>
      <c r="HQ108">
        <v>1.8677</v>
      </c>
      <c r="HR108">
        <v>1.87025</v>
      </c>
      <c r="HS108">
        <v>1.8689</v>
      </c>
      <c r="HT108">
        <v>1.87027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-1.497</v>
      </c>
      <c r="II108">
        <v>0.0067</v>
      </c>
      <c r="IJ108">
        <v>-0.4995723906072</v>
      </c>
      <c r="IK108">
        <v>-0.002077099775823331</v>
      </c>
      <c r="IL108">
        <v>4.593143279902166E-07</v>
      </c>
      <c r="IM108">
        <v>-1.865383991892071E-10</v>
      </c>
      <c r="IN108">
        <v>-0.07605349583632376</v>
      </c>
      <c r="IO108">
        <v>-0.01129461987421345</v>
      </c>
      <c r="IP108">
        <v>0.00116580895745559</v>
      </c>
      <c r="IQ108">
        <v>-1.679085872906199E-05</v>
      </c>
      <c r="IR108">
        <v>2</v>
      </c>
      <c r="IS108">
        <v>2290</v>
      </c>
      <c r="IT108">
        <v>0</v>
      </c>
      <c r="IU108">
        <v>32</v>
      </c>
      <c r="IV108">
        <v>7.5</v>
      </c>
      <c r="IW108">
        <v>7.1</v>
      </c>
      <c r="IX108">
        <v>1.37939</v>
      </c>
      <c r="IY108">
        <v>2.23145</v>
      </c>
      <c r="IZ108">
        <v>1.39648</v>
      </c>
      <c r="JA108">
        <v>2.35962</v>
      </c>
      <c r="JB108">
        <v>1.49536</v>
      </c>
      <c r="JC108">
        <v>2.34131</v>
      </c>
      <c r="JD108">
        <v>38.379</v>
      </c>
      <c r="JE108">
        <v>24.035</v>
      </c>
      <c r="JF108">
        <v>18</v>
      </c>
      <c r="JG108">
        <v>514.962</v>
      </c>
      <c r="JH108">
        <v>423.058</v>
      </c>
      <c r="JI108">
        <v>22.7304</v>
      </c>
      <c r="JJ108">
        <v>29.1306</v>
      </c>
      <c r="JK108">
        <v>29.9998</v>
      </c>
      <c r="JL108">
        <v>29.1298</v>
      </c>
      <c r="JM108">
        <v>29.0671</v>
      </c>
      <c r="JN108">
        <v>27.611</v>
      </c>
      <c r="JO108">
        <v>56.5973</v>
      </c>
      <c r="JP108">
        <v>0</v>
      </c>
      <c r="JQ108">
        <v>22.7321</v>
      </c>
      <c r="JR108">
        <v>607.819</v>
      </c>
      <c r="JS108">
        <v>8.64926</v>
      </c>
      <c r="JT108">
        <v>100.296</v>
      </c>
      <c r="JU108">
        <v>100.207</v>
      </c>
    </row>
    <row r="109" spans="1:281">
      <c r="A109">
        <v>93</v>
      </c>
      <c r="B109">
        <v>1651857471.1</v>
      </c>
      <c r="C109">
        <v>470.5</v>
      </c>
      <c r="D109" t="s">
        <v>613</v>
      </c>
      <c r="E109" t="s">
        <v>614</v>
      </c>
      <c r="F109">
        <v>2</v>
      </c>
      <c r="G109" t="s">
        <v>413</v>
      </c>
      <c r="H109" t="s">
        <v>414</v>
      </c>
      <c r="I109">
        <v>1651857469.725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590.8824711491674</v>
      </c>
      <c r="AK109">
        <v>541.8831333333335</v>
      </c>
      <c r="AL109">
        <v>3.309069667554461</v>
      </c>
      <c r="AM109">
        <v>66.38384787954378</v>
      </c>
      <c r="AN109">
        <f>(AP109 - AO109 + DI109*1E3/(8.314*(DK109+273.15)) * AR109/DH109 * AQ109) * DH109/(100*CV109) * 1000/(1000 - AP109)</f>
        <v>0</v>
      </c>
      <c r="AO109">
        <v>8.63938158239808</v>
      </c>
      <c r="AP109">
        <v>18.44020588235294</v>
      </c>
      <c r="AQ109">
        <v>8.731075647189714E-05</v>
      </c>
      <c r="AR109">
        <v>80.44866334591464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1238</v>
      </c>
      <c r="CA109">
        <v>300</v>
      </c>
      <c r="CB109">
        <v>300</v>
      </c>
      <c r="CC109">
        <v>300</v>
      </c>
      <c r="CD109">
        <v>10440.5</v>
      </c>
      <c r="CE109">
        <v>1411.69</v>
      </c>
      <c r="CF109">
        <v>-0.00735121</v>
      </c>
      <c r="CG109">
        <v>-0.77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1651857469.725</v>
      </c>
      <c r="DB109">
        <v>529.048</v>
      </c>
      <c r="DC109">
        <v>590.4564999999999</v>
      </c>
      <c r="DD109">
        <v>18.4408</v>
      </c>
      <c r="DE109">
        <v>8.638529999999999</v>
      </c>
      <c r="DF109">
        <v>530.5482499999999</v>
      </c>
      <c r="DG109">
        <v>18.43405</v>
      </c>
      <c r="DH109">
        <v>500.03325</v>
      </c>
      <c r="DI109">
        <v>90.10990000000001</v>
      </c>
      <c r="DJ109">
        <v>0.099998425</v>
      </c>
      <c r="DK109">
        <v>25.762175</v>
      </c>
      <c r="DL109">
        <v>24.9978</v>
      </c>
      <c r="DM109">
        <v>999.9</v>
      </c>
      <c r="DN109">
        <v>0</v>
      </c>
      <c r="DO109">
        <v>0</v>
      </c>
      <c r="DP109">
        <v>9998.4625</v>
      </c>
      <c r="DQ109">
        <v>0</v>
      </c>
      <c r="DR109">
        <v>3.20383</v>
      </c>
      <c r="DS109">
        <v>-61.408325</v>
      </c>
      <c r="DT109">
        <v>538.987</v>
      </c>
      <c r="DU109">
        <v>595.6012500000001</v>
      </c>
      <c r="DV109">
        <v>9.8022475</v>
      </c>
      <c r="DW109">
        <v>590.4564999999999</v>
      </c>
      <c r="DX109">
        <v>8.638529999999999</v>
      </c>
      <c r="DY109">
        <v>1.6616975</v>
      </c>
      <c r="DZ109">
        <v>0.778417</v>
      </c>
      <c r="EA109">
        <v>14.543175</v>
      </c>
      <c r="EB109">
        <v>3.3196875</v>
      </c>
      <c r="EC109">
        <v>1499.9625</v>
      </c>
      <c r="ED109">
        <v>0.9730045</v>
      </c>
      <c r="EE109">
        <v>0.0269958</v>
      </c>
      <c r="EF109">
        <v>0</v>
      </c>
      <c r="EG109">
        <v>1047.6875</v>
      </c>
      <c r="EH109">
        <v>5.00097</v>
      </c>
      <c r="EI109">
        <v>15552.425</v>
      </c>
      <c r="EJ109">
        <v>12491.3</v>
      </c>
      <c r="EK109">
        <v>37.5</v>
      </c>
      <c r="EL109">
        <v>39</v>
      </c>
      <c r="EM109">
        <v>37.875</v>
      </c>
      <c r="EN109">
        <v>38.75</v>
      </c>
      <c r="EO109">
        <v>38.375</v>
      </c>
      <c r="EP109">
        <v>1454.6025</v>
      </c>
      <c r="EQ109">
        <v>40.36</v>
      </c>
      <c r="ER109">
        <v>0</v>
      </c>
      <c r="ES109">
        <v>469.8000001907349</v>
      </c>
      <c r="ET109">
        <v>0</v>
      </c>
      <c r="EU109">
        <v>1045.311153846154</v>
      </c>
      <c r="EV109">
        <v>21.69811966457417</v>
      </c>
      <c r="EW109">
        <v>322.6769230094779</v>
      </c>
      <c r="EX109">
        <v>15521.85769230769</v>
      </c>
      <c r="EY109">
        <v>15</v>
      </c>
      <c r="EZ109">
        <v>1651857041.1</v>
      </c>
      <c r="FA109" t="s">
        <v>419</v>
      </c>
      <c r="FB109">
        <v>1651857019.6</v>
      </c>
      <c r="FC109">
        <v>1651857041.1</v>
      </c>
      <c r="FD109">
        <v>1</v>
      </c>
      <c r="FE109">
        <v>0.545</v>
      </c>
      <c r="FF109">
        <v>-0.002</v>
      </c>
      <c r="FG109">
        <v>-1.271</v>
      </c>
      <c r="FH109">
        <v>-0.09</v>
      </c>
      <c r="FI109">
        <v>400</v>
      </c>
      <c r="FJ109">
        <v>10</v>
      </c>
      <c r="FK109">
        <v>0.1</v>
      </c>
      <c r="FL109">
        <v>0.02</v>
      </c>
      <c r="FM109">
        <v>-60.09761707317073</v>
      </c>
      <c r="FN109">
        <v>-9.733177003484396</v>
      </c>
      <c r="FO109">
        <v>0.9670807025880842</v>
      </c>
      <c r="FP109">
        <v>-1</v>
      </c>
      <c r="FQ109">
        <v>9.797343902439023</v>
      </c>
      <c r="FR109">
        <v>0.03291951219513609</v>
      </c>
      <c r="FS109">
        <v>0.003407944003639816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432</v>
      </c>
      <c r="GB109">
        <v>2.97994</v>
      </c>
      <c r="GC109">
        <v>2.70608</v>
      </c>
      <c r="GD109">
        <v>0.111791</v>
      </c>
      <c r="GE109">
        <v>0.119313</v>
      </c>
      <c r="GF109">
        <v>0.0880799</v>
      </c>
      <c r="GG109">
        <v>0.0494815</v>
      </c>
      <c r="GH109">
        <v>28024.2</v>
      </c>
      <c r="GI109">
        <v>27847.9</v>
      </c>
      <c r="GJ109">
        <v>29340.3</v>
      </c>
      <c r="GK109">
        <v>29254.1</v>
      </c>
      <c r="GL109">
        <v>35432.3</v>
      </c>
      <c r="GM109">
        <v>37033.7</v>
      </c>
      <c r="GN109">
        <v>41301.2</v>
      </c>
      <c r="GO109">
        <v>41750.5</v>
      </c>
      <c r="GP109">
        <v>1.95505</v>
      </c>
      <c r="GQ109">
        <v>1.8341</v>
      </c>
      <c r="GR109">
        <v>-0.0343174</v>
      </c>
      <c r="GS109">
        <v>0</v>
      </c>
      <c r="GT109">
        <v>25.5597</v>
      </c>
      <c r="GU109">
        <v>999.9</v>
      </c>
      <c r="GV109">
        <v>38.7</v>
      </c>
      <c r="GW109">
        <v>33.9</v>
      </c>
      <c r="GX109">
        <v>22.818</v>
      </c>
      <c r="GY109">
        <v>62.4876</v>
      </c>
      <c r="GZ109">
        <v>35.2204</v>
      </c>
      <c r="HA109">
        <v>1</v>
      </c>
      <c r="HB109">
        <v>0.138455</v>
      </c>
      <c r="HC109">
        <v>2.12703</v>
      </c>
      <c r="HD109">
        <v>20.3203</v>
      </c>
      <c r="HE109">
        <v>5.21744</v>
      </c>
      <c r="HF109">
        <v>12.0099</v>
      </c>
      <c r="HG109">
        <v>4.98885</v>
      </c>
      <c r="HH109">
        <v>3.28858</v>
      </c>
      <c r="HI109">
        <v>851.5</v>
      </c>
      <c r="HJ109">
        <v>8474.9</v>
      </c>
      <c r="HK109">
        <v>5139.4</v>
      </c>
      <c r="HL109">
        <v>22.9</v>
      </c>
      <c r="HM109">
        <v>1.8675</v>
      </c>
      <c r="HN109">
        <v>1.86646</v>
      </c>
      <c r="HO109">
        <v>1.866</v>
      </c>
      <c r="HP109">
        <v>1.86586</v>
      </c>
      <c r="HQ109">
        <v>1.86771</v>
      </c>
      <c r="HR109">
        <v>1.87024</v>
      </c>
      <c r="HS109">
        <v>1.8689</v>
      </c>
      <c r="HT109">
        <v>1.87027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-1.508</v>
      </c>
      <c r="II109">
        <v>0.0067</v>
      </c>
      <c r="IJ109">
        <v>-0.4995723906072</v>
      </c>
      <c r="IK109">
        <v>-0.002077099775823331</v>
      </c>
      <c r="IL109">
        <v>4.593143279902166E-07</v>
      </c>
      <c r="IM109">
        <v>-1.865383991892071E-10</v>
      </c>
      <c r="IN109">
        <v>-0.07605349583632376</v>
      </c>
      <c r="IO109">
        <v>-0.01129461987421345</v>
      </c>
      <c r="IP109">
        <v>0.00116580895745559</v>
      </c>
      <c r="IQ109">
        <v>-1.679085872906199E-05</v>
      </c>
      <c r="IR109">
        <v>2</v>
      </c>
      <c r="IS109">
        <v>2290</v>
      </c>
      <c r="IT109">
        <v>0</v>
      </c>
      <c r="IU109">
        <v>32</v>
      </c>
      <c r="IV109">
        <v>7.5</v>
      </c>
      <c r="IW109">
        <v>7.2</v>
      </c>
      <c r="IX109">
        <v>1.3916</v>
      </c>
      <c r="IY109">
        <v>2.22778</v>
      </c>
      <c r="IZ109">
        <v>1.39648</v>
      </c>
      <c r="JA109">
        <v>2.35962</v>
      </c>
      <c r="JB109">
        <v>1.49536</v>
      </c>
      <c r="JC109">
        <v>2.323</v>
      </c>
      <c r="JD109">
        <v>38.379</v>
      </c>
      <c r="JE109">
        <v>24.0437</v>
      </c>
      <c r="JF109">
        <v>18</v>
      </c>
      <c r="JG109">
        <v>514.976</v>
      </c>
      <c r="JH109">
        <v>422.858</v>
      </c>
      <c r="JI109">
        <v>22.732</v>
      </c>
      <c r="JJ109">
        <v>29.1293</v>
      </c>
      <c r="JK109">
        <v>29.9999</v>
      </c>
      <c r="JL109">
        <v>29.1294</v>
      </c>
      <c r="JM109">
        <v>29.0662</v>
      </c>
      <c r="JN109">
        <v>27.859</v>
      </c>
      <c r="JO109">
        <v>56.5973</v>
      </c>
      <c r="JP109">
        <v>0</v>
      </c>
      <c r="JQ109">
        <v>22.7321</v>
      </c>
      <c r="JR109">
        <v>614.5</v>
      </c>
      <c r="JS109">
        <v>8.648300000000001</v>
      </c>
      <c r="JT109">
        <v>100.296</v>
      </c>
      <c r="JU109">
        <v>100.208</v>
      </c>
    </row>
    <row r="110" spans="1:281">
      <c r="A110">
        <v>94</v>
      </c>
      <c r="B110">
        <v>1651857473.1</v>
      </c>
      <c r="C110">
        <v>472.5</v>
      </c>
      <c r="D110" t="s">
        <v>615</v>
      </c>
      <c r="E110" t="s">
        <v>616</v>
      </c>
      <c r="F110">
        <v>2</v>
      </c>
      <c r="G110" t="s">
        <v>413</v>
      </c>
      <c r="H110" t="s">
        <v>414</v>
      </c>
      <c r="I110">
        <v>1651857472.1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597.6518431803461</v>
      </c>
      <c r="AK110">
        <v>548.5577757575758</v>
      </c>
      <c r="AL110">
        <v>3.32601218142511</v>
      </c>
      <c r="AM110">
        <v>66.38384787954378</v>
      </c>
      <c r="AN110">
        <f>(AP110 - AO110 + DI110*1E3/(8.314*(DK110+273.15)) * AR110/DH110 * AQ110) * DH110/(100*CV110) * 1000/(1000 - AP110)</f>
        <v>0</v>
      </c>
      <c r="AO110">
        <v>8.638994249928079</v>
      </c>
      <c r="AP110">
        <v>18.43979764705883</v>
      </c>
      <c r="AQ110">
        <v>2.536272997523527E-05</v>
      </c>
      <c r="AR110">
        <v>80.44866334591464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1238</v>
      </c>
      <c r="CA110">
        <v>300</v>
      </c>
      <c r="CB110">
        <v>300</v>
      </c>
      <c r="CC110">
        <v>300</v>
      </c>
      <c r="CD110">
        <v>10440.5</v>
      </c>
      <c r="CE110">
        <v>1411.69</v>
      </c>
      <c r="CF110">
        <v>-0.00735121</v>
      </c>
      <c r="CG110">
        <v>-0.77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1651857472.1</v>
      </c>
      <c r="DB110">
        <v>536.8063333333334</v>
      </c>
      <c r="DC110">
        <v>598.402</v>
      </c>
      <c r="DD110">
        <v>18.44043333333333</v>
      </c>
      <c r="DE110">
        <v>8.637930000000001</v>
      </c>
      <c r="DF110">
        <v>538.3200000000001</v>
      </c>
      <c r="DG110">
        <v>18.4337</v>
      </c>
      <c r="DH110">
        <v>500.02</v>
      </c>
      <c r="DI110">
        <v>90.11739999999999</v>
      </c>
      <c r="DJ110">
        <v>0.09999570000000001</v>
      </c>
      <c r="DK110">
        <v>25.76233333333333</v>
      </c>
      <c r="DL110">
        <v>24.9941</v>
      </c>
      <c r="DM110">
        <v>999.9</v>
      </c>
      <c r="DN110">
        <v>0</v>
      </c>
      <c r="DO110">
        <v>0</v>
      </c>
      <c r="DP110">
        <v>9981.25</v>
      </c>
      <c r="DQ110">
        <v>0</v>
      </c>
      <c r="DR110">
        <v>3.20383</v>
      </c>
      <c r="DS110">
        <v>-61.5957</v>
      </c>
      <c r="DT110">
        <v>546.8913333333334</v>
      </c>
      <c r="DU110">
        <v>603.616</v>
      </c>
      <c r="DV110">
        <v>9.802503333333334</v>
      </c>
      <c r="DW110">
        <v>598.402</v>
      </c>
      <c r="DX110">
        <v>8.637930000000001</v>
      </c>
      <c r="DY110">
        <v>1.661803333333333</v>
      </c>
      <c r="DZ110">
        <v>0.778428</v>
      </c>
      <c r="EA110">
        <v>14.54416666666667</v>
      </c>
      <c r="EB110">
        <v>3.319896666666667</v>
      </c>
      <c r="EC110">
        <v>1499.91</v>
      </c>
      <c r="ED110">
        <v>0.9730036666666667</v>
      </c>
      <c r="EE110">
        <v>0.0269967</v>
      </c>
      <c r="EF110">
        <v>0</v>
      </c>
      <c r="EG110">
        <v>1048.233333333333</v>
      </c>
      <c r="EH110">
        <v>5.00097</v>
      </c>
      <c r="EI110">
        <v>15561.33333333333</v>
      </c>
      <c r="EJ110">
        <v>12490.86666666667</v>
      </c>
      <c r="EK110">
        <v>37.52066666666666</v>
      </c>
      <c r="EL110">
        <v>39</v>
      </c>
      <c r="EM110">
        <v>37.91633333333333</v>
      </c>
      <c r="EN110">
        <v>38.75</v>
      </c>
      <c r="EO110">
        <v>38.375</v>
      </c>
      <c r="EP110">
        <v>1454.55</v>
      </c>
      <c r="EQ110">
        <v>40.36</v>
      </c>
      <c r="ER110">
        <v>0</v>
      </c>
      <c r="ES110">
        <v>472.2000000476837</v>
      </c>
      <c r="ET110">
        <v>0</v>
      </c>
      <c r="EU110">
        <v>1046.137692307692</v>
      </c>
      <c r="EV110">
        <v>20.23931626712127</v>
      </c>
      <c r="EW110">
        <v>287.0051284344716</v>
      </c>
      <c r="EX110">
        <v>15533.96538461539</v>
      </c>
      <c r="EY110">
        <v>15</v>
      </c>
      <c r="EZ110">
        <v>1651857041.1</v>
      </c>
      <c r="FA110" t="s">
        <v>419</v>
      </c>
      <c r="FB110">
        <v>1651857019.6</v>
      </c>
      <c r="FC110">
        <v>1651857041.1</v>
      </c>
      <c r="FD110">
        <v>1</v>
      </c>
      <c r="FE110">
        <v>0.545</v>
      </c>
      <c r="FF110">
        <v>-0.002</v>
      </c>
      <c r="FG110">
        <v>-1.271</v>
      </c>
      <c r="FH110">
        <v>-0.09</v>
      </c>
      <c r="FI110">
        <v>400</v>
      </c>
      <c r="FJ110">
        <v>10</v>
      </c>
      <c r="FK110">
        <v>0.1</v>
      </c>
      <c r="FL110">
        <v>0.02</v>
      </c>
      <c r="FM110">
        <v>-60.25660975609755</v>
      </c>
      <c r="FN110">
        <v>-9.298099651567831</v>
      </c>
      <c r="FO110">
        <v>0.9244366793086262</v>
      </c>
      <c r="FP110">
        <v>-1</v>
      </c>
      <c r="FQ110">
        <v>9.797857804878047</v>
      </c>
      <c r="FR110">
        <v>0.03099930313590161</v>
      </c>
      <c r="FS110">
        <v>0.003234421961547614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432</v>
      </c>
      <c r="GB110">
        <v>2.97993</v>
      </c>
      <c r="GC110">
        <v>2.70595</v>
      </c>
      <c r="GD110">
        <v>0.112775</v>
      </c>
      <c r="GE110">
        <v>0.120256</v>
      </c>
      <c r="GF110">
        <v>0.0880933</v>
      </c>
      <c r="GG110">
        <v>0.0494846</v>
      </c>
      <c r="GH110">
        <v>27993.1</v>
      </c>
      <c r="GI110">
        <v>27818.2</v>
      </c>
      <c r="GJ110">
        <v>29340.3</v>
      </c>
      <c r="GK110">
        <v>29254.1</v>
      </c>
      <c r="GL110">
        <v>35431.7</v>
      </c>
      <c r="GM110">
        <v>37033.7</v>
      </c>
      <c r="GN110">
        <v>41301.2</v>
      </c>
      <c r="GO110">
        <v>41750.6</v>
      </c>
      <c r="GP110">
        <v>1.955</v>
      </c>
      <c r="GQ110">
        <v>1.83435</v>
      </c>
      <c r="GR110">
        <v>-0.0346266</v>
      </c>
      <c r="GS110">
        <v>0</v>
      </c>
      <c r="GT110">
        <v>25.5587</v>
      </c>
      <c r="GU110">
        <v>999.9</v>
      </c>
      <c r="GV110">
        <v>38.7</v>
      </c>
      <c r="GW110">
        <v>33.9</v>
      </c>
      <c r="GX110">
        <v>22.8182</v>
      </c>
      <c r="GY110">
        <v>62.3176</v>
      </c>
      <c r="GZ110">
        <v>35.5889</v>
      </c>
      <c r="HA110">
        <v>1</v>
      </c>
      <c r="HB110">
        <v>0.138559</v>
      </c>
      <c r="HC110">
        <v>2.13213</v>
      </c>
      <c r="HD110">
        <v>20.3202</v>
      </c>
      <c r="HE110">
        <v>5.21684</v>
      </c>
      <c r="HF110">
        <v>12.0099</v>
      </c>
      <c r="HG110">
        <v>4.9887</v>
      </c>
      <c r="HH110">
        <v>3.28848</v>
      </c>
      <c r="HI110">
        <v>851.5</v>
      </c>
      <c r="HJ110">
        <v>8474.9</v>
      </c>
      <c r="HK110">
        <v>5139.4</v>
      </c>
      <c r="HL110">
        <v>22.9</v>
      </c>
      <c r="HM110">
        <v>1.86751</v>
      </c>
      <c r="HN110">
        <v>1.86646</v>
      </c>
      <c r="HO110">
        <v>1.866</v>
      </c>
      <c r="HP110">
        <v>1.86586</v>
      </c>
      <c r="HQ110">
        <v>1.86771</v>
      </c>
      <c r="HR110">
        <v>1.87024</v>
      </c>
      <c r="HS110">
        <v>1.8689</v>
      </c>
      <c r="HT110">
        <v>1.87027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-1.519</v>
      </c>
      <c r="II110">
        <v>0.0067</v>
      </c>
      <c r="IJ110">
        <v>-0.4995723906072</v>
      </c>
      <c r="IK110">
        <v>-0.002077099775823331</v>
      </c>
      <c r="IL110">
        <v>4.593143279902166E-07</v>
      </c>
      <c r="IM110">
        <v>-1.865383991892071E-10</v>
      </c>
      <c r="IN110">
        <v>-0.07605349583632376</v>
      </c>
      <c r="IO110">
        <v>-0.01129461987421345</v>
      </c>
      <c r="IP110">
        <v>0.00116580895745559</v>
      </c>
      <c r="IQ110">
        <v>-1.679085872906199E-05</v>
      </c>
      <c r="IR110">
        <v>2</v>
      </c>
      <c r="IS110">
        <v>2290</v>
      </c>
      <c r="IT110">
        <v>0</v>
      </c>
      <c r="IU110">
        <v>32</v>
      </c>
      <c r="IV110">
        <v>7.6</v>
      </c>
      <c r="IW110">
        <v>7.2</v>
      </c>
      <c r="IX110">
        <v>1.40381</v>
      </c>
      <c r="IY110">
        <v>2.22778</v>
      </c>
      <c r="IZ110">
        <v>1.39648</v>
      </c>
      <c r="JA110">
        <v>2.3584</v>
      </c>
      <c r="JB110">
        <v>1.49536</v>
      </c>
      <c r="JC110">
        <v>2.32056</v>
      </c>
      <c r="JD110">
        <v>38.379</v>
      </c>
      <c r="JE110">
        <v>24.035</v>
      </c>
      <c r="JF110">
        <v>18</v>
      </c>
      <c r="JG110">
        <v>514.932</v>
      </c>
      <c r="JH110">
        <v>423.006</v>
      </c>
      <c r="JI110">
        <v>22.7334</v>
      </c>
      <c r="JJ110">
        <v>29.1285</v>
      </c>
      <c r="JK110">
        <v>30</v>
      </c>
      <c r="JL110">
        <v>29.1281</v>
      </c>
      <c r="JM110">
        <v>29.0662</v>
      </c>
      <c r="JN110">
        <v>28.1045</v>
      </c>
      <c r="JO110">
        <v>56.5973</v>
      </c>
      <c r="JP110">
        <v>0</v>
      </c>
      <c r="JQ110">
        <v>22.735</v>
      </c>
      <c r="JR110">
        <v>621.181</v>
      </c>
      <c r="JS110">
        <v>8.64406</v>
      </c>
      <c r="JT110">
        <v>100.296</v>
      </c>
      <c r="JU110">
        <v>100.209</v>
      </c>
    </row>
    <row r="111" spans="1:281">
      <c r="A111">
        <v>95</v>
      </c>
      <c r="B111">
        <v>1651857475.1</v>
      </c>
      <c r="C111">
        <v>474.5</v>
      </c>
      <c r="D111" t="s">
        <v>617</v>
      </c>
      <c r="E111" t="s">
        <v>618</v>
      </c>
      <c r="F111">
        <v>2</v>
      </c>
      <c r="G111" t="s">
        <v>413</v>
      </c>
      <c r="H111" t="s">
        <v>414</v>
      </c>
      <c r="I111">
        <v>1651857473.725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604.3941292282116</v>
      </c>
      <c r="AK111">
        <v>555.1750909090908</v>
      </c>
      <c r="AL111">
        <v>3.317721642962477</v>
      </c>
      <c r="AM111">
        <v>66.38384787954378</v>
      </c>
      <c r="AN111">
        <f>(AP111 - AO111 + DI111*1E3/(8.314*(DK111+273.15)) * AR111/DH111 * AQ111) * DH111/(100*CV111) * 1000/(1000 - AP111)</f>
        <v>0</v>
      </c>
      <c r="AO111">
        <v>8.638128180941063</v>
      </c>
      <c r="AP111">
        <v>18.4423555882353</v>
      </c>
      <c r="AQ111">
        <v>-4.200072329000447E-05</v>
      </c>
      <c r="AR111">
        <v>80.44866334591464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1238</v>
      </c>
      <c r="CA111">
        <v>300</v>
      </c>
      <c r="CB111">
        <v>300</v>
      </c>
      <c r="CC111">
        <v>300</v>
      </c>
      <c r="CD111">
        <v>10440.5</v>
      </c>
      <c r="CE111">
        <v>1411.69</v>
      </c>
      <c r="CF111">
        <v>-0.00735121</v>
      </c>
      <c r="CG111">
        <v>-0.77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1651857473.725</v>
      </c>
      <c r="DB111">
        <v>542.0952500000001</v>
      </c>
      <c r="DC111">
        <v>603.80875</v>
      </c>
      <c r="DD111">
        <v>18.4415</v>
      </c>
      <c r="DE111">
        <v>8.6379725</v>
      </c>
      <c r="DF111">
        <v>543.61825</v>
      </c>
      <c r="DG111">
        <v>18.43475</v>
      </c>
      <c r="DH111">
        <v>500.034</v>
      </c>
      <c r="DI111">
        <v>90.11865</v>
      </c>
      <c r="DJ111">
        <v>0.100038575</v>
      </c>
      <c r="DK111">
        <v>25.7656</v>
      </c>
      <c r="DL111">
        <v>24.991475</v>
      </c>
      <c r="DM111">
        <v>999.9</v>
      </c>
      <c r="DN111">
        <v>0</v>
      </c>
      <c r="DO111">
        <v>0</v>
      </c>
      <c r="DP111">
        <v>9975.9375</v>
      </c>
      <c r="DQ111">
        <v>0</v>
      </c>
      <c r="DR111">
        <v>3.20383</v>
      </c>
      <c r="DS111">
        <v>-61.713625</v>
      </c>
      <c r="DT111">
        <v>552.28025</v>
      </c>
      <c r="DU111">
        <v>609.0699999999999</v>
      </c>
      <c r="DV111">
        <v>9.803509999999999</v>
      </c>
      <c r="DW111">
        <v>603.80875</v>
      </c>
      <c r="DX111">
        <v>8.6379725</v>
      </c>
      <c r="DY111">
        <v>1.66192</v>
      </c>
      <c r="DZ111">
        <v>0.7784425000000001</v>
      </c>
      <c r="EA111">
        <v>14.54525</v>
      </c>
      <c r="EB111">
        <v>3.320155</v>
      </c>
      <c r="EC111">
        <v>1499.885</v>
      </c>
      <c r="ED111">
        <v>0.9730032500000001</v>
      </c>
      <c r="EE111">
        <v>0.02699715</v>
      </c>
      <c r="EF111">
        <v>0</v>
      </c>
      <c r="EG111">
        <v>1048.62</v>
      </c>
      <c r="EH111">
        <v>5.00097</v>
      </c>
      <c r="EI111">
        <v>15565.975</v>
      </c>
      <c r="EJ111">
        <v>12490.65</v>
      </c>
      <c r="EK111">
        <v>37.5</v>
      </c>
      <c r="EL111">
        <v>39</v>
      </c>
      <c r="EM111">
        <v>37.937</v>
      </c>
      <c r="EN111">
        <v>38.75</v>
      </c>
      <c r="EO111">
        <v>38.375</v>
      </c>
      <c r="EP111">
        <v>1454.525</v>
      </c>
      <c r="EQ111">
        <v>40.36</v>
      </c>
      <c r="ER111">
        <v>0</v>
      </c>
      <c r="ES111">
        <v>474</v>
      </c>
      <c r="ET111">
        <v>0</v>
      </c>
      <c r="EU111">
        <v>1046.8044</v>
      </c>
      <c r="EV111">
        <v>18.78538466149702</v>
      </c>
      <c r="EW111">
        <v>257.9846158136844</v>
      </c>
      <c r="EX111">
        <v>15543.556</v>
      </c>
      <c r="EY111">
        <v>15</v>
      </c>
      <c r="EZ111">
        <v>1651857041.1</v>
      </c>
      <c r="FA111" t="s">
        <v>419</v>
      </c>
      <c r="FB111">
        <v>1651857019.6</v>
      </c>
      <c r="FC111">
        <v>1651857041.1</v>
      </c>
      <c r="FD111">
        <v>1</v>
      </c>
      <c r="FE111">
        <v>0.545</v>
      </c>
      <c r="FF111">
        <v>-0.002</v>
      </c>
      <c r="FG111">
        <v>-1.271</v>
      </c>
      <c r="FH111">
        <v>-0.09</v>
      </c>
      <c r="FI111">
        <v>400</v>
      </c>
      <c r="FJ111">
        <v>10</v>
      </c>
      <c r="FK111">
        <v>0.1</v>
      </c>
      <c r="FL111">
        <v>0.02</v>
      </c>
      <c r="FM111">
        <v>-60.68943658536585</v>
      </c>
      <c r="FN111">
        <v>-7.911355400696833</v>
      </c>
      <c r="FO111">
        <v>0.7877516210496737</v>
      </c>
      <c r="FP111">
        <v>-1</v>
      </c>
      <c r="FQ111">
        <v>9.799274634146341</v>
      </c>
      <c r="FR111">
        <v>0.031087944250866</v>
      </c>
      <c r="FS111">
        <v>0.003203287257864113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432</v>
      </c>
      <c r="GB111">
        <v>2.98003</v>
      </c>
      <c r="GC111">
        <v>2.70601</v>
      </c>
      <c r="GD111">
        <v>0.113748</v>
      </c>
      <c r="GE111">
        <v>0.121187</v>
      </c>
      <c r="GF111">
        <v>0.0880933</v>
      </c>
      <c r="GG111">
        <v>0.0494825</v>
      </c>
      <c r="GH111">
        <v>27962.9</v>
      </c>
      <c r="GI111">
        <v>27788.7</v>
      </c>
      <c r="GJ111">
        <v>29340.8</v>
      </c>
      <c r="GK111">
        <v>29254.1</v>
      </c>
      <c r="GL111">
        <v>35432.2</v>
      </c>
      <c r="GM111">
        <v>37033.7</v>
      </c>
      <c r="GN111">
        <v>41301.7</v>
      </c>
      <c r="GO111">
        <v>41750.5</v>
      </c>
      <c r="GP111">
        <v>1.95537</v>
      </c>
      <c r="GQ111">
        <v>1.8348</v>
      </c>
      <c r="GR111">
        <v>-0.0343621</v>
      </c>
      <c r="GS111">
        <v>0</v>
      </c>
      <c r="GT111">
        <v>25.5581</v>
      </c>
      <c r="GU111">
        <v>999.9</v>
      </c>
      <c r="GV111">
        <v>38.7</v>
      </c>
      <c r="GW111">
        <v>33.9</v>
      </c>
      <c r="GX111">
        <v>22.8184</v>
      </c>
      <c r="GY111">
        <v>62.1476</v>
      </c>
      <c r="GZ111">
        <v>35.3365</v>
      </c>
      <c r="HA111">
        <v>1</v>
      </c>
      <c r="HB111">
        <v>0.138582</v>
      </c>
      <c r="HC111">
        <v>2.13099</v>
      </c>
      <c r="HD111">
        <v>20.32</v>
      </c>
      <c r="HE111">
        <v>5.21714</v>
      </c>
      <c r="HF111">
        <v>12.0099</v>
      </c>
      <c r="HG111">
        <v>4.9888</v>
      </c>
      <c r="HH111">
        <v>3.28848</v>
      </c>
      <c r="HI111">
        <v>851.5</v>
      </c>
      <c r="HJ111">
        <v>8474.9</v>
      </c>
      <c r="HK111">
        <v>5139.4</v>
      </c>
      <c r="HL111">
        <v>22.9</v>
      </c>
      <c r="HM111">
        <v>1.8675</v>
      </c>
      <c r="HN111">
        <v>1.86646</v>
      </c>
      <c r="HO111">
        <v>1.866</v>
      </c>
      <c r="HP111">
        <v>1.86585</v>
      </c>
      <c r="HQ111">
        <v>1.86769</v>
      </c>
      <c r="HR111">
        <v>1.87023</v>
      </c>
      <c r="HS111">
        <v>1.8689</v>
      </c>
      <c r="HT111">
        <v>1.87027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-1.531</v>
      </c>
      <c r="II111">
        <v>0.0068</v>
      </c>
      <c r="IJ111">
        <v>-0.4995723906072</v>
      </c>
      <c r="IK111">
        <v>-0.002077099775823331</v>
      </c>
      <c r="IL111">
        <v>4.593143279902166E-07</v>
      </c>
      <c r="IM111">
        <v>-1.865383991892071E-10</v>
      </c>
      <c r="IN111">
        <v>-0.07605349583632376</v>
      </c>
      <c r="IO111">
        <v>-0.01129461987421345</v>
      </c>
      <c r="IP111">
        <v>0.00116580895745559</v>
      </c>
      <c r="IQ111">
        <v>-1.679085872906199E-05</v>
      </c>
      <c r="IR111">
        <v>2</v>
      </c>
      <c r="IS111">
        <v>2290</v>
      </c>
      <c r="IT111">
        <v>0</v>
      </c>
      <c r="IU111">
        <v>32</v>
      </c>
      <c r="IV111">
        <v>7.6</v>
      </c>
      <c r="IW111">
        <v>7.2</v>
      </c>
      <c r="IX111">
        <v>1.41602</v>
      </c>
      <c r="IY111">
        <v>2.22412</v>
      </c>
      <c r="IZ111">
        <v>1.39648</v>
      </c>
      <c r="JA111">
        <v>2.35962</v>
      </c>
      <c r="JB111">
        <v>1.49536</v>
      </c>
      <c r="JC111">
        <v>2.36084</v>
      </c>
      <c r="JD111">
        <v>38.379</v>
      </c>
      <c r="JE111">
        <v>24.0437</v>
      </c>
      <c r="JF111">
        <v>18</v>
      </c>
      <c r="JG111">
        <v>515.172</v>
      </c>
      <c r="JH111">
        <v>423.274</v>
      </c>
      <c r="JI111">
        <v>22.7342</v>
      </c>
      <c r="JJ111">
        <v>29.1285</v>
      </c>
      <c r="JK111">
        <v>30</v>
      </c>
      <c r="JL111">
        <v>29.1273</v>
      </c>
      <c r="JM111">
        <v>29.0662</v>
      </c>
      <c r="JN111">
        <v>28.3544</v>
      </c>
      <c r="JO111">
        <v>56.5973</v>
      </c>
      <c r="JP111">
        <v>0</v>
      </c>
      <c r="JQ111">
        <v>22.735</v>
      </c>
      <c r="JR111">
        <v>627.862</v>
      </c>
      <c r="JS111">
        <v>8.64263</v>
      </c>
      <c r="JT111">
        <v>100.298</v>
      </c>
      <c r="JU111">
        <v>100.208</v>
      </c>
    </row>
    <row r="112" spans="1:281">
      <c r="A112">
        <v>96</v>
      </c>
      <c r="B112">
        <v>1651857477.1</v>
      </c>
      <c r="C112">
        <v>476.5</v>
      </c>
      <c r="D112" t="s">
        <v>619</v>
      </c>
      <c r="E112" t="s">
        <v>620</v>
      </c>
      <c r="F112">
        <v>2</v>
      </c>
      <c r="G112" t="s">
        <v>413</v>
      </c>
      <c r="H112" t="s">
        <v>414</v>
      </c>
      <c r="I112">
        <v>1651857476.1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611.0996484549494</v>
      </c>
      <c r="AK112">
        <v>561.8138363636366</v>
      </c>
      <c r="AL112">
        <v>3.317024391228621</v>
      </c>
      <c r="AM112">
        <v>66.38384787954378</v>
      </c>
      <c r="AN112">
        <f>(AP112 - AO112 + DI112*1E3/(8.314*(DK112+273.15)) * AR112/DH112 * AQ112) * DH112/(100*CV112) * 1000/(1000 - AP112)</f>
        <v>0</v>
      </c>
      <c r="AO112">
        <v>8.638019367439938</v>
      </c>
      <c r="AP112">
        <v>18.44225852941177</v>
      </c>
      <c r="AQ112">
        <v>1.051942003445727E-05</v>
      </c>
      <c r="AR112">
        <v>80.44866334591464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1238</v>
      </c>
      <c r="CA112">
        <v>300</v>
      </c>
      <c r="CB112">
        <v>300</v>
      </c>
      <c r="CC112">
        <v>300</v>
      </c>
      <c r="CD112">
        <v>10440.5</v>
      </c>
      <c r="CE112">
        <v>1411.69</v>
      </c>
      <c r="CF112">
        <v>-0.00735121</v>
      </c>
      <c r="CG112">
        <v>-0.77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1651857476.1</v>
      </c>
      <c r="DB112">
        <v>549.8266666666667</v>
      </c>
      <c r="DC112">
        <v>611.784</v>
      </c>
      <c r="DD112">
        <v>18.44173333333334</v>
      </c>
      <c r="DE112">
        <v>8.637009999999998</v>
      </c>
      <c r="DF112">
        <v>551.3626666666668</v>
      </c>
      <c r="DG112">
        <v>18.43496666666667</v>
      </c>
      <c r="DH112">
        <v>500.0693333333333</v>
      </c>
      <c r="DI112">
        <v>90.11486666666667</v>
      </c>
      <c r="DJ112">
        <v>0.09987839999999999</v>
      </c>
      <c r="DK112">
        <v>25.76766666666667</v>
      </c>
      <c r="DL112">
        <v>24.99713333333333</v>
      </c>
      <c r="DM112">
        <v>999.9</v>
      </c>
      <c r="DN112">
        <v>0</v>
      </c>
      <c r="DO112">
        <v>0</v>
      </c>
      <c r="DP112">
        <v>10010</v>
      </c>
      <c r="DQ112">
        <v>0</v>
      </c>
      <c r="DR112">
        <v>3.20383</v>
      </c>
      <c r="DS112">
        <v>-61.95766666666666</v>
      </c>
      <c r="DT112">
        <v>560.1566666666666</v>
      </c>
      <c r="DU112">
        <v>617.1143333333333</v>
      </c>
      <c r="DV112">
        <v>9.804713333333334</v>
      </c>
      <c r="DW112">
        <v>611.784</v>
      </c>
      <c r="DX112">
        <v>8.637009999999998</v>
      </c>
      <c r="DY112">
        <v>1.66187</v>
      </c>
      <c r="DZ112">
        <v>0.7783226666666666</v>
      </c>
      <c r="EA112">
        <v>14.5448</v>
      </c>
      <c r="EB112">
        <v>3.317983333333333</v>
      </c>
      <c r="EC112">
        <v>1499.906666666667</v>
      </c>
      <c r="ED112">
        <v>0.9730036666666667</v>
      </c>
      <c r="EE112">
        <v>0.0269967</v>
      </c>
      <c r="EF112">
        <v>0</v>
      </c>
      <c r="EG112">
        <v>1049.1</v>
      </c>
      <c r="EH112">
        <v>5.00097</v>
      </c>
      <c r="EI112">
        <v>15572.9</v>
      </c>
      <c r="EJ112">
        <v>12490.83333333333</v>
      </c>
      <c r="EK112">
        <v>37.5</v>
      </c>
      <c r="EL112">
        <v>39</v>
      </c>
      <c r="EM112">
        <v>37.875</v>
      </c>
      <c r="EN112">
        <v>38.75</v>
      </c>
      <c r="EO112">
        <v>38.375</v>
      </c>
      <c r="EP112">
        <v>1454.546666666667</v>
      </c>
      <c r="EQ112">
        <v>40.36</v>
      </c>
      <c r="ER112">
        <v>0</v>
      </c>
      <c r="ES112">
        <v>475.8000001907349</v>
      </c>
      <c r="ET112">
        <v>0</v>
      </c>
      <c r="EU112">
        <v>1047.223846153846</v>
      </c>
      <c r="EV112">
        <v>17.5767521442097</v>
      </c>
      <c r="EW112">
        <v>235.3367520887905</v>
      </c>
      <c r="EX112">
        <v>15549.61538461538</v>
      </c>
      <c r="EY112">
        <v>15</v>
      </c>
      <c r="EZ112">
        <v>1651857041.1</v>
      </c>
      <c r="FA112" t="s">
        <v>419</v>
      </c>
      <c r="FB112">
        <v>1651857019.6</v>
      </c>
      <c r="FC112">
        <v>1651857041.1</v>
      </c>
      <c r="FD112">
        <v>1</v>
      </c>
      <c r="FE112">
        <v>0.545</v>
      </c>
      <c r="FF112">
        <v>-0.002</v>
      </c>
      <c r="FG112">
        <v>-1.271</v>
      </c>
      <c r="FH112">
        <v>-0.09</v>
      </c>
      <c r="FI112">
        <v>400</v>
      </c>
      <c r="FJ112">
        <v>10</v>
      </c>
      <c r="FK112">
        <v>0.1</v>
      </c>
      <c r="FL112">
        <v>0.02</v>
      </c>
      <c r="FM112">
        <v>-60.8203268292683</v>
      </c>
      <c r="FN112">
        <v>-7.502596515679427</v>
      </c>
      <c r="FO112">
        <v>0.7470638559654362</v>
      </c>
      <c r="FP112">
        <v>-1</v>
      </c>
      <c r="FQ112">
        <v>9.799707317073171</v>
      </c>
      <c r="FR112">
        <v>0.03220996515681558</v>
      </c>
      <c r="FS112">
        <v>0.003287984054609567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432</v>
      </c>
      <c r="GB112">
        <v>2.98006</v>
      </c>
      <c r="GC112">
        <v>2.70619</v>
      </c>
      <c r="GD112">
        <v>0.114712</v>
      </c>
      <c r="GE112">
        <v>0.122126</v>
      </c>
      <c r="GF112">
        <v>0.0880827</v>
      </c>
      <c r="GG112">
        <v>0.0494732</v>
      </c>
      <c r="GH112">
        <v>27932.6</v>
      </c>
      <c r="GI112">
        <v>27758.8</v>
      </c>
      <c r="GJ112">
        <v>29340.9</v>
      </c>
      <c r="GK112">
        <v>29253.9</v>
      </c>
      <c r="GL112">
        <v>35432.9</v>
      </c>
      <c r="GM112">
        <v>37033.9</v>
      </c>
      <c r="GN112">
        <v>41302</v>
      </c>
      <c r="GO112">
        <v>41750.2</v>
      </c>
      <c r="GP112">
        <v>1.95585</v>
      </c>
      <c r="GQ112">
        <v>1.83503</v>
      </c>
      <c r="GR112">
        <v>-0.0341907</v>
      </c>
      <c r="GS112">
        <v>0</v>
      </c>
      <c r="GT112">
        <v>25.5571</v>
      </c>
      <c r="GU112">
        <v>999.9</v>
      </c>
      <c r="GV112">
        <v>38.7</v>
      </c>
      <c r="GW112">
        <v>33.9</v>
      </c>
      <c r="GX112">
        <v>22.8221</v>
      </c>
      <c r="GY112">
        <v>62.6076</v>
      </c>
      <c r="GZ112">
        <v>35.3045</v>
      </c>
      <c r="HA112">
        <v>1</v>
      </c>
      <c r="HB112">
        <v>0.138559</v>
      </c>
      <c r="HC112">
        <v>2.128</v>
      </c>
      <c r="HD112">
        <v>20.3199</v>
      </c>
      <c r="HE112">
        <v>5.21759</v>
      </c>
      <c r="HF112">
        <v>12.0099</v>
      </c>
      <c r="HG112">
        <v>4.98895</v>
      </c>
      <c r="HH112">
        <v>3.28858</v>
      </c>
      <c r="HI112">
        <v>851.8</v>
      </c>
      <c r="HJ112">
        <v>8477.200000000001</v>
      </c>
      <c r="HK112">
        <v>5139.4</v>
      </c>
      <c r="HL112">
        <v>22.9</v>
      </c>
      <c r="HM112">
        <v>1.8675</v>
      </c>
      <c r="HN112">
        <v>1.86646</v>
      </c>
      <c r="HO112">
        <v>1.866</v>
      </c>
      <c r="HP112">
        <v>1.86584</v>
      </c>
      <c r="HQ112">
        <v>1.8677</v>
      </c>
      <c r="HR112">
        <v>1.87024</v>
      </c>
      <c r="HS112">
        <v>1.8689</v>
      </c>
      <c r="HT112">
        <v>1.87027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-1.542</v>
      </c>
      <c r="II112">
        <v>0.0067</v>
      </c>
      <c r="IJ112">
        <v>-0.4995723906072</v>
      </c>
      <c r="IK112">
        <v>-0.002077099775823331</v>
      </c>
      <c r="IL112">
        <v>4.593143279902166E-07</v>
      </c>
      <c r="IM112">
        <v>-1.865383991892071E-10</v>
      </c>
      <c r="IN112">
        <v>-0.07605349583632376</v>
      </c>
      <c r="IO112">
        <v>-0.01129461987421345</v>
      </c>
      <c r="IP112">
        <v>0.00116580895745559</v>
      </c>
      <c r="IQ112">
        <v>-1.679085872906199E-05</v>
      </c>
      <c r="IR112">
        <v>2</v>
      </c>
      <c r="IS112">
        <v>2290</v>
      </c>
      <c r="IT112">
        <v>0</v>
      </c>
      <c r="IU112">
        <v>32</v>
      </c>
      <c r="IV112">
        <v>7.6</v>
      </c>
      <c r="IW112">
        <v>7.3</v>
      </c>
      <c r="IX112">
        <v>1.42822</v>
      </c>
      <c r="IY112">
        <v>2.229</v>
      </c>
      <c r="IZ112">
        <v>1.39648</v>
      </c>
      <c r="JA112">
        <v>2.35962</v>
      </c>
      <c r="JB112">
        <v>1.49536</v>
      </c>
      <c r="JC112">
        <v>2.28027</v>
      </c>
      <c r="JD112">
        <v>38.379</v>
      </c>
      <c r="JE112">
        <v>24.035</v>
      </c>
      <c r="JF112">
        <v>18</v>
      </c>
      <c r="JG112">
        <v>515.485</v>
      </c>
      <c r="JH112">
        <v>423.402</v>
      </c>
      <c r="JI112">
        <v>22.7349</v>
      </c>
      <c r="JJ112">
        <v>29.1275</v>
      </c>
      <c r="JK112">
        <v>30</v>
      </c>
      <c r="JL112">
        <v>29.1273</v>
      </c>
      <c r="JM112">
        <v>29.0653</v>
      </c>
      <c r="JN112">
        <v>28.5953</v>
      </c>
      <c r="JO112">
        <v>56.5973</v>
      </c>
      <c r="JP112">
        <v>0</v>
      </c>
      <c r="JQ112">
        <v>22.735</v>
      </c>
      <c r="JR112">
        <v>634.5410000000001</v>
      </c>
      <c r="JS112">
        <v>8.64255</v>
      </c>
      <c r="JT112">
        <v>100.298</v>
      </c>
      <c r="JU112">
        <v>100.208</v>
      </c>
    </row>
    <row r="113" spans="1:281">
      <c r="A113">
        <v>97</v>
      </c>
      <c r="B113">
        <v>1651857479.1</v>
      </c>
      <c r="C113">
        <v>478.5</v>
      </c>
      <c r="D113" t="s">
        <v>621</v>
      </c>
      <c r="E113" t="s">
        <v>622</v>
      </c>
      <c r="F113">
        <v>2</v>
      </c>
      <c r="G113" t="s">
        <v>413</v>
      </c>
      <c r="H113" t="s">
        <v>414</v>
      </c>
      <c r="I113">
        <v>1651857477.725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617.8948582689054</v>
      </c>
      <c r="AK113">
        <v>568.5653575757575</v>
      </c>
      <c r="AL113">
        <v>3.355876255318541</v>
      </c>
      <c r="AM113">
        <v>66.38384787954378</v>
      </c>
      <c r="AN113">
        <f>(AP113 - AO113 + DI113*1E3/(8.314*(DK113+273.15)) * AR113/DH113 * AQ113) * DH113/(100*CV113) * 1000/(1000 - AP113)</f>
        <v>0</v>
      </c>
      <c r="AO113">
        <v>8.637695990058823</v>
      </c>
      <c r="AP113">
        <v>18.43851647058823</v>
      </c>
      <c r="AQ113">
        <v>6.014326936297779E-05</v>
      </c>
      <c r="AR113">
        <v>80.44866334591464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1238</v>
      </c>
      <c r="CA113">
        <v>300</v>
      </c>
      <c r="CB113">
        <v>300</v>
      </c>
      <c r="CC113">
        <v>300</v>
      </c>
      <c r="CD113">
        <v>10440.5</v>
      </c>
      <c r="CE113">
        <v>1411.69</v>
      </c>
      <c r="CF113">
        <v>-0.00735121</v>
      </c>
      <c r="CG113">
        <v>-0.77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1651857477.725</v>
      </c>
      <c r="DB113">
        <v>555.17575</v>
      </c>
      <c r="DC113">
        <v>617.39525</v>
      </c>
      <c r="DD113">
        <v>18.439925</v>
      </c>
      <c r="DE113">
        <v>8.636340000000001</v>
      </c>
      <c r="DF113">
        <v>556.7215</v>
      </c>
      <c r="DG113">
        <v>18.4332</v>
      </c>
      <c r="DH113">
        <v>500.0595</v>
      </c>
      <c r="DI113">
        <v>90.109775</v>
      </c>
      <c r="DJ113">
        <v>0.10012475</v>
      </c>
      <c r="DK113">
        <v>25.7657</v>
      </c>
      <c r="DL113">
        <v>24.996075</v>
      </c>
      <c r="DM113">
        <v>999.9</v>
      </c>
      <c r="DN113">
        <v>0</v>
      </c>
      <c r="DO113">
        <v>0</v>
      </c>
      <c r="DP113">
        <v>9988.125</v>
      </c>
      <c r="DQ113">
        <v>0</v>
      </c>
      <c r="DR113">
        <v>3.20383</v>
      </c>
      <c r="DS113">
        <v>-62.21957500000001</v>
      </c>
      <c r="DT113">
        <v>565.6057499999999</v>
      </c>
      <c r="DU113">
        <v>622.7737500000001</v>
      </c>
      <c r="DV113">
        <v>9.80358</v>
      </c>
      <c r="DW113">
        <v>617.39525</v>
      </c>
      <c r="DX113">
        <v>8.636340000000001</v>
      </c>
      <c r="DY113">
        <v>1.6616175</v>
      </c>
      <c r="DZ113">
        <v>0.7782185</v>
      </c>
      <c r="EA113">
        <v>14.542425</v>
      </c>
      <c r="EB113">
        <v>3.316085</v>
      </c>
      <c r="EC113">
        <v>1499.9625</v>
      </c>
      <c r="ED113">
        <v>0.9730045</v>
      </c>
      <c r="EE113">
        <v>0.0269958</v>
      </c>
      <c r="EF113">
        <v>0</v>
      </c>
      <c r="EG113">
        <v>1049.105</v>
      </c>
      <c r="EH113">
        <v>5.00097</v>
      </c>
      <c r="EI113">
        <v>15577.325</v>
      </c>
      <c r="EJ113">
        <v>12491.275</v>
      </c>
      <c r="EK113">
        <v>37.5</v>
      </c>
      <c r="EL113">
        <v>39</v>
      </c>
      <c r="EM113">
        <v>37.906</v>
      </c>
      <c r="EN113">
        <v>38.75</v>
      </c>
      <c r="EO113">
        <v>38.375</v>
      </c>
      <c r="EP113">
        <v>1454.6025</v>
      </c>
      <c r="EQ113">
        <v>40.36</v>
      </c>
      <c r="ER113">
        <v>0</v>
      </c>
      <c r="ES113">
        <v>478.2000000476837</v>
      </c>
      <c r="ET113">
        <v>0</v>
      </c>
      <c r="EU113">
        <v>1047.826923076923</v>
      </c>
      <c r="EV113">
        <v>14.65162395867835</v>
      </c>
      <c r="EW113">
        <v>203.576068473747</v>
      </c>
      <c r="EX113">
        <v>15558.59230769231</v>
      </c>
      <c r="EY113">
        <v>15</v>
      </c>
      <c r="EZ113">
        <v>1651857041.1</v>
      </c>
      <c r="FA113" t="s">
        <v>419</v>
      </c>
      <c r="FB113">
        <v>1651857019.6</v>
      </c>
      <c r="FC113">
        <v>1651857041.1</v>
      </c>
      <c r="FD113">
        <v>1</v>
      </c>
      <c r="FE113">
        <v>0.545</v>
      </c>
      <c r="FF113">
        <v>-0.002</v>
      </c>
      <c r="FG113">
        <v>-1.271</v>
      </c>
      <c r="FH113">
        <v>-0.09</v>
      </c>
      <c r="FI113">
        <v>400</v>
      </c>
      <c r="FJ113">
        <v>10</v>
      </c>
      <c r="FK113">
        <v>0.1</v>
      </c>
      <c r="FL113">
        <v>0.02</v>
      </c>
      <c r="FM113">
        <v>-61.19614390243903</v>
      </c>
      <c r="FN113">
        <v>-6.799202090592401</v>
      </c>
      <c r="FO113">
        <v>0.674549519073531</v>
      </c>
      <c r="FP113">
        <v>-1</v>
      </c>
      <c r="FQ113">
        <v>9.801084146341463</v>
      </c>
      <c r="FR113">
        <v>0.02603414634146359</v>
      </c>
      <c r="FS113">
        <v>0.002756491208667636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432</v>
      </c>
      <c r="GB113">
        <v>2.97982</v>
      </c>
      <c r="GC113">
        <v>2.70614</v>
      </c>
      <c r="GD113">
        <v>0.115686</v>
      </c>
      <c r="GE113">
        <v>0.123087</v>
      </c>
      <c r="GF113">
        <v>0.08806890000000001</v>
      </c>
      <c r="GG113">
        <v>0.0494702</v>
      </c>
      <c r="GH113">
        <v>27902.3</v>
      </c>
      <c r="GI113">
        <v>27728.6</v>
      </c>
      <c r="GJ113">
        <v>29341.4</v>
      </c>
      <c r="GK113">
        <v>29254.1</v>
      </c>
      <c r="GL113">
        <v>35433.7</v>
      </c>
      <c r="GM113">
        <v>37034.3</v>
      </c>
      <c r="GN113">
        <v>41302.2</v>
      </c>
      <c r="GO113">
        <v>41750.6</v>
      </c>
      <c r="GP113">
        <v>1.95555</v>
      </c>
      <c r="GQ113">
        <v>1.8352</v>
      </c>
      <c r="GR113">
        <v>-0.0341721</v>
      </c>
      <c r="GS113">
        <v>0</v>
      </c>
      <c r="GT113">
        <v>25.5562</v>
      </c>
      <c r="GU113">
        <v>999.9</v>
      </c>
      <c r="GV113">
        <v>38.7</v>
      </c>
      <c r="GW113">
        <v>33.9</v>
      </c>
      <c r="GX113">
        <v>22.8211</v>
      </c>
      <c r="GY113">
        <v>62.3776</v>
      </c>
      <c r="GZ113">
        <v>35.5729</v>
      </c>
      <c r="HA113">
        <v>1</v>
      </c>
      <c r="HB113">
        <v>0.138493</v>
      </c>
      <c r="HC113">
        <v>2.12662</v>
      </c>
      <c r="HD113">
        <v>20.3199</v>
      </c>
      <c r="HE113">
        <v>5.21759</v>
      </c>
      <c r="HF113">
        <v>12.0099</v>
      </c>
      <c r="HG113">
        <v>4.9889</v>
      </c>
      <c r="HH113">
        <v>3.28858</v>
      </c>
      <c r="HI113">
        <v>851.8</v>
      </c>
      <c r="HJ113">
        <v>8477.200000000001</v>
      </c>
      <c r="HK113">
        <v>5139.4</v>
      </c>
      <c r="HL113">
        <v>22.9</v>
      </c>
      <c r="HM113">
        <v>1.86752</v>
      </c>
      <c r="HN113">
        <v>1.86646</v>
      </c>
      <c r="HO113">
        <v>1.866</v>
      </c>
      <c r="HP113">
        <v>1.86584</v>
      </c>
      <c r="HQ113">
        <v>1.86771</v>
      </c>
      <c r="HR113">
        <v>1.87026</v>
      </c>
      <c r="HS113">
        <v>1.8689</v>
      </c>
      <c r="HT113">
        <v>1.87027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-1.554</v>
      </c>
      <c r="II113">
        <v>0.0067</v>
      </c>
      <c r="IJ113">
        <v>-0.4995723906072</v>
      </c>
      <c r="IK113">
        <v>-0.002077099775823331</v>
      </c>
      <c r="IL113">
        <v>4.593143279902166E-07</v>
      </c>
      <c r="IM113">
        <v>-1.865383991892071E-10</v>
      </c>
      <c r="IN113">
        <v>-0.07605349583632376</v>
      </c>
      <c r="IO113">
        <v>-0.01129461987421345</v>
      </c>
      <c r="IP113">
        <v>0.00116580895745559</v>
      </c>
      <c r="IQ113">
        <v>-1.679085872906199E-05</v>
      </c>
      <c r="IR113">
        <v>2</v>
      </c>
      <c r="IS113">
        <v>2290</v>
      </c>
      <c r="IT113">
        <v>0</v>
      </c>
      <c r="IU113">
        <v>32</v>
      </c>
      <c r="IV113">
        <v>7.7</v>
      </c>
      <c r="IW113">
        <v>7.3</v>
      </c>
      <c r="IX113">
        <v>1.44043</v>
      </c>
      <c r="IY113">
        <v>2.22656</v>
      </c>
      <c r="IZ113">
        <v>1.39648</v>
      </c>
      <c r="JA113">
        <v>2.35962</v>
      </c>
      <c r="JB113">
        <v>1.49536</v>
      </c>
      <c r="JC113">
        <v>2.35474</v>
      </c>
      <c r="JD113">
        <v>38.379</v>
      </c>
      <c r="JE113">
        <v>24.0437</v>
      </c>
      <c r="JF113">
        <v>18</v>
      </c>
      <c r="JG113">
        <v>515.284</v>
      </c>
      <c r="JH113">
        <v>423.497</v>
      </c>
      <c r="JI113">
        <v>22.7355</v>
      </c>
      <c r="JJ113">
        <v>29.1263</v>
      </c>
      <c r="JK113">
        <v>30</v>
      </c>
      <c r="JL113">
        <v>29.1269</v>
      </c>
      <c r="JM113">
        <v>29.064</v>
      </c>
      <c r="JN113">
        <v>28.8321</v>
      </c>
      <c r="JO113">
        <v>56.5973</v>
      </c>
      <c r="JP113">
        <v>0</v>
      </c>
      <c r="JQ113">
        <v>22.7388</v>
      </c>
      <c r="JR113">
        <v>641.221</v>
      </c>
      <c r="JS113">
        <v>8.64265</v>
      </c>
      <c r="JT113">
        <v>100.299</v>
      </c>
      <c r="JU113">
        <v>100.208</v>
      </c>
    </row>
    <row r="114" spans="1:281">
      <c r="A114">
        <v>98</v>
      </c>
      <c r="B114">
        <v>1651857481.1</v>
      </c>
      <c r="C114">
        <v>480.5</v>
      </c>
      <c r="D114" t="s">
        <v>623</v>
      </c>
      <c r="E114" t="s">
        <v>624</v>
      </c>
      <c r="F114">
        <v>2</v>
      </c>
      <c r="G114" t="s">
        <v>413</v>
      </c>
      <c r="H114" t="s">
        <v>414</v>
      </c>
      <c r="I114">
        <v>1651857480.1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624.9055682979467</v>
      </c>
      <c r="AK114">
        <v>575.361</v>
      </c>
      <c r="AL114">
        <v>3.391940317217609</v>
      </c>
      <c r="AM114">
        <v>66.38384787954378</v>
      </c>
      <c r="AN114">
        <f>(AP114 - AO114 + DI114*1E3/(8.314*(DK114+273.15)) * AR114/DH114 * AQ114) * DH114/(100*CV114) * 1000/(1000 - AP114)</f>
        <v>0</v>
      </c>
      <c r="AO114">
        <v>8.636701012239332</v>
      </c>
      <c r="AP114">
        <v>18.4368238235294</v>
      </c>
      <c r="AQ114">
        <v>-2.077363026051433E-06</v>
      </c>
      <c r="AR114">
        <v>80.44866334591464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1238</v>
      </c>
      <c r="CA114">
        <v>300</v>
      </c>
      <c r="CB114">
        <v>300</v>
      </c>
      <c r="CC114">
        <v>300</v>
      </c>
      <c r="CD114">
        <v>10440.5</v>
      </c>
      <c r="CE114">
        <v>1411.69</v>
      </c>
      <c r="CF114">
        <v>-0.00735121</v>
      </c>
      <c r="CG114">
        <v>-0.77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1651857480.1</v>
      </c>
      <c r="DB114">
        <v>563.08</v>
      </c>
      <c r="DC114">
        <v>625.596</v>
      </c>
      <c r="DD114">
        <v>18.43783333333333</v>
      </c>
      <c r="DE114">
        <v>8.636223333333334</v>
      </c>
      <c r="DF114">
        <v>564.6396666666667</v>
      </c>
      <c r="DG114">
        <v>18.43116666666667</v>
      </c>
      <c r="DH114">
        <v>500.0256666666667</v>
      </c>
      <c r="DI114">
        <v>90.1046</v>
      </c>
      <c r="DJ114">
        <v>0.1001833333333333</v>
      </c>
      <c r="DK114">
        <v>25.76403333333333</v>
      </c>
      <c r="DL114">
        <v>24.99983333333333</v>
      </c>
      <c r="DM114">
        <v>999.9</v>
      </c>
      <c r="DN114">
        <v>0</v>
      </c>
      <c r="DO114">
        <v>0</v>
      </c>
      <c r="DP114">
        <v>9968.126666666665</v>
      </c>
      <c r="DQ114">
        <v>0</v>
      </c>
      <c r="DR114">
        <v>3.20383</v>
      </c>
      <c r="DS114">
        <v>-62.5156</v>
      </c>
      <c r="DT114">
        <v>573.657</v>
      </c>
      <c r="DU114">
        <v>631.0456666666665</v>
      </c>
      <c r="DV114">
        <v>9.801623333333334</v>
      </c>
      <c r="DW114">
        <v>625.596</v>
      </c>
      <c r="DX114">
        <v>8.636223333333334</v>
      </c>
      <c r="DY114">
        <v>1.661336666666666</v>
      </c>
      <c r="DZ114">
        <v>0.7781633333333332</v>
      </c>
      <c r="EA114">
        <v>14.53976666666667</v>
      </c>
      <c r="EB114">
        <v>3.315083333333333</v>
      </c>
      <c r="EC114">
        <v>1500.103333333333</v>
      </c>
      <c r="ED114">
        <v>0.973007</v>
      </c>
      <c r="EE114">
        <v>0.0269931</v>
      </c>
      <c r="EF114">
        <v>0</v>
      </c>
      <c r="EG114">
        <v>1049.31</v>
      </c>
      <c r="EH114">
        <v>5.00097</v>
      </c>
      <c r="EI114">
        <v>15583.86666666667</v>
      </c>
      <c r="EJ114">
        <v>12492.5</v>
      </c>
      <c r="EK114">
        <v>37.5</v>
      </c>
      <c r="EL114">
        <v>39</v>
      </c>
      <c r="EM114">
        <v>37.875</v>
      </c>
      <c r="EN114">
        <v>38.75</v>
      </c>
      <c r="EO114">
        <v>38.375</v>
      </c>
      <c r="EP114">
        <v>1454.743333333333</v>
      </c>
      <c r="EQ114">
        <v>40.36</v>
      </c>
      <c r="ER114">
        <v>0</v>
      </c>
      <c r="ES114">
        <v>480</v>
      </c>
      <c r="ET114">
        <v>0</v>
      </c>
      <c r="EU114">
        <v>1048.33</v>
      </c>
      <c r="EV114">
        <v>11.84076926017807</v>
      </c>
      <c r="EW114">
        <v>178.0846156544737</v>
      </c>
      <c r="EX114">
        <v>15565.556</v>
      </c>
      <c r="EY114">
        <v>15</v>
      </c>
      <c r="EZ114">
        <v>1651857041.1</v>
      </c>
      <c r="FA114" t="s">
        <v>419</v>
      </c>
      <c r="FB114">
        <v>1651857019.6</v>
      </c>
      <c r="FC114">
        <v>1651857041.1</v>
      </c>
      <c r="FD114">
        <v>1</v>
      </c>
      <c r="FE114">
        <v>0.545</v>
      </c>
      <c r="FF114">
        <v>-0.002</v>
      </c>
      <c r="FG114">
        <v>-1.271</v>
      </c>
      <c r="FH114">
        <v>-0.09</v>
      </c>
      <c r="FI114">
        <v>400</v>
      </c>
      <c r="FJ114">
        <v>10</v>
      </c>
      <c r="FK114">
        <v>0.1</v>
      </c>
      <c r="FL114">
        <v>0.02</v>
      </c>
      <c r="FM114">
        <v>-61.31720243902438</v>
      </c>
      <c r="FN114">
        <v>-6.744225783972277</v>
      </c>
      <c r="FO114">
        <v>0.6687660455290682</v>
      </c>
      <c r="FP114">
        <v>-1</v>
      </c>
      <c r="FQ114">
        <v>9.801416341463414</v>
      </c>
      <c r="FR114">
        <v>0.02144466898955063</v>
      </c>
      <c r="FS114">
        <v>0.002407870991700119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432</v>
      </c>
      <c r="GB114">
        <v>2.97996</v>
      </c>
      <c r="GC114">
        <v>2.70601</v>
      </c>
      <c r="GD114">
        <v>0.116666</v>
      </c>
      <c r="GE114">
        <v>0.124014</v>
      </c>
      <c r="GF114">
        <v>0.0880669</v>
      </c>
      <c r="GG114">
        <v>0.0494695</v>
      </c>
      <c r="GH114">
        <v>27871.6</v>
      </c>
      <c r="GI114">
        <v>27699.5</v>
      </c>
      <c r="GJ114">
        <v>29341.7</v>
      </c>
      <c r="GK114">
        <v>29254.3</v>
      </c>
      <c r="GL114">
        <v>35434.2</v>
      </c>
      <c r="GM114">
        <v>37034.7</v>
      </c>
      <c r="GN114">
        <v>41302.7</v>
      </c>
      <c r="GO114">
        <v>41750.9</v>
      </c>
      <c r="GP114">
        <v>1.9553</v>
      </c>
      <c r="GQ114">
        <v>1.83505</v>
      </c>
      <c r="GR114">
        <v>-0.0335537</v>
      </c>
      <c r="GS114">
        <v>0</v>
      </c>
      <c r="GT114">
        <v>25.5562</v>
      </c>
      <c r="GU114">
        <v>999.9</v>
      </c>
      <c r="GV114">
        <v>38.7</v>
      </c>
      <c r="GW114">
        <v>33.9</v>
      </c>
      <c r="GX114">
        <v>22.8224</v>
      </c>
      <c r="GY114">
        <v>62.5676</v>
      </c>
      <c r="GZ114">
        <v>35.1603</v>
      </c>
      <c r="HA114">
        <v>1</v>
      </c>
      <c r="HB114">
        <v>0.138443</v>
      </c>
      <c r="HC114">
        <v>2.12138</v>
      </c>
      <c r="HD114">
        <v>20.3201</v>
      </c>
      <c r="HE114">
        <v>5.21759</v>
      </c>
      <c r="HF114">
        <v>12.0099</v>
      </c>
      <c r="HG114">
        <v>4.9889</v>
      </c>
      <c r="HH114">
        <v>3.28858</v>
      </c>
      <c r="HI114">
        <v>851.8</v>
      </c>
      <c r="HJ114">
        <v>8477.200000000001</v>
      </c>
      <c r="HK114">
        <v>5139.4</v>
      </c>
      <c r="HL114">
        <v>22.9</v>
      </c>
      <c r="HM114">
        <v>1.86752</v>
      </c>
      <c r="HN114">
        <v>1.86646</v>
      </c>
      <c r="HO114">
        <v>1.866</v>
      </c>
      <c r="HP114">
        <v>1.86584</v>
      </c>
      <c r="HQ114">
        <v>1.8677</v>
      </c>
      <c r="HR114">
        <v>1.87026</v>
      </c>
      <c r="HS114">
        <v>1.8689</v>
      </c>
      <c r="HT114">
        <v>1.87026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-1.565</v>
      </c>
      <c r="II114">
        <v>0.0066</v>
      </c>
      <c r="IJ114">
        <v>-0.4995723906072</v>
      </c>
      <c r="IK114">
        <v>-0.002077099775823331</v>
      </c>
      <c r="IL114">
        <v>4.593143279902166E-07</v>
      </c>
      <c r="IM114">
        <v>-1.865383991892071E-10</v>
      </c>
      <c r="IN114">
        <v>-0.07605349583632376</v>
      </c>
      <c r="IO114">
        <v>-0.01129461987421345</v>
      </c>
      <c r="IP114">
        <v>0.00116580895745559</v>
      </c>
      <c r="IQ114">
        <v>-1.679085872906199E-05</v>
      </c>
      <c r="IR114">
        <v>2</v>
      </c>
      <c r="IS114">
        <v>2290</v>
      </c>
      <c r="IT114">
        <v>0</v>
      </c>
      <c r="IU114">
        <v>32</v>
      </c>
      <c r="IV114">
        <v>7.7</v>
      </c>
      <c r="IW114">
        <v>7.3</v>
      </c>
      <c r="IX114">
        <v>1.45264</v>
      </c>
      <c r="IY114">
        <v>2.2229</v>
      </c>
      <c r="IZ114">
        <v>1.39648</v>
      </c>
      <c r="JA114">
        <v>2.35962</v>
      </c>
      <c r="JB114">
        <v>1.49536</v>
      </c>
      <c r="JC114">
        <v>2.30835</v>
      </c>
      <c r="JD114">
        <v>38.4034</v>
      </c>
      <c r="JE114">
        <v>24.0437</v>
      </c>
      <c r="JF114">
        <v>18</v>
      </c>
      <c r="JG114">
        <v>515.109</v>
      </c>
      <c r="JH114">
        <v>423.405</v>
      </c>
      <c r="JI114">
        <v>22.7367</v>
      </c>
      <c r="JJ114">
        <v>29.1261</v>
      </c>
      <c r="JK114">
        <v>29.9999</v>
      </c>
      <c r="JL114">
        <v>29.1256</v>
      </c>
      <c r="JM114">
        <v>29.0637</v>
      </c>
      <c r="JN114">
        <v>29.0741</v>
      </c>
      <c r="JO114">
        <v>56.5973</v>
      </c>
      <c r="JP114">
        <v>0</v>
      </c>
      <c r="JQ114">
        <v>22.7388</v>
      </c>
      <c r="JR114">
        <v>647.902</v>
      </c>
      <c r="JS114">
        <v>8.64165</v>
      </c>
      <c r="JT114">
        <v>100.3</v>
      </c>
      <c r="JU114">
        <v>100.209</v>
      </c>
    </row>
    <row r="115" spans="1:281">
      <c r="A115">
        <v>99</v>
      </c>
      <c r="B115">
        <v>1651857483.1</v>
      </c>
      <c r="C115">
        <v>482.5</v>
      </c>
      <c r="D115" t="s">
        <v>625</v>
      </c>
      <c r="E115" t="s">
        <v>626</v>
      </c>
      <c r="F115">
        <v>2</v>
      </c>
      <c r="G115" t="s">
        <v>413</v>
      </c>
      <c r="H115" t="s">
        <v>414</v>
      </c>
      <c r="I115">
        <v>1651857481.725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631.8268854980818</v>
      </c>
      <c r="AK115">
        <v>582.0920787878789</v>
      </c>
      <c r="AL115">
        <v>3.377353701192834</v>
      </c>
      <c r="AM115">
        <v>66.38384787954378</v>
      </c>
      <c r="AN115">
        <f>(AP115 - AO115 + DI115*1E3/(8.314*(DK115+273.15)) * AR115/DH115 * AQ115) * DH115/(100*CV115) * 1000/(1000 - AP115)</f>
        <v>0</v>
      </c>
      <c r="AO115">
        <v>8.636289557359186</v>
      </c>
      <c r="AP115">
        <v>18.44262558823529</v>
      </c>
      <c r="AQ115">
        <v>-0.0001053625641407166</v>
      </c>
      <c r="AR115">
        <v>80.44866334591464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417</v>
      </c>
      <c r="AY115" t="s">
        <v>417</v>
      </c>
      <c r="AZ115">
        <v>0</v>
      </c>
      <c r="BA115">
        <v>0</v>
      </c>
      <c r="BB115">
        <f>1-AZ115/BA115</f>
        <v>0</v>
      </c>
      <c r="BC115">
        <v>0</v>
      </c>
      <c r="BD115" t="s">
        <v>417</v>
      </c>
      <c r="BE115" t="s">
        <v>417</v>
      </c>
      <c r="BF115">
        <v>0</v>
      </c>
      <c r="BG115">
        <v>0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1238</v>
      </c>
      <c r="CA115">
        <v>300</v>
      </c>
      <c r="CB115">
        <v>300</v>
      </c>
      <c r="CC115">
        <v>300</v>
      </c>
      <c r="CD115">
        <v>10440.5</v>
      </c>
      <c r="CE115">
        <v>1411.69</v>
      </c>
      <c r="CF115">
        <v>-0.00735121</v>
      </c>
      <c r="CG115">
        <v>-0.77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1651857481.725</v>
      </c>
      <c r="DB115">
        <v>568.4695</v>
      </c>
      <c r="DC115">
        <v>630.9475</v>
      </c>
      <c r="DD115">
        <v>18.44085</v>
      </c>
      <c r="DE115">
        <v>8.635742499999999</v>
      </c>
      <c r="DF115">
        <v>570.0385</v>
      </c>
      <c r="DG115">
        <v>18.4341</v>
      </c>
      <c r="DH115">
        <v>500.02275</v>
      </c>
      <c r="DI115">
        <v>90.10350000000001</v>
      </c>
      <c r="DJ115">
        <v>0.0999459</v>
      </c>
      <c r="DK115">
        <v>25.764875</v>
      </c>
      <c r="DL115">
        <v>25.0052</v>
      </c>
      <c r="DM115">
        <v>999.9</v>
      </c>
      <c r="DN115">
        <v>0</v>
      </c>
      <c r="DO115">
        <v>0</v>
      </c>
      <c r="DP115">
        <v>9990</v>
      </c>
      <c r="DQ115">
        <v>0</v>
      </c>
      <c r="DR115">
        <v>3.20383</v>
      </c>
      <c r="DS115">
        <v>-62.477675</v>
      </c>
      <c r="DT115">
        <v>579.14975</v>
      </c>
      <c r="DU115">
        <v>636.4435</v>
      </c>
      <c r="DV115">
        <v>9.80509</v>
      </c>
      <c r="DW115">
        <v>630.9475</v>
      </c>
      <c r="DX115">
        <v>8.635742499999999</v>
      </c>
      <c r="DY115">
        <v>1.661585</v>
      </c>
      <c r="DZ115">
        <v>0.7781102500000001</v>
      </c>
      <c r="EA115">
        <v>14.5421</v>
      </c>
      <c r="EB115">
        <v>3.31412</v>
      </c>
      <c r="EC115">
        <v>1499.9675</v>
      </c>
      <c r="ED115">
        <v>0.9730045</v>
      </c>
      <c r="EE115">
        <v>0.0269958</v>
      </c>
      <c r="EF115">
        <v>0</v>
      </c>
      <c r="EG115">
        <v>1049.5775</v>
      </c>
      <c r="EH115">
        <v>5.00097</v>
      </c>
      <c r="EI115">
        <v>15584.35</v>
      </c>
      <c r="EJ115">
        <v>12491.325</v>
      </c>
      <c r="EK115">
        <v>37.5</v>
      </c>
      <c r="EL115">
        <v>39</v>
      </c>
      <c r="EM115">
        <v>37.8905</v>
      </c>
      <c r="EN115">
        <v>38.75</v>
      </c>
      <c r="EO115">
        <v>38.375</v>
      </c>
      <c r="EP115">
        <v>1454.6075</v>
      </c>
      <c r="EQ115">
        <v>40.36</v>
      </c>
      <c r="ER115">
        <v>0</v>
      </c>
      <c r="ES115">
        <v>481.8000001907349</v>
      </c>
      <c r="ET115">
        <v>0</v>
      </c>
      <c r="EU115">
        <v>1048.607692307692</v>
      </c>
      <c r="EV115">
        <v>10.08615384922225</v>
      </c>
      <c r="EW115">
        <v>159.357264858813</v>
      </c>
      <c r="EX115">
        <v>15569.46153846154</v>
      </c>
      <c r="EY115">
        <v>15</v>
      </c>
      <c r="EZ115">
        <v>1651857041.1</v>
      </c>
      <c r="FA115" t="s">
        <v>419</v>
      </c>
      <c r="FB115">
        <v>1651857019.6</v>
      </c>
      <c r="FC115">
        <v>1651857041.1</v>
      </c>
      <c r="FD115">
        <v>1</v>
      </c>
      <c r="FE115">
        <v>0.545</v>
      </c>
      <c r="FF115">
        <v>-0.002</v>
      </c>
      <c r="FG115">
        <v>-1.271</v>
      </c>
      <c r="FH115">
        <v>-0.09</v>
      </c>
      <c r="FI115">
        <v>400</v>
      </c>
      <c r="FJ115">
        <v>10</v>
      </c>
      <c r="FK115">
        <v>0.1</v>
      </c>
      <c r="FL115">
        <v>0.02</v>
      </c>
      <c r="FM115">
        <v>-61.64322682926829</v>
      </c>
      <c r="FN115">
        <v>-6.161500348432094</v>
      </c>
      <c r="FO115">
        <v>0.6129011069015674</v>
      </c>
      <c r="FP115">
        <v>-1</v>
      </c>
      <c r="FQ115">
        <v>9.802366341463415</v>
      </c>
      <c r="FR115">
        <v>0.0160728919860734</v>
      </c>
      <c r="FS115">
        <v>0.002148477346353112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432</v>
      </c>
      <c r="GB115">
        <v>2.9799</v>
      </c>
      <c r="GC115">
        <v>2.70604</v>
      </c>
      <c r="GD115">
        <v>0.117624</v>
      </c>
      <c r="GE115">
        <v>0.124897</v>
      </c>
      <c r="GF115">
        <v>0.0880881</v>
      </c>
      <c r="GG115">
        <v>0.0494641</v>
      </c>
      <c r="GH115">
        <v>27841.3</v>
      </c>
      <c r="GI115">
        <v>27671.5</v>
      </c>
      <c r="GJ115">
        <v>29341.6</v>
      </c>
      <c r="GK115">
        <v>29254.3</v>
      </c>
      <c r="GL115">
        <v>35433.5</v>
      </c>
      <c r="GM115">
        <v>37034.6</v>
      </c>
      <c r="GN115">
        <v>41302.9</v>
      </c>
      <c r="GO115">
        <v>41750.6</v>
      </c>
      <c r="GP115">
        <v>1.95538</v>
      </c>
      <c r="GQ115">
        <v>1.83515</v>
      </c>
      <c r="GR115">
        <v>-0.0336282</v>
      </c>
      <c r="GS115">
        <v>0</v>
      </c>
      <c r="GT115">
        <v>25.5554</v>
      </c>
      <c r="GU115">
        <v>999.9</v>
      </c>
      <c r="GV115">
        <v>38.7</v>
      </c>
      <c r="GW115">
        <v>33.9</v>
      </c>
      <c r="GX115">
        <v>22.8228</v>
      </c>
      <c r="GY115">
        <v>62.4576</v>
      </c>
      <c r="GZ115">
        <v>35.633</v>
      </c>
      <c r="HA115">
        <v>1</v>
      </c>
      <c r="HB115">
        <v>0.138432</v>
      </c>
      <c r="HC115">
        <v>2.12443</v>
      </c>
      <c r="HD115">
        <v>20.3202</v>
      </c>
      <c r="HE115">
        <v>5.21714</v>
      </c>
      <c r="HF115">
        <v>12.0099</v>
      </c>
      <c r="HG115">
        <v>4.98885</v>
      </c>
      <c r="HH115">
        <v>3.28855</v>
      </c>
      <c r="HI115">
        <v>851.8</v>
      </c>
      <c r="HJ115">
        <v>8477.200000000001</v>
      </c>
      <c r="HK115">
        <v>5139.4</v>
      </c>
      <c r="HL115">
        <v>22.9</v>
      </c>
      <c r="HM115">
        <v>1.86752</v>
      </c>
      <c r="HN115">
        <v>1.86647</v>
      </c>
      <c r="HO115">
        <v>1.866</v>
      </c>
      <c r="HP115">
        <v>1.86584</v>
      </c>
      <c r="HQ115">
        <v>1.86769</v>
      </c>
      <c r="HR115">
        <v>1.87026</v>
      </c>
      <c r="HS115">
        <v>1.8689</v>
      </c>
      <c r="HT115">
        <v>1.87026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-1.576</v>
      </c>
      <c r="II115">
        <v>0.0068</v>
      </c>
      <c r="IJ115">
        <v>-0.4995723906072</v>
      </c>
      <c r="IK115">
        <v>-0.002077099775823331</v>
      </c>
      <c r="IL115">
        <v>4.593143279902166E-07</v>
      </c>
      <c r="IM115">
        <v>-1.865383991892071E-10</v>
      </c>
      <c r="IN115">
        <v>-0.07605349583632376</v>
      </c>
      <c r="IO115">
        <v>-0.01129461987421345</v>
      </c>
      <c r="IP115">
        <v>0.00116580895745559</v>
      </c>
      <c r="IQ115">
        <v>-1.679085872906199E-05</v>
      </c>
      <c r="IR115">
        <v>2</v>
      </c>
      <c r="IS115">
        <v>2290</v>
      </c>
      <c r="IT115">
        <v>0</v>
      </c>
      <c r="IU115">
        <v>32</v>
      </c>
      <c r="IV115">
        <v>7.7</v>
      </c>
      <c r="IW115">
        <v>7.4</v>
      </c>
      <c r="IX115">
        <v>1.46484</v>
      </c>
      <c r="IY115">
        <v>2.22534</v>
      </c>
      <c r="IZ115">
        <v>1.39648</v>
      </c>
      <c r="JA115">
        <v>2.35962</v>
      </c>
      <c r="JB115">
        <v>1.49536</v>
      </c>
      <c r="JC115">
        <v>2.33154</v>
      </c>
      <c r="JD115">
        <v>38.4034</v>
      </c>
      <c r="JE115">
        <v>24.0437</v>
      </c>
      <c r="JF115">
        <v>18</v>
      </c>
      <c r="JG115">
        <v>515.151</v>
      </c>
      <c r="JH115">
        <v>423.464</v>
      </c>
      <c r="JI115">
        <v>22.7386</v>
      </c>
      <c r="JJ115">
        <v>29.1261</v>
      </c>
      <c r="JK115">
        <v>29.9999</v>
      </c>
      <c r="JL115">
        <v>29.1248</v>
      </c>
      <c r="JM115">
        <v>29.0637</v>
      </c>
      <c r="JN115">
        <v>29.3201</v>
      </c>
      <c r="JO115">
        <v>56.5973</v>
      </c>
      <c r="JP115">
        <v>0</v>
      </c>
      <c r="JQ115">
        <v>22.6538</v>
      </c>
      <c r="JR115">
        <v>654.582</v>
      </c>
      <c r="JS115">
        <v>8.631539999999999</v>
      </c>
      <c r="JT115">
        <v>100.3</v>
      </c>
      <c r="JU115">
        <v>100.209</v>
      </c>
    </row>
    <row r="116" spans="1:281">
      <c r="A116">
        <v>100</v>
      </c>
      <c r="B116">
        <v>1651857485.1</v>
      </c>
      <c r="C116">
        <v>484.5</v>
      </c>
      <c r="D116" t="s">
        <v>627</v>
      </c>
      <c r="E116" t="s">
        <v>628</v>
      </c>
      <c r="F116">
        <v>2</v>
      </c>
      <c r="G116" t="s">
        <v>413</v>
      </c>
      <c r="H116" t="s">
        <v>414</v>
      </c>
      <c r="I116">
        <v>1651857484.1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638.4163237324606</v>
      </c>
      <c r="AK116">
        <v>588.8062666666665</v>
      </c>
      <c r="AL116">
        <v>3.358264156833152</v>
      </c>
      <c r="AM116">
        <v>66.38384787954378</v>
      </c>
      <c r="AN116">
        <f>(AP116 - AO116 + DI116*1E3/(8.314*(DK116+273.15)) * AR116/DH116 * AQ116) * DH116/(100*CV116) * 1000/(1000 - AP116)</f>
        <v>0</v>
      </c>
      <c r="AO116">
        <v>8.636091897609155</v>
      </c>
      <c r="AP116">
        <v>18.44901970588235</v>
      </c>
      <c r="AQ116">
        <v>-4.30409340935226E-05</v>
      </c>
      <c r="AR116">
        <v>80.44866334591464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417</v>
      </c>
      <c r="AY116" t="s">
        <v>417</v>
      </c>
      <c r="AZ116">
        <v>0</v>
      </c>
      <c r="BA116">
        <v>0</v>
      </c>
      <c r="BB116">
        <f>1-AZ116/BA116</f>
        <v>0</v>
      </c>
      <c r="BC116">
        <v>0</v>
      </c>
      <c r="BD116" t="s">
        <v>417</v>
      </c>
      <c r="BE116" t="s">
        <v>417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1238</v>
      </c>
      <c r="CA116">
        <v>300</v>
      </c>
      <c r="CB116">
        <v>300</v>
      </c>
      <c r="CC116">
        <v>300</v>
      </c>
      <c r="CD116">
        <v>10440.5</v>
      </c>
      <c r="CE116">
        <v>1411.69</v>
      </c>
      <c r="CF116">
        <v>-0.00735121</v>
      </c>
      <c r="CG116">
        <v>-0.77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1651857484.1</v>
      </c>
      <c r="DB116">
        <v>576.3013333333333</v>
      </c>
      <c r="DC116">
        <v>638.6696666666667</v>
      </c>
      <c r="DD116">
        <v>18.44676666666667</v>
      </c>
      <c r="DE116">
        <v>8.635289999999999</v>
      </c>
      <c r="DF116">
        <v>577.884</v>
      </c>
      <c r="DG116">
        <v>18.43996666666667</v>
      </c>
      <c r="DH116">
        <v>500.049</v>
      </c>
      <c r="DI116">
        <v>90.10176666666666</v>
      </c>
      <c r="DJ116">
        <v>0.09986969999999999</v>
      </c>
      <c r="DK116">
        <v>25.76753333333333</v>
      </c>
      <c r="DL116">
        <v>25.0005</v>
      </c>
      <c r="DM116">
        <v>999.9</v>
      </c>
      <c r="DN116">
        <v>0</v>
      </c>
      <c r="DO116">
        <v>0</v>
      </c>
      <c r="DP116">
        <v>10001.43333333333</v>
      </c>
      <c r="DQ116">
        <v>0</v>
      </c>
      <c r="DR116">
        <v>3.20383</v>
      </c>
      <c r="DS116">
        <v>-62.36823333333334</v>
      </c>
      <c r="DT116">
        <v>587.1319999999999</v>
      </c>
      <c r="DU116">
        <v>644.2330000000001</v>
      </c>
      <c r="DV116">
        <v>9.811500000000001</v>
      </c>
      <c r="DW116">
        <v>638.6696666666667</v>
      </c>
      <c r="DX116">
        <v>8.635289999999999</v>
      </c>
      <c r="DY116">
        <v>1.66209</v>
      </c>
      <c r="DZ116">
        <v>0.7780546666666667</v>
      </c>
      <c r="EA116">
        <v>14.5468</v>
      </c>
      <c r="EB116">
        <v>3.31311</v>
      </c>
      <c r="EC116">
        <v>1500.113333333333</v>
      </c>
      <c r="ED116">
        <v>0.9730053333333334</v>
      </c>
      <c r="EE116">
        <v>0.0269949</v>
      </c>
      <c r="EF116">
        <v>0</v>
      </c>
      <c r="EG116">
        <v>1049.783333333334</v>
      </c>
      <c r="EH116">
        <v>5.00097</v>
      </c>
      <c r="EI116">
        <v>15589.3</v>
      </c>
      <c r="EJ116">
        <v>12492.56666666667</v>
      </c>
      <c r="EK116">
        <v>37.5</v>
      </c>
      <c r="EL116">
        <v>39</v>
      </c>
      <c r="EM116">
        <v>37.91633333333333</v>
      </c>
      <c r="EN116">
        <v>38.75</v>
      </c>
      <c r="EO116">
        <v>38.375</v>
      </c>
      <c r="EP116">
        <v>1454.75</v>
      </c>
      <c r="EQ116">
        <v>40.36333333333333</v>
      </c>
      <c r="ER116">
        <v>0</v>
      </c>
      <c r="ES116">
        <v>484.2000000476837</v>
      </c>
      <c r="ET116">
        <v>0</v>
      </c>
      <c r="EU116">
        <v>1049.004230769231</v>
      </c>
      <c r="EV116">
        <v>7.930598304485742</v>
      </c>
      <c r="EW116">
        <v>135.9179488212913</v>
      </c>
      <c r="EX116">
        <v>15575.35384615385</v>
      </c>
      <c r="EY116">
        <v>15</v>
      </c>
      <c r="EZ116">
        <v>1651857041.1</v>
      </c>
      <c r="FA116" t="s">
        <v>419</v>
      </c>
      <c r="FB116">
        <v>1651857019.6</v>
      </c>
      <c r="FC116">
        <v>1651857041.1</v>
      </c>
      <c r="FD116">
        <v>1</v>
      </c>
      <c r="FE116">
        <v>0.545</v>
      </c>
      <c r="FF116">
        <v>-0.002</v>
      </c>
      <c r="FG116">
        <v>-1.271</v>
      </c>
      <c r="FH116">
        <v>-0.09</v>
      </c>
      <c r="FI116">
        <v>400</v>
      </c>
      <c r="FJ116">
        <v>10</v>
      </c>
      <c r="FK116">
        <v>0.1</v>
      </c>
      <c r="FL116">
        <v>0.02</v>
      </c>
      <c r="FM116">
        <v>-61.73427073170731</v>
      </c>
      <c r="FN116">
        <v>-5.746005574912971</v>
      </c>
      <c r="FO116">
        <v>0.5758153215304549</v>
      </c>
      <c r="FP116">
        <v>-1</v>
      </c>
      <c r="FQ116">
        <v>9.802955853658537</v>
      </c>
      <c r="FR116">
        <v>0.01889979094076381</v>
      </c>
      <c r="FS116">
        <v>0.002564084941716963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432</v>
      </c>
      <c r="GB116">
        <v>2.97991</v>
      </c>
      <c r="GC116">
        <v>2.70611</v>
      </c>
      <c r="GD116">
        <v>0.118581</v>
      </c>
      <c r="GE116">
        <v>0.125796</v>
      </c>
      <c r="GF116">
        <v>0.0880937</v>
      </c>
      <c r="GG116">
        <v>0.0494629</v>
      </c>
      <c r="GH116">
        <v>27811.3</v>
      </c>
      <c r="GI116">
        <v>27643.1</v>
      </c>
      <c r="GJ116">
        <v>29341.8</v>
      </c>
      <c r="GK116">
        <v>29254.3</v>
      </c>
      <c r="GL116">
        <v>35433.4</v>
      </c>
      <c r="GM116">
        <v>37034.6</v>
      </c>
      <c r="GN116">
        <v>41303</v>
      </c>
      <c r="GO116">
        <v>41750.5</v>
      </c>
      <c r="GP116">
        <v>1.9553</v>
      </c>
      <c r="GQ116">
        <v>1.83508</v>
      </c>
      <c r="GR116">
        <v>-0.0339374</v>
      </c>
      <c r="GS116">
        <v>0</v>
      </c>
      <c r="GT116">
        <v>25.5544</v>
      </c>
      <c r="GU116">
        <v>999.9</v>
      </c>
      <c r="GV116">
        <v>38.7</v>
      </c>
      <c r="GW116">
        <v>33.9</v>
      </c>
      <c r="GX116">
        <v>22.8221</v>
      </c>
      <c r="GY116">
        <v>62.5876</v>
      </c>
      <c r="GZ116">
        <v>35.2364</v>
      </c>
      <c r="HA116">
        <v>1</v>
      </c>
      <c r="HB116">
        <v>0.138529</v>
      </c>
      <c r="HC116">
        <v>2.34788</v>
      </c>
      <c r="HD116">
        <v>20.3172</v>
      </c>
      <c r="HE116">
        <v>5.21699</v>
      </c>
      <c r="HF116">
        <v>12.0099</v>
      </c>
      <c r="HG116">
        <v>4.9887</v>
      </c>
      <c r="HH116">
        <v>3.28848</v>
      </c>
      <c r="HI116">
        <v>851.8</v>
      </c>
      <c r="HJ116">
        <v>8477.200000000001</v>
      </c>
      <c r="HK116">
        <v>5139.4</v>
      </c>
      <c r="HL116">
        <v>22.9</v>
      </c>
      <c r="HM116">
        <v>1.86752</v>
      </c>
      <c r="HN116">
        <v>1.86647</v>
      </c>
      <c r="HO116">
        <v>1.866</v>
      </c>
      <c r="HP116">
        <v>1.86584</v>
      </c>
      <c r="HQ116">
        <v>1.86771</v>
      </c>
      <c r="HR116">
        <v>1.87025</v>
      </c>
      <c r="HS116">
        <v>1.8689</v>
      </c>
      <c r="HT116">
        <v>1.87027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-1.588</v>
      </c>
      <c r="II116">
        <v>0.0068</v>
      </c>
      <c r="IJ116">
        <v>-0.4995723906072</v>
      </c>
      <c r="IK116">
        <v>-0.002077099775823331</v>
      </c>
      <c r="IL116">
        <v>4.593143279902166E-07</v>
      </c>
      <c r="IM116">
        <v>-1.865383991892071E-10</v>
      </c>
      <c r="IN116">
        <v>-0.07605349583632376</v>
      </c>
      <c r="IO116">
        <v>-0.01129461987421345</v>
      </c>
      <c r="IP116">
        <v>0.00116580895745559</v>
      </c>
      <c r="IQ116">
        <v>-1.679085872906199E-05</v>
      </c>
      <c r="IR116">
        <v>2</v>
      </c>
      <c r="IS116">
        <v>2290</v>
      </c>
      <c r="IT116">
        <v>0</v>
      </c>
      <c r="IU116">
        <v>32</v>
      </c>
      <c r="IV116">
        <v>7.8</v>
      </c>
      <c r="IW116">
        <v>7.4</v>
      </c>
      <c r="IX116">
        <v>1.47705</v>
      </c>
      <c r="IY116">
        <v>2.22168</v>
      </c>
      <c r="IZ116">
        <v>1.39648</v>
      </c>
      <c r="JA116">
        <v>2.35962</v>
      </c>
      <c r="JB116">
        <v>1.49536</v>
      </c>
      <c r="JC116">
        <v>2.33276</v>
      </c>
      <c r="JD116">
        <v>38.4034</v>
      </c>
      <c r="JE116">
        <v>24.0437</v>
      </c>
      <c r="JF116">
        <v>18</v>
      </c>
      <c r="JG116">
        <v>515.102</v>
      </c>
      <c r="JH116">
        <v>423.42</v>
      </c>
      <c r="JI116">
        <v>22.7348</v>
      </c>
      <c r="JJ116">
        <v>29.125</v>
      </c>
      <c r="JK116">
        <v>30</v>
      </c>
      <c r="JL116">
        <v>29.1248</v>
      </c>
      <c r="JM116">
        <v>29.0637</v>
      </c>
      <c r="JN116">
        <v>29.5626</v>
      </c>
      <c r="JO116">
        <v>56.5973</v>
      </c>
      <c r="JP116">
        <v>0</v>
      </c>
      <c r="JQ116">
        <v>22.6538</v>
      </c>
      <c r="JR116">
        <v>661.266</v>
      </c>
      <c r="JS116">
        <v>8.63293</v>
      </c>
      <c r="JT116">
        <v>100.301</v>
      </c>
      <c r="JU116">
        <v>100.209</v>
      </c>
    </row>
    <row r="117" spans="1:281">
      <c r="A117">
        <v>101</v>
      </c>
      <c r="B117">
        <v>1651857487.1</v>
      </c>
      <c r="C117">
        <v>486.5</v>
      </c>
      <c r="D117" t="s">
        <v>629</v>
      </c>
      <c r="E117" t="s">
        <v>630</v>
      </c>
      <c r="F117">
        <v>2</v>
      </c>
      <c r="G117" t="s">
        <v>413</v>
      </c>
      <c r="H117" t="s">
        <v>414</v>
      </c>
      <c r="I117">
        <v>1651857485.725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645.0041209966773</v>
      </c>
      <c r="AK117">
        <v>595.5291333333333</v>
      </c>
      <c r="AL117">
        <v>3.360197762974533</v>
      </c>
      <c r="AM117">
        <v>66.38384787954378</v>
      </c>
      <c r="AN117">
        <f>(AP117 - AO117 + DI117*1E3/(8.314*(DK117+273.15)) * AR117/DH117 * AQ117) * DH117/(100*CV117) * 1000/(1000 - AP117)</f>
        <v>0</v>
      </c>
      <c r="AO117">
        <v>8.635450303584168</v>
      </c>
      <c r="AP117">
        <v>18.44666647058824</v>
      </c>
      <c r="AQ117">
        <v>0.0001233588095788586</v>
      </c>
      <c r="AR117">
        <v>80.44866334591464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1238</v>
      </c>
      <c r="CA117">
        <v>300</v>
      </c>
      <c r="CB117">
        <v>300</v>
      </c>
      <c r="CC117">
        <v>300</v>
      </c>
      <c r="CD117">
        <v>10440.5</v>
      </c>
      <c r="CE117">
        <v>1411.69</v>
      </c>
      <c r="CF117">
        <v>-0.00735121</v>
      </c>
      <c r="CG117">
        <v>-0.77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1651857485.725</v>
      </c>
      <c r="DB117">
        <v>581.6585</v>
      </c>
      <c r="DC117">
        <v>644.0925</v>
      </c>
      <c r="DD117">
        <v>18.4464</v>
      </c>
      <c r="DE117">
        <v>8.635395000000001</v>
      </c>
      <c r="DF117">
        <v>583.2505</v>
      </c>
      <c r="DG117">
        <v>18.4396</v>
      </c>
      <c r="DH117">
        <v>500.03125</v>
      </c>
      <c r="DI117">
        <v>90.10074999999999</v>
      </c>
      <c r="DJ117">
        <v>0.09990637499999999</v>
      </c>
      <c r="DK117">
        <v>25.76795</v>
      </c>
      <c r="DL117">
        <v>24.9978</v>
      </c>
      <c r="DM117">
        <v>999.9</v>
      </c>
      <c r="DN117">
        <v>0</v>
      </c>
      <c r="DO117">
        <v>0</v>
      </c>
      <c r="DP117">
        <v>10003.4</v>
      </c>
      <c r="DQ117">
        <v>0</v>
      </c>
      <c r="DR117">
        <v>3.20383</v>
      </c>
      <c r="DS117">
        <v>-62.43395</v>
      </c>
      <c r="DT117">
        <v>592.58975</v>
      </c>
      <c r="DU117">
        <v>649.703</v>
      </c>
      <c r="DV117">
        <v>9.811025000000001</v>
      </c>
      <c r="DW117">
        <v>644.0925</v>
      </c>
      <c r="DX117">
        <v>8.635395000000001</v>
      </c>
      <c r="DY117">
        <v>1.6620375</v>
      </c>
      <c r="DZ117">
        <v>0.7780555</v>
      </c>
      <c r="EA117">
        <v>14.546325</v>
      </c>
      <c r="EB117">
        <v>3.3131225</v>
      </c>
      <c r="EC117">
        <v>1500.1125</v>
      </c>
      <c r="ED117">
        <v>0.9730045</v>
      </c>
      <c r="EE117">
        <v>0.0269958</v>
      </c>
      <c r="EF117">
        <v>0</v>
      </c>
      <c r="EG117">
        <v>1049.935</v>
      </c>
      <c r="EH117">
        <v>5.00097</v>
      </c>
      <c r="EI117">
        <v>15590.375</v>
      </c>
      <c r="EJ117">
        <v>12492.525</v>
      </c>
      <c r="EK117">
        <v>37.5</v>
      </c>
      <c r="EL117">
        <v>39</v>
      </c>
      <c r="EM117">
        <v>37.8905</v>
      </c>
      <c r="EN117">
        <v>38.75</v>
      </c>
      <c r="EO117">
        <v>38.375</v>
      </c>
      <c r="EP117">
        <v>1454.7475</v>
      </c>
      <c r="EQ117">
        <v>40.36499999999999</v>
      </c>
      <c r="ER117">
        <v>0</v>
      </c>
      <c r="ES117">
        <v>486</v>
      </c>
      <c r="ET117">
        <v>0</v>
      </c>
      <c r="EU117">
        <v>1049.2976</v>
      </c>
      <c r="EV117">
        <v>6.596923093480594</v>
      </c>
      <c r="EW117">
        <v>110.0307693244314</v>
      </c>
      <c r="EX117">
        <v>15580.172</v>
      </c>
      <c r="EY117">
        <v>15</v>
      </c>
      <c r="EZ117">
        <v>1651857041.1</v>
      </c>
      <c r="FA117" t="s">
        <v>419</v>
      </c>
      <c r="FB117">
        <v>1651857019.6</v>
      </c>
      <c r="FC117">
        <v>1651857041.1</v>
      </c>
      <c r="FD117">
        <v>1</v>
      </c>
      <c r="FE117">
        <v>0.545</v>
      </c>
      <c r="FF117">
        <v>-0.002</v>
      </c>
      <c r="FG117">
        <v>-1.271</v>
      </c>
      <c r="FH117">
        <v>-0.09</v>
      </c>
      <c r="FI117">
        <v>400</v>
      </c>
      <c r="FJ117">
        <v>10</v>
      </c>
      <c r="FK117">
        <v>0.1</v>
      </c>
      <c r="FL117">
        <v>0.02</v>
      </c>
      <c r="FM117">
        <v>-61.96606097560975</v>
      </c>
      <c r="FN117">
        <v>-4.563298954703862</v>
      </c>
      <c r="FO117">
        <v>0.4736251985705569</v>
      </c>
      <c r="FP117">
        <v>-1</v>
      </c>
      <c r="FQ117">
        <v>9.804664878048781</v>
      </c>
      <c r="FR117">
        <v>0.02646439024391143</v>
      </c>
      <c r="FS117">
        <v>0.003433274140902674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432</v>
      </c>
      <c r="GB117">
        <v>2.97994</v>
      </c>
      <c r="GC117">
        <v>2.70617</v>
      </c>
      <c r="GD117">
        <v>0.11953</v>
      </c>
      <c r="GE117">
        <v>0.126702</v>
      </c>
      <c r="GF117">
        <v>0.0880933</v>
      </c>
      <c r="GG117">
        <v>0.0494659</v>
      </c>
      <c r="GH117">
        <v>27781.3</v>
      </c>
      <c r="GI117">
        <v>27614.1</v>
      </c>
      <c r="GJ117">
        <v>29341.8</v>
      </c>
      <c r="GK117">
        <v>29253.9</v>
      </c>
      <c r="GL117">
        <v>35433.1</v>
      </c>
      <c r="GM117">
        <v>37034.4</v>
      </c>
      <c r="GN117">
        <v>41302.7</v>
      </c>
      <c r="GO117">
        <v>41750.4</v>
      </c>
      <c r="GP117">
        <v>1.95525</v>
      </c>
      <c r="GQ117">
        <v>1.83485</v>
      </c>
      <c r="GR117">
        <v>-0.0338592</v>
      </c>
      <c r="GS117">
        <v>0</v>
      </c>
      <c r="GT117">
        <v>25.5541</v>
      </c>
      <c r="GU117">
        <v>999.9</v>
      </c>
      <c r="GV117">
        <v>38.7</v>
      </c>
      <c r="GW117">
        <v>33.9</v>
      </c>
      <c r="GX117">
        <v>22.8223</v>
      </c>
      <c r="GY117">
        <v>62.1176</v>
      </c>
      <c r="GZ117">
        <v>35.4647</v>
      </c>
      <c r="HA117">
        <v>1</v>
      </c>
      <c r="HB117">
        <v>0.139113</v>
      </c>
      <c r="HC117">
        <v>2.51343</v>
      </c>
      <c r="HD117">
        <v>20.3146</v>
      </c>
      <c r="HE117">
        <v>5.21684</v>
      </c>
      <c r="HF117">
        <v>12.0099</v>
      </c>
      <c r="HG117">
        <v>4.9884</v>
      </c>
      <c r="HH117">
        <v>3.28848</v>
      </c>
      <c r="HI117">
        <v>851.8</v>
      </c>
      <c r="HJ117">
        <v>8477.200000000001</v>
      </c>
      <c r="HK117">
        <v>5139.4</v>
      </c>
      <c r="HL117">
        <v>22.9</v>
      </c>
      <c r="HM117">
        <v>1.86752</v>
      </c>
      <c r="HN117">
        <v>1.86646</v>
      </c>
      <c r="HO117">
        <v>1.866</v>
      </c>
      <c r="HP117">
        <v>1.86585</v>
      </c>
      <c r="HQ117">
        <v>1.86773</v>
      </c>
      <c r="HR117">
        <v>1.87024</v>
      </c>
      <c r="HS117">
        <v>1.8689</v>
      </c>
      <c r="HT117">
        <v>1.87026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-1.6</v>
      </c>
      <c r="II117">
        <v>0.0069</v>
      </c>
      <c r="IJ117">
        <v>-0.4995723906072</v>
      </c>
      <c r="IK117">
        <v>-0.002077099775823331</v>
      </c>
      <c r="IL117">
        <v>4.593143279902166E-07</v>
      </c>
      <c r="IM117">
        <v>-1.865383991892071E-10</v>
      </c>
      <c r="IN117">
        <v>-0.07605349583632376</v>
      </c>
      <c r="IO117">
        <v>-0.01129461987421345</v>
      </c>
      <c r="IP117">
        <v>0.00116580895745559</v>
      </c>
      <c r="IQ117">
        <v>-1.679085872906199E-05</v>
      </c>
      <c r="IR117">
        <v>2</v>
      </c>
      <c r="IS117">
        <v>2290</v>
      </c>
      <c r="IT117">
        <v>0</v>
      </c>
      <c r="IU117">
        <v>32</v>
      </c>
      <c r="IV117">
        <v>7.8</v>
      </c>
      <c r="IW117">
        <v>7.4</v>
      </c>
      <c r="IX117">
        <v>1.48926</v>
      </c>
      <c r="IY117">
        <v>2.22778</v>
      </c>
      <c r="IZ117">
        <v>1.39648</v>
      </c>
      <c r="JA117">
        <v>2.35962</v>
      </c>
      <c r="JB117">
        <v>1.49536</v>
      </c>
      <c r="JC117">
        <v>2.30713</v>
      </c>
      <c r="JD117">
        <v>38.4034</v>
      </c>
      <c r="JE117">
        <v>24.035</v>
      </c>
      <c r="JF117">
        <v>18</v>
      </c>
      <c r="JG117">
        <v>515.069</v>
      </c>
      <c r="JH117">
        <v>423.284</v>
      </c>
      <c r="JI117">
        <v>22.7079</v>
      </c>
      <c r="JJ117">
        <v>29.1237</v>
      </c>
      <c r="JK117">
        <v>30.0005</v>
      </c>
      <c r="JL117">
        <v>29.1248</v>
      </c>
      <c r="JM117">
        <v>29.0634</v>
      </c>
      <c r="JN117">
        <v>29.8096</v>
      </c>
      <c r="JO117">
        <v>56.5973</v>
      </c>
      <c r="JP117">
        <v>0</v>
      </c>
      <c r="JQ117">
        <v>22.6538</v>
      </c>
      <c r="JR117">
        <v>667.946</v>
      </c>
      <c r="JS117">
        <v>8.621869999999999</v>
      </c>
      <c r="JT117">
        <v>100.3</v>
      </c>
      <c r="JU117">
        <v>100.208</v>
      </c>
    </row>
    <row r="118" spans="1:281">
      <c r="A118">
        <v>102</v>
      </c>
      <c r="B118">
        <v>1651857489.1</v>
      </c>
      <c r="C118">
        <v>488.5</v>
      </c>
      <c r="D118" t="s">
        <v>631</v>
      </c>
      <c r="E118" t="s">
        <v>632</v>
      </c>
      <c r="F118">
        <v>2</v>
      </c>
      <c r="G118" t="s">
        <v>413</v>
      </c>
      <c r="H118" t="s">
        <v>414</v>
      </c>
      <c r="I118">
        <v>1651857488.1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651.7424773009318</v>
      </c>
      <c r="AK118">
        <v>602.2188969696966</v>
      </c>
      <c r="AL118">
        <v>3.349639765604562</v>
      </c>
      <c r="AM118">
        <v>66.38384787954378</v>
      </c>
      <c r="AN118">
        <f>(AP118 - AO118 + DI118*1E3/(8.314*(DK118+273.15)) * AR118/DH118 * AQ118) * DH118/(100*CV118) * 1000/(1000 - AP118)</f>
        <v>0</v>
      </c>
      <c r="AO118">
        <v>8.635017217195166</v>
      </c>
      <c r="AP118">
        <v>18.4466355882353</v>
      </c>
      <c r="AQ118">
        <v>8.21867295817362E-05</v>
      </c>
      <c r="AR118">
        <v>80.44866334591464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417</v>
      </c>
      <c r="AY118" t="s">
        <v>417</v>
      </c>
      <c r="AZ118">
        <v>0</v>
      </c>
      <c r="BA118">
        <v>0</v>
      </c>
      <c r="BB118">
        <f>1-AZ118/BA118</f>
        <v>0</v>
      </c>
      <c r="BC118">
        <v>0</v>
      </c>
      <c r="BD118" t="s">
        <v>417</v>
      </c>
      <c r="BE118" t="s">
        <v>417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1238</v>
      </c>
      <c r="CA118">
        <v>300</v>
      </c>
      <c r="CB118">
        <v>300</v>
      </c>
      <c r="CC118">
        <v>300</v>
      </c>
      <c r="CD118">
        <v>10440.5</v>
      </c>
      <c r="CE118">
        <v>1411.69</v>
      </c>
      <c r="CF118">
        <v>-0.00735121</v>
      </c>
      <c r="CG118">
        <v>-0.77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1651857488.1</v>
      </c>
      <c r="DB118">
        <v>589.4666666666666</v>
      </c>
      <c r="DC118">
        <v>652.0026666666666</v>
      </c>
      <c r="DD118">
        <v>18.4474</v>
      </c>
      <c r="DE118">
        <v>8.638266666666667</v>
      </c>
      <c r="DF118">
        <v>591.0716666666667</v>
      </c>
      <c r="DG118">
        <v>18.44056666666667</v>
      </c>
      <c r="DH118">
        <v>500.0386666666666</v>
      </c>
      <c r="DI118">
        <v>90.09930000000001</v>
      </c>
      <c r="DJ118">
        <v>0.09992893333333332</v>
      </c>
      <c r="DK118">
        <v>25.76753333333333</v>
      </c>
      <c r="DL118">
        <v>24.9992</v>
      </c>
      <c r="DM118">
        <v>999.9</v>
      </c>
      <c r="DN118">
        <v>0</v>
      </c>
      <c r="DO118">
        <v>0</v>
      </c>
      <c r="DP118">
        <v>10005.83333333333</v>
      </c>
      <c r="DQ118">
        <v>0</v>
      </c>
      <c r="DR118">
        <v>3.20383</v>
      </c>
      <c r="DS118">
        <v>-62.53616666666667</v>
      </c>
      <c r="DT118">
        <v>600.5446666666667</v>
      </c>
      <c r="DU118">
        <v>657.6843333333333</v>
      </c>
      <c r="DV118">
        <v>9.809106666666667</v>
      </c>
      <c r="DW118">
        <v>652.0026666666666</v>
      </c>
      <c r="DX118">
        <v>8.638266666666667</v>
      </c>
      <c r="DY118">
        <v>1.662096666666667</v>
      </c>
      <c r="DZ118">
        <v>0.778302</v>
      </c>
      <c r="EA118">
        <v>14.54686666666667</v>
      </c>
      <c r="EB118">
        <v>3.317606666666666</v>
      </c>
      <c r="EC118">
        <v>1500.003333333333</v>
      </c>
      <c r="ED118">
        <v>0.973002</v>
      </c>
      <c r="EE118">
        <v>0.0269985</v>
      </c>
      <c r="EF118">
        <v>0</v>
      </c>
      <c r="EG118">
        <v>1049.87</v>
      </c>
      <c r="EH118">
        <v>5.00097</v>
      </c>
      <c r="EI118">
        <v>15590.33333333333</v>
      </c>
      <c r="EJ118">
        <v>12491.66666666667</v>
      </c>
      <c r="EK118">
        <v>37.5</v>
      </c>
      <c r="EL118">
        <v>39</v>
      </c>
      <c r="EM118">
        <v>37.875</v>
      </c>
      <c r="EN118">
        <v>38.75</v>
      </c>
      <c r="EO118">
        <v>38.375</v>
      </c>
      <c r="EP118">
        <v>1454.636666666667</v>
      </c>
      <c r="EQ118">
        <v>40.36666666666667</v>
      </c>
      <c r="ER118">
        <v>0</v>
      </c>
      <c r="ES118">
        <v>487.8000001907349</v>
      </c>
      <c r="ET118">
        <v>0</v>
      </c>
      <c r="EU118">
        <v>1049.429615384615</v>
      </c>
      <c r="EV118">
        <v>5.869743592411946</v>
      </c>
      <c r="EW118">
        <v>95.6854699609592</v>
      </c>
      <c r="EX118">
        <v>15582.40769230769</v>
      </c>
      <c r="EY118">
        <v>15</v>
      </c>
      <c r="EZ118">
        <v>1651857041.1</v>
      </c>
      <c r="FA118" t="s">
        <v>419</v>
      </c>
      <c r="FB118">
        <v>1651857019.6</v>
      </c>
      <c r="FC118">
        <v>1651857041.1</v>
      </c>
      <c r="FD118">
        <v>1</v>
      </c>
      <c r="FE118">
        <v>0.545</v>
      </c>
      <c r="FF118">
        <v>-0.002</v>
      </c>
      <c r="FG118">
        <v>-1.271</v>
      </c>
      <c r="FH118">
        <v>-0.09</v>
      </c>
      <c r="FI118">
        <v>400</v>
      </c>
      <c r="FJ118">
        <v>10</v>
      </c>
      <c r="FK118">
        <v>0.1</v>
      </c>
      <c r="FL118">
        <v>0.02</v>
      </c>
      <c r="FM118">
        <v>-62.03481463414634</v>
      </c>
      <c r="FN118">
        <v>-4.207396515679621</v>
      </c>
      <c r="FO118">
        <v>0.442447906020516</v>
      </c>
      <c r="FP118">
        <v>-1</v>
      </c>
      <c r="FQ118">
        <v>9.805097073170732</v>
      </c>
      <c r="FR118">
        <v>0.02888759581882032</v>
      </c>
      <c r="FS118">
        <v>0.003608612491886204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432</v>
      </c>
      <c r="GB118">
        <v>2.97974</v>
      </c>
      <c r="GC118">
        <v>2.7062</v>
      </c>
      <c r="GD118">
        <v>0.120471</v>
      </c>
      <c r="GE118">
        <v>0.1276</v>
      </c>
      <c r="GF118">
        <v>0.0881001</v>
      </c>
      <c r="GG118">
        <v>0.0494884</v>
      </c>
      <c r="GH118">
        <v>27751.5</v>
      </c>
      <c r="GI118">
        <v>27585.5</v>
      </c>
      <c r="GJ118">
        <v>29341.6</v>
      </c>
      <c r="GK118">
        <v>29253.7</v>
      </c>
      <c r="GL118">
        <v>35432.8</v>
      </c>
      <c r="GM118">
        <v>37033.9</v>
      </c>
      <c r="GN118">
        <v>41302.6</v>
      </c>
      <c r="GO118">
        <v>41750.9</v>
      </c>
      <c r="GP118">
        <v>1.95532</v>
      </c>
      <c r="GQ118">
        <v>1.83498</v>
      </c>
      <c r="GR118">
        <v>-0.0337586</v>
      </c>
      <c r="GS118">
        <v>0</v>
      </c>
      <c r="GT118">
        <v>25.5541</v>
      </c>
      <c r="GU118">
        <v>999.9</v>
      </c>
      <c r="GV118">
        <v>38.7</v>
      </c>
      <c r="GW118">
        <v>33.9</v>
      </c>
      <c r="GX118">
        <v>22.8215</v>
      </c>
      <c r="GY118">
        <v>62.6976</v>
      </c>
      <c r="GZ118">
        <v>35.5048</v>
      </c>
      <c r="HA118">
        <v>1</v>
      </c>
      <c r="HB118">
        <v>0.139477</v>
      </c>
      <c r="HC118">
        <v>2.39561</v>
      </c>
      <c r="HD118">
        <v>20.3162</v>
      </c>
      <c r="HE118">
        <v>5.21669</v>
      </c>
      <c r="HF118">
        <v>12.0099</v>
      </c>
      <c r="HG118">
        <v>4.9885</v>
      </c>
      <c r="HH118">
        <v>3.28848</v>
      </c>
      <c r="HI118">
        <v>852</v>
      </c>
      <c r="HJ118">
        <v>8479.4</v>
      </c>
      <c r="HK118">
        <v>5139.4</v>
      </c>
      <c r="HL118">
        <v>22.9</v>
      </c>
      <c r="HM118">
        <v>1.86752</v>
      </c>
      <c r="HN118">
        <v>1.86646</v>
      </c>
      <c r="HO118">
        <v>1.866</v>
      </c>
      <c r="HP118">
        <v>1.86586</v>
      </c>
      <c r="HQ118">
        <v>1.86773</v>
      </c>
      <c r="HR118">
        <v>1.87025</v>
      </c>
      <c r="HS118">
        <v>1.8689</v>
      </c>
      <c r="HT118">
        <v>1.87026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-1.611</v>
      </c>
      <c r="II118">
        <v>0.0068</v>
      </c>
      <c r="IJ118">
        <v>-0.4995723906072</v>
      </c>
      <c r="IK118">
        <v>-0.002077099775823331</v>
      </c>
      <c r="IL118">
        <v>4.593143279902166E-07</v>
      </c>
      <c r="IM118">
        <v>-1.865383991892071E-10</v>
      </c>
      <c r="IN118">
        <v>-0.07605349583632376</v>
      </c>
      <c r="IO118">
        <v>-0.01129461987421345</v>
      </c>
      <c r="IP118">
        <v>0.00116580895745559</v>
      </c>
      <c r="IQ118">
        <v>-1.679085872906199E-05</v>
      </c>
      <c r="IR118">
        <v>2</v>
      </c>
      <c r="IS118">
        <v>2290</v>
      </c>
      <c r="IT118">
        <v>0</v>
      </c>
      <c r="IU118">
        <v>32</v>
      </c>
      <c r="IV118">
        <v>7.8</v>
      </c>
      <c r="IW118">
        <v>7.5</v>
      </c>
      <c r="IX118">
        <v>1.50146</v>
      </c>
      <c r="IY118">
        <v>2.22046</v>
      </c>
      <c r="IZ118">
        <v>1.39648</v>
      </c>
      <c r="JA118">
        <v>2.35962</v>
      </c>
      <c r="JB118">
        <v>1.49536</v>
      </c>
      <c r="JC118">
        <v>2.33887</v>
      </c>
      <c r="JD118">
        <v>38.4034</v>
      </c>
      <c r="JE118">
        <v>24.0437</v>
      </c>
      <c r="JF118">
        <v>18</v>
      </c>
      <c r="JG118">
        <v>515.1180000000001</v>
      </c>
      <c r="JH118">
        <v>423.35</v>
      </c>
      <c r="JI118">
        <v>22.6736</v>
      </c>
      <c r="JJ118">
        <v>29.1235</v>
      </c>
      <c r="JK118">
        <v>30.0006</v>
      </c>
      <c r="JL118">
        <v>29.1248</v>
      </c>
      <c r="JM118">
        <v>29.0622</v>
      </c>
      <c r="JN118">
        <v>30.052</v>
      </c>
      <c r="JO118">
        <v>56.5973</v>
      </c>
      <c r="JP118">
        <v>0</v>
      </c>
      <c r="JQ118">
        <v>22.6716</v>
      </c>
      <c r="JR118">
        <v>674.629</v>
      </c>
      <c r="JS118">
        <v>8.623049999999999</v>
      </c>
      <c r="JT118">
        <v>100.3</v>
      </c>
      <c r="JU118">
        <v>100.208</v>
      </c>
    </row>
    <row r="119" spans="1:281">
      <c r="A119">
        <v>103</v>
      </c>
      <c r="B119">
        <v>1651857491.1</v>
      </c>
      <c r="C119">
        <v>490.5</v>
      </c>
      <c r="D119" t="s">
        <v>633</v>
      </c>
      <c r="E119" t="s">
        <v>634</v>
      </c>
      <c r="F119">
        <v>2</v>
      </c>
      <c r="G119" t="s">
        <v>413</v>
      </c>
      <c r="H119" t="s">
        <v>414</v>
      </c>
      <c r="I119">
        <v>1651857489.725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658.4543757053177</v>
      </c>
      <c r="AK119">
        <v>608.9511151515152</v>
      </c>
      <c r="AL119">
        <v>3.358861454936616</v>
      </c>
      <c r="AM119">
        <v>66.38384787954378</v>
      </c>
      <c r="AN119">
        <f>(AP119 - AO119 + DI119*1E3/(8.314*(DK119+273.15)) * AR119/DH119 * AQ119) * DH119/(100*CV119) * 1000/(1000 - AP119)</f>
        <v>0</v>
      </c>
      <c r="AO119">
        <v>8.635985767432274</v>
      </c>
      <c r="AP119">
        <v>18.45157882352941</v>
      </c>
      <c r="AQ119">
        <v>-1.814561698160482E-05</v>
      </c>
      <c r="AR119">
        <v>80.44866334591464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1238</v>
      </c>
      <c r="CA119">
        <v>300</v>
      </c>
      <c r="CB119">
        <v>300</v>
      </c>
      <c r="CC119">
        <v>300</v>
      </c>
      <c r="CD119">
        <v>10440.5</v>
      </c>
      <c r="CE119">
        <v>1411.69</v>
      </c>
      <c r="CF119">
        <v>-0.00735121</v>
      </c>
      <c r="CG119">
        <v>-0.77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1651857489.725</v>
      </c>
      <c r="DB119">
        <v>594.824</v>
      </c>
      <c r="DC119">
        <v>657.42825</v>
      </c>
      <c r="DD119">
        <v>18.450075</v>
      </c>
      <c r="DE119">
        <v>8.641907499999999</v>
      </c>
      <c r="DF119">
        <v>596.4385</v>
      </c>
      <c r="DG119">
        <v>18.4432</v>
      </c>
      <c r="DH119">
        <v>500.0190000000001</v>
      </c>
      <c r="DI119">
        <v>90.098275</v>
      </c>
      <c r="DJ119">
        <v>0.09995382500000001</v>
      </c>
      <c r="DK119">
        <v>25.76745</v>
      </c>
      <c r="DL119">
        <v>25.0012</v>
      </c>
      <c r="DM119">
        <v>999.9</v>
      </c>
      <c r="DN119">
        <v>0</v>
      </c>
      <c r="DO119">
        <v>0</v>
      </c>
      <c r="DP119">
        <v>10008.275</v>
      </c>
      <c r="DQ119">
        <v>0</v>
      </c>
      <c r="DR119">
        <v>3.20383</v>
      </c>
      <c r="DS119">
        <v>-62.60435</v>
      </c>
      <c r="DT119">
        <v>606.0047500000001</v>
      </c>
      <c r="DU119">
        <v>663.1592499999999</v>
      </c>
      <c r="DV119">
        <v>9.8081675</v>
      </c>
      <c r="DW119">
        <v>657.42825</v>
      </c>
      <c r="DX119">
        <v>8.641907499999999</v>
      </c>
      <c r="DY119">
        <v>1.6623225</v>
      </c>
      <c r="DZ119">
        <v>0.778621</v>
      </c>
      <c r="EA119">
        <v>14.54895</v>
      </c>
      <c r="EB119">
        <v>3.3234025</v>
      </c>
      <c r="EC119">
        <v>1500.025</v>
      </c>
      <c r="ED119">
        <v>0.9730032500000001</v>
      </c>
      <c r="EE119">
        <v>0.02699715</v>
      </c>
      <c r="EF119">
        <v>0</v>
      </c>
      <c r="EG119">
        <v>1049.8375</v>
      </c>
      <c r="EH119">
        <v>5.00097</v>
      </c>
      <c r="EI119">
        <v>15591.075</v>
      </c>
      <c r="EJ119">
        <v>12491.825</v>
      </c>
      <c r="EK119">
        <v>37.5</v>
      </c>
      <c r="EL119">
        <v>39</v>
      </c>
      <c r="EM119">
        <v>37.875</v>
      </c>
      <c r="EN119">
        <v>38.75</v>
      </c>
      <c r="EO119">
        <v>38.375</v>
      </c>
      <c r="EP119">
        <v>1454.66</v>
      </c>
      <c r="EQ119">
        <v>40.36499999999999</v>
      </c>
      <c r="ER119">
        <v>0</v>
      </c>
      <c r="ES119">
        <v>490.2000000476837</v>
      </c>
      <c r="ET119">
        <v>0</v>
      </c>
      <c r="EU119">
        <v>1049.593076923077</v>
      </c>
      <c r="EV119">
        <v>4.019829067966283</v>
      </c>
      <c r="EW119">
        <v>70.00683765767435</v>
      </c>
      <c r="EX119">
        <v>15585.65769230769</v>
      </c>
      <c r="EY119">
        <v>15</v>
      </c>
      <c r="EZ119">
        <v>1651857041.1</v>
      </c>
      <c r="FA119" t="s">
        <v>419</v>
      </c>
      <c r="FB119">
        <v>1651857019.6</v>
      </c>
      <c r="FC119">
        <v>1651857041.1</v>
      </c>
      <c r="FD119">
        <v>1</v>
      </c>
      <c r="FE119">
        <v>0.545</v>
      </c>
      <c r="FF119">
        <v>-0.002</v>
      </c>
      <c r="FG119">
        <v>-1.271</v>
      </c>
      <c r="FH119">
        <v>-0.09</v>
      </c>
      <c r="FI119">
        <v>400</v>
      </c>
      <c r="FJ119">
        <v>10</v>
      </c>
      <c r="FK119">
        <v>0.1</v>
      </c>
      <c r="FL119">
        <v>0.02</v>
      </c>
      <c r="FM119">
        <v>-62.22088780487806</v>
      </c>
      <c r="FN119">
        <v>-3.313375609756212</v>
      </c>
      <c r="FO119">
        <v>0.3619427115396094</v>
      </c>
      <c r="FP119">
        <v>-1</v>
      </c>
      <c r="FQ119">
        <v>9.805988780487803</v>
      </c>
      <c r="FR119">
        <v>0.02739554006969448</v>
      </c>
      <c r="FS119">
        <v>0.003540068343781387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432</v>
      </c>
      <c r="GB119">
        <v>2.97987</v>
      </c>
      <c r="GC119">
        <v>2.70615</v>
      </c>
      <c r="GD119">
        <v>0.121417</v>
      </c>
      <c r="GE119">
        <v>0.128514</v>
      </c>
      <c r="GF119">
        <v>0.0881031</v>
      </c>
      <c r="GG119">
        <v>0.0494889</v>
      </c>
      <c r="GH119">
        <v>27721.6</v>
      </c>
      <c r="GI119">
        <v>27556.6</v>
      </c>
      <c r="GJ119">
        <v>29341.7</v>
      </c>
      <c r="GK119">
        <v>29253.8</v>
      </c>
      <c r="GL119">
        <v>35432.8</v>
      </c>
      <c r="GM119">
        <v>37033.9</v>
      </c>
      <c r="GN119">
        <v>41302.6</v>
      </c>
      <c r="GO119">
        <v>41750.8</v>
      </c>
      <c r="GP119">
        <v>1.95527</v>
      </c>
      <c r="GQ119">
        <v>1.83508</v>
      </c>
      <c r="GR119">
        <v>-0.0337176</v>
      </c>
      <c r="GS119">
        <v>0</v>
      </c>
      <c r="GT119">
        <v>25.5541</v>
      </c>
      <c r="GU119">
        <v>999.9</v>
      </c>
      <c r="GV119">
        <v>38.7</v>
      </c>
      <c r="GW119">
        <v>33.9</v>
      </c>
      <c r="GX119">
        <v>22.8209</v>
      </c>
      <c r="GY119">
        <v>62.5876</v>
      </c>
      <c r="GZ119">
        <v>35.3726</v>
      </c>
      <c r="HA119">
        <v>1</v>
      </c>
      <c r="HB119">
        <v>0.139205</v>
      </c>
      <c r="HC119">
        <v>2.29179</v>
      </c>
      <c r="HD119">
        <v>20.3178</v>
      </c>
      <c r="HE119">
        <v>5.21729</v>
      </c>
      <c r="HF119">
        <v>12.0099</v>
      </c>
      <c r="HG119">
        <v>4.9887</v>
      </c>
      <c r="HH119">
        <v>3.2885</v>
      </c>
      <c r="HI119">
        <v>852</v>
      </c>
      <c r="HJ119">
        <v>8479.4</v>
      </c>
      <c r="HK119">
        <v>5139.4</v>
      </c>
      <c r="HL119">
        <v>22.9</v>
      </c>
      <c r="HM119">
        <v>1.86752</v>
      </c>
      <c r="HN119">
        <v>1.86646</v>
      </c>
      <c r="HO119">
        <v>1.866</v>
      </c>
      <c r="HP119">
        <v>1.86587</v>
      </c>
      <c r="HQ119">
        <v>1.8677</v>
      </c>
      <c r="HR119">
        <v>1.87026</v>
      </c>
      <c r="HS119">
        <v>1.8689</v>
      </c>
      <c r="HT119">
        <v>1.87027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-1.622</v>
      </c>
      <c r="II119">
        <v>0.0069</v>
      </c>
      <c r="IJ119">
        <v>-0.4995723906072</v>
      </c>
      <c r="IK119">
        <v>-0.002077099775823331</v>
      </c>
      <c r="IL119">
        <v>4.593143279902166E-07</v>
      </c>
      <c r="IM119">
        <v>-1.865383991892071E-10</v>
      </c>
      <c r="IN119">
        <v>-0.07605349583632376</v>
      </c>
      <c r="IO119">
        <v>-0.01129461987421345</v>
      </c>
      <c r="IP119">
        <v>0.00116580895745559</v>
      </c>
      <c r="IQ119">
        <v>-1.679085872906199E-05</v>
      </c>
      <c r="IR119">
        <v>2</v>
      </c>
      <c r="IS119">
        <v>2290</v>
      </c>
      <c r="IT119">
        <v>0</v>
      </c>
      <c r="IU119">
        <v>32</v>
      </c>
      <c r="IV119">
        <v>7.9</v>
      </c>
      <c r="IW119">
        <v>7.5</v>
      </c>
      <c r="IX119">
        <v>1.51367</v>
      </c>
      <c r="IY119">
        <v>2.22534</v>
      </c>
      <c r="IZ119">
        <v>1.39648</v>
      </c>
      <c r="JA119">
        <v>2.3584</v>
      </c>
      <c r="JB119">
        <v>1.49536</v>
      </c>
      <c r="JC119">
        <v>2.27661</v>
      </c>
      <c r="JD119">
        <v>38.4034</v>
      </c>
      <c r="JE119">
        <v>24.035</v>
      </c>
      <c r="JF119">
        <v>18</v>
      </c>
      <c r="JG119">
        <v>515.076</v>
      </c>
      <c r="JH119">
        <v>423.402</v>
      </c>
      <c r="JI119">
        <v>22.6598</v>
      </c>
      <c r="JJ119">
        <v>29.1231</v>
      </c>
      <c r="JK119">
        <v>30.0001</v>
      </c>
      <c r="JL119">
        <v>29.1237</v>
      </c>
      <c r="JM119">
        <v>29.0613</v>
      </c>
      <c r="JN119">
        <v>30.2908</v>
      </c>
      <c r="JO119">
        <v>56.5973</v>
      </c>
      <c r="JP119">
        <v>0</v>
      </c>
      <c r="JQ119">
        <v>22.6716</v>
      </c>
      <c r="JR119">
        <v>681.3099999999999</v>
      </c>
      <c r="JS119">
        <v>8.61966</v>
      </c>
      <c r="JT119">
        <v>100.3</v>
      </c>
      <c r="JU119">
        <v>100.208</v>
      </c>
    </row>
    <row r="120" spans="1:281">
      <c r="A120">
        <v>104</v>
      </c>
      <c r="B120">
        <v>1651857493.1</v>
      </c>
      <c r="C120">
        <v>492.5</v>
      </c>
      <c r="D120" t="s">
        <v>635</v>
      </c>
      <c r="E120" t="s">
        <v>636</v>
      </c>
      <c r="F120">
        <v>2</v>
      </c>
      <c r="G120" t="s">
        <v>413</v>
      </c>
      <c r="H120" t="s">
        <v>414</v>
      </c>
      <c r="I120">
        <v>1651857492.1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665.2336409036814</v>
      </c>
      <c r="AK120">
        <v>615.7522606060606</v>
      </c>
      <c r="AL120">
        <v>3.388894590209913</v>
      </c>
      <c r="AM120">
        <v>66.38384787954378</v>
      </c>
      <c r="AN120">
        <f>(AP120 - AO120 + DI120*1E3/(8.314*(DK120+273.15)) * AR120/DH120 * AQ120) * DH120/(100*CV120) * 1000/(1000 - AP120)</f>
        <v>0</v>
      </c>
      <c r="AO120">
        <v>8.640119716890073</v>
      </c>
      <c r="AP120">
        <v>18.45085588235294</v>
      </c>
      <c r="AQ120">
        <v>5.017151934064571E-05</v>
      </c>
      <c r="AR120">
        <v>80.44866334591464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417</v>
      </c>
      <c r="AY120" t="s">
        <v>417</v>
      </c>
      <c r="AZ120">
        <v>0</v>
      </c>
      <c r="BA120">
        <v>0</v>
      </c>
      <c r="BB120">
        <f>1-AZ120/BA120</f>
        <v>0</v>
      </c>
      <c r="BC120">
        <v>0</v>
      </c>
      <c r="BD120" t="s">
        <v>417</v>
      </c>
      <c r="BE120" t="s">
        <v>417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1238</v>
      </c>
      <c r="CA120">
        <v>300</v>
      </c>
      <c r="CB120">
        <v>300</v>
      </c>
      <c r="CC120">
        <v>300</v>
      </c>
      <c r="CD120">
        <v>10440.5</v>
      </c>
      <c r="CE120">
        <v>1411.69</v>
      </c>
      <c r="CF120">
        <v>-0.00735121</v>
      </c>
      <c r="CG120">
        <v>-0.77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1651857492.1</v>
      </c>
      <c r="DB120">
        <v>602.7190000000001</v>
      </c>
      <c r="DC120">
        <v>665.6183333333333</v>
      </c>
      <c r="DD120">
        <v>18.4505</v>
      </c>
      <c r="DE120">
        <v>8.639113333333333</v>
      </c>
      <c r="DF120">
        <v>604.3470000000001</v>
      </c>
      <c r="DG120">
        <v>18.44366666666667</v>
      </c>
      <c r="DH120">
        <v>500.031</v>
      </c>
      <c r="DI120">
        <v>90.09849999999999</v>
      </c>
      <c r="DJ120">
        <v>0.1000799</v>
      </c>
      <c r="DK120">
        <v>25.76723333333333</v>
      </c>
      <c r="DL120">
        <v>25.00363333333333</v>
      </c>
      <c r="DM120">
        <v>999.9</v>
      </c>
      <c r="DN120">
        <v>0</v>
      </c>
      <c r="DO120">
        <v>0</v>
      </c>
      <c r="DP120">
        <v>10000</v>
      </c>
      <c r="DQ120">
        <v>0</v>
      </c>
      <c r="DR120">
        <v>3.20383</v>
      </c>
      <c r="DS120">
        <v>-62.8996</v>
      </c>
      <c r="DT120">
        <v>614.0483333333334</v>
      </c>
      <c r="DU120">
        <v>671.4186666666667</v>
      </c>
      <c r="DV120">
        <v>9.811399999999999</v>
      </c>
      <c r="DW120">
        <v>665.6183333333333</v>
      </c>
      <c r="DX120">
        <v>8.639113333333333</v>
      </c>
      <c r="DY120">
        <v>1.662366666666667</v>
      </c>
      <c r="DZ120">
        <v>0.7783713333333333</v>
      </c>
      <c r="EA120">
        <v>14.5494</v>
      </c>
      <c r="EB120">
        <v>3.318863333333333</v>
      </c>
      <c r="EC120">
        <v>1500.01</v>
      </c>
      <c r="ED120">
        <v>0.9730053333333334</v>
      </c>
      <c r="EE120">
        <v>0.0269949</v>
      </c>
      <c r="EF120">
        <v>0</v>
      </c>
      <c r="EG120">
        <v>1050.266666666667</v>
      </c>
      <c r="EH120">
        <v>5.00097</v>
      </c>
      <c r="EI120">
        <v>15590.13333333333</v>
      </c>
      <c r="EJ120">
        <v>12491.66666666667</v>
      </c>
      <c r="EK120">
        <v>37.52066666666666</v>
      </c>
      <c r="EL120">
        <v>39</v>
      </c>
      <c r="EM120">
        <v>37.875</v>
      </c>
      <c r="EN120">
        <v>38.75</v>
      </c>
      <c r="EO120">
        <v>38.375</v>
      </c>
      <c r="EP120">
        <v>1454.65</v>
      </c>
      <c r="EQ120">
        <v>40.36</v>
      </c>
      <c r="ER120">
        <v>0</v>
      </c>
      <c r="ES120">
        <v>492</v>
      </c>
      <c r="ET120">
        <v>0</v>
      </c>
      <c r="EU120">
        <v>1049.7608</v>
      </c>
      <c r="EV120">
        <v>2.613076937179134</v>
      </c>
      <c r="EW120">
        <v>48.09230778801589</v>
      </c>
      <c r="EX120">
        <v>15587.66</v>
      </c>
      <c r="EY120">
        <v>15</v>
      </c>
      <c r="EZ120">
        <v>1651857041.1</v>
      </c>
      <c r="FA120" t="s">
        <v>419</v>
      </c>
      <c r="FB120">
        <v>1651857019.6</v>
      </c>
      <c r="FC120">
        <v>1651857041.1</v>
      </c>
      <c r="FD120">
        <v>1</v>
      </c>
      <c r="FE120">
        <v>0.545</v>
      </c>
      <c r="FF120">
        <v>-0.002</v>
      </c>
      <c r="FG120">
        <v>-1.271</v>
      </c>
      <c r="FH120">
        <v>-0.09</v>
      </c>
      <c r="FI120">
        <v>400</v>
      </c>
      <c r="FJ120">
        <v>10</v>
      </c>
      <c r="FK120">
        <v>0.1</v>
      </c>
      <c r="FL120">
        <v>0.02</v>
      </c>
      <c r="FM120">
        <v>-62.28419268292684</v>
      </c>
      <c r="FN120">
        <v>-3.180275958188358</v>
      </c>
      <c r="FO120">
        <v>0.3481752876383822</v>
      </c>
      <c r="FP120">
        <v>-1</v>
      </c>
      <c r="FQ120">
        <v>9.806380975609757</v>
      </c>
      <c r="FR120">
        <v>0.02630738675957119</v>
      </c>
      <c r="FS120">
        <v>0.003470136572049163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432</v>
      </c>
      <c r="GB120">
        <v>2.98003</v>
      </c>
      <c r="GC120">
        <v>2.70627</v>
      </c>
      <c r="GD120">
        <v>0.122365</v>
      </c>
      <c r="GE120">
        <v>0.129434</v>
      </c>
      <c r="GF120">
        <v>0.0880983</v>
      </c>
      <c r="GG120">
        <v>0.0494687</v>
      </c>
      <c r="GH120">
        <v>27691.6</v>
      </c>
      <c r="GI120">
        <v>27527.7</v>
      </c>
      <c r="GJ120">
        <v>29341.5</v>
      </c>
      <c r="GK120">
        <v>29254</v>
      </c>
      <c r="GL120">
        <v>35432.8</v>
      </c>
      <c r="GM120">
        <v>37034.3</v>
      </c>
      <c r="GN120">
        <v>41302.4</v>
      </c>
      <c r="GO120">
        <v>41750.4</v>
      </c>
      <c r="GP120">
        <v>1.95527</v>
      </c>
      <c r="GQ120">
        <v>1.8349</v>
      </c>
      <c r="GR120">
        <v>-0.0333861</v>
      </c>
      <c r="GS120">
        <v>0</v>
      </c>
      <c r="GT120">
        <v>25.5541</v>
      </c>
      <c r="GU120">
        <v>999.9</v>
      </c>
      <c r="GV120">
        <v>38.7</v>
      </c>
      <c r="GW120">
        <v>33.9</v>
      </c>
      <c r="GX120">
        <v>22.8221</v>
      </c>
      <c r="GY120">
        <v>62.3876</v>
      </c>
      <c r="GZ120">
        <v>35.5288</v>
      </c>
      <c r="HA120">
        <v>1</v>
      </c>
      <c r="HB120">
        <v>0.138803</v>
      </c>
      <c r="HC120">
        <v>2.24789</v>
      </c>
      <c r="HD120">
        <v>20.3188</v>
      </c>
      <c r="HE120">
        <v>5.21714</v>
      </c>
      <c r="HF120">
        <v>12.0099</v>
      </c>
      <c r="HG120">
        <v>4.98855</v>
      </c>
      <c r="HH120">
        <v>3.2885</v>
      </c>
      <c r="HI120">
        <v>852</v>
      </c>
      <c r="HJ120">
        <v>8479.4</v>
      </c>
      <c r="HK120">
        <v>5139.4</v>
      </c>
      <c r="HL120">
        <v>22.9</v>
      </c>
      <c r="HM120">
        <v>1.86752</v>
      </c>
      <c r="HN120">
        <v>1.86646</v>
      </c>
      <c r="HO120">
        <v>1.866</v>
      </c>
      <c r="HP120">
        <v>1.86587</v>
      </c>
      <c r="HQ120">
        <v>1.8677</v>
      </c>
      <c r="HR120">
        <v>1.87026</v>
      </c>
      <c r="HS120">
        <v>1.8689</v>
      </c>
      <c r="HT120">
        <v>1.87027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-1.634</v>
      </c>
      <c r="II120">
        <v>0.0069</v>
      </c>
      <c r="IJ120">
        <v>-0.4995723906072</v>
      </c>
      <c r="IK120">
        <v>-0.002077099775823331</v>
      </c>
      <c r="IL120">
        <v>4.593143279902166E-07</v>
      </c>
      <c r="IM120">
        <v>-1.865383991892071E-10</v>
      </c>
      <c r="IN120">
        <v>-0.07605349583632376</v>
      </c>
      <c r="IO120">
        <v>-0.01129461987421345</v>
      </c>
      <c r="IP120">
        <v>0.00116580895745559</v>
      </c>
      <c r="IQ120">
        <v>-1.679085872906199E-05</v>
      </c>
      <c r="IR120">
        <v>2</v>
      </c>
      <c r="IS120">
        <v>2290</v>
      </c>
      <c r="IT120">
        <v>0</v>
      </c>
      <c r="IU120">
        <v>32</v>
      </c>
      <c r="IV120">
        <v>7.9</v>
      </c>
      <c r="IW120">
        <v>7.5</v>
      </c>
      <c r="IX120">
        <v>1.52466</v>
      </c>
      <c r="IY120">
        <v>2.22168</v>
      </c>
      <c r="IZ120">
        <v>1.39648</v>
      </c>
      <c r="JA120">
        <v>2.3584</v>
      </c>
      <c r="JB120">
        <v>1.49536</v>
      </c>
      <c r="JC120">
        <v>2.36938</v>
      </c>
      <c r="JD120">
        <v>38.4034</v>
      </c>
      <c r="JE120">
        <v>24.0437</v>
      </c>
      <c r="JF120">
        <v>18</v>
      </c>
      <c r="JG120">
        <v>515.066</v>
      </c>
      <c r="JH120">
        <v>423.298</v>
      </c>
      <c r="JI120">
        <v>22.6596</v>
      </c>
      <c r="JJ120">
        <v>29.1218</v>
      </c>
      <c r="JK120">
        <v>29.9999</v>
      </c>
      <c r="JL120">
        <v>29.1225</v>
      </c>
      <c r="JM120">
        <v>29.0613</v>
      </c>
      <c r="JN120">
        <v>30.5275</v>
      </c>
      <c r="JO120">
        <v>56.5973</v>
      </c>
      <c r="JP120">
        <v>0</v>
      </c>
      <c r="JQ120">
        <v>22.6656</v>
      </c>
      <c r="JR120">
        <v>687.989</v>
      </c>
      <c r="JS120">
        <v>8.623699999999999</v>
      </c>
      <c r="JT120">
        <v>100.299</v>
      </c>
      <c r="JU120">
        <v>100.208</v>
      </c>
    </row>
    <row r="121" spans="1:281">
      <c r="A121">
        <v>105</v>
      </c>
      <c r="B121">
        <v>1651857495.1</v>
      </c>
      <c r="C121">
        <v>494.5</v>
      </c>
      <c r="D121" t="s">
        <v>637</v>
      </c>
      <c r="E121" t="s">
        <v>638</v>
      </c>
      <c r="F121">
        <v>2</v>
      </c>
      <c r="G121" t="s">
        <v>413</v>
      </c>
      <c r="H121" t="s">
        <v>414</v>
      </c>
      <c r="I121">
        <v>1651857493.725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672.2149166493124</v>
      </c>
      <c r="AK121">
        <v>622.5581636363637</v>
      </c>
      <c r="AL121">
        <v>3.402910469829367</v>
      </c>
      <c r="AM121">
        <v>66.38384787954378</v>
      </c>
      <c r="AN121">
        <f>(AP121 - AO121 + DI121*1E3/(8.314*(DK121+273.15)) * AR121/DH121 * AQ121) * DH121/(100*CV121) * 1000/(1000 - AP121)</f>
        <v>0</v>
      </c>
      <c r="AO121">
        <v>8.64181567001298</v>
      </c>
      <c r="AP121">
        <v>18.44674852941176</v>
      </c>
      <c r="AQ121">
        <v>6.728349340348013E-05</v>
      </c>
      <c r="AR121">
        <v>80.44866334591464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1238</v>
      </c>
      <c r="CA121">
        <v>300</v>
      </c>
      <c r="CB121">
        <v>300</v>
      </c>
      <c r="CC121">
        <v>300</v>
      </c>
      <c r="CD121">
        <v>10440.5</v>
      </c>
      <c r="CE121">
        <v>1411.69</v>
      </c>
      <c r="CF121">
        <v>-0.00735121</v>
      </c>
      <c r="CG121">
        <v>-0.77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1651857493.725</v>
      </c>
      <c r="DB121">
        <v>608.1495</v>
      </c>
      <c r="DC121">
        <v>671.1647499999999</v>
      </c>
      <c r="DD121">
        <v>18.448325</v>
      </c>
      <c r="DE121">
        <v>8.635607499999999</v>
      </c>
      <c r="DF121">
        <v>609.787</v>
      </c>
      <c r="DG121">
        <v>18.44145</v>
      </c>
      <c r="DH121">
        <v>500.0585</v>
      </c>
      <c r="DI121">
        <v>90.09784999999999</v>
      </c>
      <c r="DJ121">
        <v>0.10002285</v>
      </c>
      <c r="DK121">
        <v>25.76685</v>
      </c>
      <c r="DL121">
        <v>25.0069</v>
      </c>
      <c r="DM121">
        <v>999.9</v>
      </c>
      <c r="DN121">
        <v>0</v>
      </c>
      <c r="DO121">
        <v>0</v>
      </c>
      <c r="DP121">
        <v>10013.9</v>
      </c>
      <c r="DQ121">
        <v>0</v>
      </c>
      <c r="DR121">
        <v>3.20383</v>
      </c>
      <c r="DS121">
        <v>-63.01535</v>
      </c>
      <c r="DT121">
        <v>619.5794999999999</v>
      </c>
      <c r="DU121">
        <v>677.0107499999999</v>
      </c>
      <c r="DV121">
        <v>9.812697499999999</v>
      </c>
      <c r="DW121">
        <v>671.1647499999999</v>
      </c>
      <c r="DX121">
        <v>8.635607499999999</v>
      </c>
      <c r="DY121">
        <v>1.6621525</v>
      </c>
      <c r="DZ121">
        <v>0.77804975</v>
      </c>
      <c r="EA121">
        <v>14.547425</v>
      </c>
      <c r="EB121">
        <v>3.313015</v>
      </c>
      <c r="EC121">
        <v>1499.955</v>
      </c>
      <c r="ED121">
        <v>0.9730045</v>
      </c>
      <c r="EE121">
        <v>0.0269958</v>
      </c>
      <c r="EF121">
        <v>0</v>
      </c>
      <c r="EG121">
        <v>1049.9125</v>
      </c>
      <c r="EH121">
        <v>5.00097</v>
      </c>
      <c r="EI121">
        <v>15588.8</v>
      </c>
      <c r="EJ121">
        <v>12491.225</v>
      </c>
      <c r="EK121">
        <v>37.5</v>
      </c>
      <c r="EL121">
        <v>39</v>
      </c>
      <c r="EM121">
        <v>37.875</v>
      </c>
      <c r="EN121">
        <v>38.75</v>
      </c>
      <c r="EO121">
        <v>38.375</v>
      </c>
      <c r="EP121">
        <v>1454.595</v>
      </c>
      <c r="EQ121">
        <v>40.36</v>
      </c>
      <c r="ER121">
        <v>0</v>
      </c>
      <c r="ES121">
        <v>493.8000001907349</v>
      </c>
      <c r="ET121">
        <v>0</v>
      </c>
      <c r="EU121">
        <v>1049.810384615385</v>
      </c>
      <c r="EV121">
        <v>1.752820514446552</v>
      </c>
      <c r="EW121">
        <v>27.96239316376748</v>
      </c>
      <c r="EX121">
        <v>15588.57307692308</v>
      </c>
      <c r="EY121">
        <v>15</v>
      </c>
      <c r="EZ121">
        <v>1651857041.1</v>
      </c>
      <c r="FA121" t="s">
        <v>419</v>
      </c>
      <c r="FB121">
        <v>1651857019.6</v>
      </c>
      <c r="FC121">
        <v>1651857041.1</v>
      </c>
      <c r="FD121">
        <v>1</v>
      </c>
      <c r="FE121">
        <v>0.545</v>
      </c>
      <c r="FF121">
        <v>-0.002</v>
      </c>
      <c r="FG121">
        <v>-1.271</v>
      </c>
      <c r="FH121">
        <v>-0.09</v>
      </c>
      <c r="FI121">
        <v>400</v>
      </c>
      <c r="FJ121">
        <v>10</v>
      </c>
      <c r="FK121">
        <v>0.1</v>
      </c>
      <c r="FL121">
        <v>0.02</v>
      </c>
      <c r="FM121">
        <v>-62.47956341463414</v>
      </c>
      <c r="FN121">
        <v>-2.862367944250952</v>
      </c>
      <c r="FO121">
        <v>0.3115597055540488</v>
      </c>
      <c r="FP121">
        <v>-1</v>
      </c>
      <c r="FQ121">
        <v>9.807765365853658</v>
      </c>
      <c r="FR121">
        <v>0.0298363066202412</v>
      </c>
      <c r="FS121">
        <v>0.003730688223672475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432</v>
      </c>
      <c r="GB121">
        <v>2.98006</v>
      </c>
      <c r="GC121">
        <v>2.70641</v>
      </c>
      <c r="GD121">
        <v>0.123308</v>
      </c>
      <c r="GE121">
        <v>0.130325</v>
      </c>
      <c r="GF121">
        <v>0.0880909</v>
      </c>
      <c r="GG121">
        <v>0.0494632</v>
      </c>
      <c r="GH121">
        <v>27662</v>
      </c>
      <c r="GI121">
        <v>27499.7</v>
      </c>
      <c r="GJ121">
        <v>29341.7</v>
      </c>
      <c r="GK121">
        <v>29254.2</v>
      </c>
      <c r="GL121">
        <v>35433.2</v>
      </c>
      <c r="GM121">
        <v>37034.6</v>
      </c>
      <c r="GN121">
        <v>41302.5</v>
      </c>
      <c r="GO121">
        <v>41750.5</v>
      </c>
      <c r="GP121">
        <v>1.95522</v>
      </c>
      <c r="GQ121">
        <v>1.83493</v>
      </c>
      <c r="GR121">
        <v>-0.0334866</v>
      </c>
      <c r="GS121">
        <v>0</v>
      </c>
      <c r="GT121">
        <v>25.5541</v>
      </c>
      <c r="GU121">
        <v>999.9</v>
      </c>
      <c r="GV121">
        <v>38.7</v>
      </c>
      <c r="GW121">
        <v>33.9</v>
      </c>
      <c r="GX121">
        <v>22.8245</v>
      </c>
      <c r="GY121">
        <v>62.3076</v>
      </c>
      <c r="GZ121">
        <v>35.2043</v>
      </c>
      <c r="HA121">
        <v>1</v>
      </c>
      <c r="HB121">
        <v>0.138529</v>
      </c>
      <c r="HC121">
        <v>2.25008</v>
      </c>
      <c r="HD121">
        <v>20.3188</v>
      </c>
      <c r="HE121">
        <v>5.21639</v>
      </c>
      <c r="HF121">
        <v>12.0099</v>
      </c>
      <c r="HG121">
        <v>4.98865</v>
      </c>
      <c r="HH121">
        <v>3.2885</v>
      </c>
      <c r="HI121">
        <v>852</v>
      </c>
      <c r="HJ121">
        <v>8479.4</v>
      </c>
      <c r="HK121">
        <v>5139.4</v>
      </c>
      <c r="HL121">
        <v>22.9</v>
      </c>
      <c r="HM121">
        <v>1.86751</v>
      </c>
      <c r="HN121">
        <v>1.86646</v>
      </c>
      <c r="HO121">
        <v>1.866</v>
      </c>
      <c r="HP121">
        <v>1.86585</v>
      </c>
      <c r="HQ121">
        <v>1.86771</v>
      </c>
      <c r="HR121">
        <v>1.87025</v>
      </c>
      <c r="HS121">
        <v>1.8689</v>
      </c>
      <c r="HT121">
        <v>1.87027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-1.646</v>
      </c>
      <c r="II121">
        <v>0.0068</v>
      </c>
      <c r="IJ121">
        <v>-0.4995723906072</v>
      </c>
      <c r="IK121">
        <v>-0.002077099775823331</v>
      </c>
      <c r="IL121">
        <v>4.593143279902166E-07</v>
      </c>
      <c r="IM121">
        <v>-1.865383991892071E-10</v>
      </c>
      <c r="IN121">
        <v>-0.07605349583632376</v>
      </c>
      <c r="IO121">
        <v>-0.01129461987421345</v>
      </c>
      <c r="IP121">
        <v>0.00116580895745559</v>
      </c>
      <c r="IQ121">
        <v>-1.679085872906199E-05</v>
      </c>
      <c r="IR121">
        <v>2</v>
      </c>
      <c r="IS121">
        <v>2290</v>
      </c>
      <c r="IT121">
        <v>0</v>
      </c>
      <c r="IU121">
        <v>32</v>
      </c>
      <c r="IV121">
        <v>7.9</v>
      </c>
      <c r="IW121">
        <v>7.6</v>
      </c>
      <c r="IX121">
        <v>1.53687</v>
      </c>
      <c r="IY121">
        <v>2.22168</v>
      </c>
      <c r="IZ121">
        <v>1.39648</v>
      </c>
      <c r="JA121">
        <v>2.35962</v>
      </c>
      <c r="JB121">
        <v>1.49536</v>
      </c>
      <c r="JC121">
        <v>2.30225</v>
      </c>
      <c r="JD121">
        <v>38.4034</v>
      </c>
      <c r="JE121">
        <v>24.0437</v>
      </c>
      <c r="JF121">
        <v>18</v>
      </c>
      <c r="JG121">
        <v>515.0309999999999</v>
      </c>
      <c r="JH121">
        <v>423.313</v>
      </c>
      <c r="JI121">
        <v>22.6609</v>
      </c>
      <c r="JJ121">
        <v>29.121</v>
      </c>
      <c r="JK121">
        <v>29.9999</v>
      </c>
      <c r="JL121">
        <v>29.1223</v>
      </c>
      <c r="JM121">
        <v>29.0613</v>
      </c>
      <c r="JN121">
        <v>30.7669</v>
      </c>
      <c r="JO121">
        <v>56.5973</v>
      </c>
      <c r="JP121">
        <v>0</v>
      </c>
      <c r="JQ121">
        <v>22.6656</v>
      </c>
      <c r="JR121">
        <v>694.669</v>
      </c>
      <c r="JS121">
        <v>8.61674</v>
      </c>
      <c r="JT121">
        <v>100.3</v>
      </c>
      <c r="JU121">
        <v>100.208</v>
      </c>
    </row>
    <row r="122" spans="1:281">
      <c r="A122">
        <v>106</v>
      </c>
      <c r="B122">
        <v>1651857497.1</v>
      </c>
      <c r="C122">
        <v>496.5</v>
      </c>
      <c r="D122" t="s">
        <v>639</v>
      </c>
      <c r="E122" t="s">
        <v>640</v>
      </c>
      <c r="F122">
        <v>2</v>
      </c>
      <c r="G122" t="s">
        <v>413</v>
      </c>
      <c r="H122" t="s">
        <v>414</v>
      </c>
      <c r="I122">
        <v>1651857496.1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679.0673701886003</v>
      </c>
      <c r="AK122">
        <v>629.3698242424242</v>
      </c>
      <c r="AL122">
        <v>3.405327208245341</v>
      </c>
      <c r="AM122">
        <v>66.38384787954378</v>
      </c>
      <c r="AN122">
        <f>(AP122 - AO122 + DI122*1E3/(8.314*(DK122+273.15)) * AR122/DH122 * AQ122) * DH122/(100*CV122) * 1000/(1000 - AP122)</f>
        <v>0</v>
      </c>
      <c r="AO122">
        <v>8.637654343655358</v>
      </c>
      <c r="AP122">
        <v>18.44684823529412</v>
      </c>
      <c r="AQ122">
        <v>-2.474167872190561E-05</v>
      </c>
      <c r="AR122">
        <v>80.44866334591464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417</v>
      </c>
      <c r="AY122" t="s">
        <v>417</v>
      </c>
      <c r="AZ122">
        <v>0</v>
      </c>
      <c r="BA122">
        <v>0</v>
      </c>
      <c r="BB122">
        <f>1-AZ122/BA122</f>
        <v>0</v>
      </c>
      <c r="BC122">
        <v>0</v>
      </c>
      <c r="BD122" t="s">
        <v>417</v>
      </c>
      <c r="BE122" t="s">
        <v>417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1238</v>
      </c>
      <c r="CA122">
        <v>300</v>
      </c>
      <c r="CB122">
        <v>300</v>
      </c>
      <c r="CC122">
        <v>300</v>
      </c>
      <c r="CD122">
        <v>10440.5</v>
      </c>
      <c r="CE122">
        <v>1411.69</v>
      </c>
      <c r="CF122">
        <v>-0.00735121</v>
      </c>
      <c r="CG122">
        <v>-0.77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1651857496.1</v>
      </c>
      <c r="DB122">
        <v>616.0880000000001</v>
      </c>
      <c r="DC122">
        <v>679.0536666666667</v>
      </c>
      <c r="DD122">
        <v>18.44743333333333</v>
      </c>
      <c r="DE122">
        <v>8.635250000000001</v>
      </c>
      <c r="DF122">
        <v>617.7393333333333</v>
      </c>
      <c r="DG122">
        <v>18.44063333333333</v>
      </c>
      <c r="DH122">
        <v>500.0606666666667</v>
      </c>
      <c r="DI122">
        <v>90.0945</v>
      </c>
      <c r="DJ122">
        <v>0.09997296666666666</v>
      </c>
      <c r="DK122">
        <v>25.7665</v>
      </c>
      <c r="DL122">
        <v>25.0011</v>
      </c>
      <c r="DM122">
        <v>999.9</v>
      </c>
      <c r="DN122">
        <v>0</v>
      </c>
      <c r="DO122">
        <v>0</v>
      </c>
      <c r="DP122">
        <v>10023.1</v>
      </c>
      <c r="DQ122">
        <v>0</v>
      </c>
      <c r="DR122">
        <v>3.20383</v>
      </c>
      <c r="DS122">
        <v>-62.96563333333333</v>
      </c>
      <c r="DT122">
        <v>627.667</v>
      </c>
      <c r="DU122">
        <v>684.9686666666666</v>
      </c>
      <c r="DV122">
        <v>9.812196666666665</v>
      </c>
      <c r="DW122">
        <v>679.0536666666667</v>
      </c>
      <c r="DX122">
        <v>8.635250000000001</v>
      </c>
      <c r="DY122">
        <v>1.662013333333333</v>
      </c>
      <c r="DZ122">
        <v>0.7779883333333334</v>
      </c>
      <c r="EA122">
        <v>14.54613333333333</v>
      </c>
      <c r="EB122">
        <v>3.311903333333333</v>
      </c>
      <c r="EC122">
        <v>1500.003333333333</v>
      </c>
      <c r="ED122">
        <v>0.9730053333333334</v>
      </c>
      <c r="EE122">
        <v>0.0269949</v>
      </c>
      <c r="EF122">
        <v>0</v>
      </c>
      <c r="EG122">
        <v>1049.54</v>
      </c>
      <c r="EH122">
        <v>5.00097</v>
      </c>
      <c r="EI122">
        <v>15587.4</v>
      </c>
      <c r="EJ122">
        <v>12491.63333333333</v>
      </c>
      <c r="EK122">
        <v>37.5</v>
      </c>
      <c r="EL122">
        <v>39</v>
      </c>
      <c r="EM122">
        <v>37.875</v>
      </c>
      <c r="EN122">
        <v>38.75</v>
      </c>
      <c r="EO122">
        <v>38.375</v>
      </c>
      <c r="EP122">
        <v>1454.643333333333</v>
      </c>
      <c r="EQ122">
        <v>40.36</v>
      </c>
      <c r="ER122">
        <v>0</v>
      </c>
      <c r="ES122">
        <v>496.2000000476837</v>
      </c>
      <c r="ET122">
        <v>0</v>
      </c>
      <c r="EU122">
        <v>1049.83</v>
      </c>
      <c r="EV122">
        <v>-0.2283760617322214</v>
      </c>
      <c r="EW122">
        <v>0.2188034214244726</v>
      </c>
      <c r="EX122">
        <v>15589.24615384616</v>
      </c>
      <c r="EY122">
        <v>15</v>
      </c>
      <c r="EZ122">
        <v>1651857041.1</v>
      </c>
      <c r="FA122" t="s">
        <v>419</v>
      </c>
      <c r="FB122">
        <v>1651857019.6</v>
      </c>
      <c r="FC122">
        <v>1651857041.1</v>
      </c>
      <c r="FD122">
        <v>1</v>
      </c>
      <c r="FE122">
        <v>0.545</v>
      </c>
      <c r="FF122">
        <v>-0.002</v>
      </c>
      <c r="FG122">
        <v>-1.271</v>
      </c>
      <c r="FH122">
        <v>-0.09</v>
      </c>
      <c r="FI122">
        <v>400</v>
      </c>
      <c r="FJ122">
        <v>10</v>
      </c>
      <c r="FK122">
        <v>0.1</v>
      </c>
      <c r="FL122">
        <v>0.02</v>
      </c>
      <c r="FM122">
        <v>-62.53753658536586</v>
      </c>
      <c r="FN122">
        <v>-2.673689895470567</v>
      </c>
      <c r="FO122">
        <v>0.2904485670905015</v>
      </c>
      <c r="FP122">
        <v>-1</v>
      </c>
      <c r="FQ122">
        <v>9.808114146341463</v>
      </c>
      <c r="FR122">
        <v>0.03018376306620278</v>
      </c>
      <c r="FS122">
        <v>0.003749765505260008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432</v>
      </c>
      <c r="GB122">
        <v>2.97998</v>
      </c>
      <c r="GC122">
        <v>2.70624</v>
      </c>
      <c r="GD122">
        <v>0.124241</v>
      </c>
      <c r="GE122">
        <v>0.131198</v>
      </c>
      <c r="GF122">
        <v>0.08809110000000001</v>
      </c>
      <c r="GG122">
        <v>0.0494599</v>
      </c>
      <c r="GH122">
        <v>27632.7</v>
      </c>
      <c r="GI122">
        <v>27472.1</v>
      </c>
      <c r="GJ122">
        <v>29341.9</v>
      </c>
      <c r="GK122">
        <v>29254.2</v>
      </c>
      <c r="GL122">
        <v>35433.4</v>
      </c>
      <c r="GM122">
        <v>37034.8</v>
      </c>
      <c r="GN122">
        <v>41302.8</v>
      </c>
      <c r="GO122">
        <v>41750.5</v>
      </c>
      <c r="GP122">
        <v>1.9551</v>
      </c>
      <c r="GQ122">
        <v>1.83498</v>
      </c>
      <c r="GR122">
        <v>-0.0340492</v>
      </c>
      <c r="GS122">
        <v>0</v>
      </c>
      <c r="GT122">
        <v>25.5549</v>
      </c>
      <c r="GU122">
        <v>999.9</v>
      </c>
      <c r="GV122">
        <v>38.7</v>
      </c>
      <c r="GW122">
        <v>33.9</v>
      </c>
      <c r="GX122">
        <v>22.8228</v>
      </c>
      <c r="GY122">
        <v>62.2576</v>
      </c>
      <c r="GZ122">
        <v>35.5529</v>
      </c>
      <c r="HA122">
        <v>1</v>
      </c>
      <c r="HB122">
        <v>0.138529</v>
      </c>
      <c r="HC122">
        <v>2.2454</v>
      </c>
      <c r="HD122">
        <v>20.3186</v>
      </c>
      <c r="HE122">
        <v>5.21669</v>
      </c>
      <c r="HF122">
        <v>12.0099</v>
      </c>
      <c r="HG122">
        <v>4.98885</v>
      </c>
      <c r="HH122">
        <v>3.2885</v>
      </c>
      <c r="HI122">
        <v>852</v>
      </c>
      <c r="HJ122">
        <v>8479.4</v>
      </c>
      <c r="HK122">
        <v>5139.4</v>
      </c>
      <c r="HL122">
        <v>22.9</v>
      </c>
      <c r="HM122">
        <v>1.86752</v>
      </c>
      <c r="HN122">
        <v>1.86646</v>
      </c>
      <c r="HO122">
        <v>1.866</v>
      </c>
      <c r="HP122">
        <v>1.86585</v>
      </c>
      <c r="HQ122">
        <v>1.86771</v>
      </c>
      <c r="HR122">
        <v>1.87026</v>
      </c>
      <c r="HS122">
        <v>1.8689</v>
      </c>
      <c r="HT122">
        <v>1.87027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-1.657</v>
      </c>
      <c r="II122">
        <v>0.0069</v>
      </c>
      <c r="IJ122">
        <v>-0.4995723906072</v>
      </c>
      <c r="IK122">
        <v>-0.002077099775823331</v>
      </c>
      <c r="IL122">
        <v>4.593143279902166E-07</v>
      </c>
      <c r="IM122">
        <v>-1.865383991892071E-10</v>
      </c>
      <c r="IN122">
        <v>-0.07605349583632376</v>
      </c>
      <c r="IO122">
        <v>-0.01129461987421345</v>
      </c>
      <c r="IP122">
        <v>0.00116580895745559</v>
      </c>
      <c r="IQ122">
        <v>-1.679085872906199E-05</v>
      </c>
      <c r="IR122">
        <v>2</v>
      </c>
      <c r="IS122">
        <v>2290</v>
      </c>
      <c r="IT122">
        <v>0</v>
      </c>
      <c r="IU122">
        <v>32</v>
      </c>
      <c r="IV122">
        <v>8</v>
      </c>
      <c r="IW122">
        <v>7.6</v>
      </c>
      <c r="IX122">
        <v>1.54907</v>
      </c>
      <c r="IY122">
        <v>2.22168</v>
      </c>
      <c r="IZ122">
        <v>1.39648</v>
      </c>
      <c r="JA122">
        <v>2.35962</v>
      </c>
      <c r="JB122">
        <v>1.49536</v>
      </c>
      <c r="JC122">
        <v>2.34131</v>
      </c>
      <c r="JD122">
        <v>38.4034</v>
      </c>
      <c r="JE122">
        <v>24.0437</v>
      </c>
      <c r="JF122">
        <v>18</v>
      </c>
      <c r="JG122">
        <v>514.948</v>
      </c>
      <c r="JH122">
        <v>423.343</v>
      </c>
      <c r="JI122">
        <v>22.6595</v>
      </c>
      <c r="JJ122">
        <v>29.121</v>
      </c>
      <c r="JK122">
        <v>30</v>
      </c>
      <c r="JL122">
        <v>29.1223</v>
      </c>
      <c r="JM122">
        <v>29.0613</v>
      </c>
      <c r="JN122">
        <v>31.006</v>
      </c>
      <c r="JO122">
        <v>56.5973</v>
      </c>
      <c r="JP122">
        <v>0</v>
      </c>
      <c r="JQ122">
        <v>22.6656</v>
      </c>
      <c r="JR122">
        <v>701.349</v>
      </c>
      <c r="JS122">
        <v>8.61819</v>
      </c>
      <c r="JT122">
        <v>100.301</v>
      </c>
      <c r="JU122">
        <v>100.208</v>
      </c>
    </row>
    <row r="123" spans="1:281">
      <c r="A123">
        <v>107</v>
      </c>
      <c r="B123">
        <v>1651857499.1</v>
      </c>
      <c r="C123">
        <v>498.5</v>
      </c>
      <c r="D123" t="s">
        <v>641</v>
      </c>
      <c r="E123" t="s">
        <v>642</v>
      </c>
      <c r="F123">
        <v>2</v>
      </c>
      <c r="G123" t="s">
        <v>413</v>
      </c>
      <c r="H123" t="s">
        <v>414</v>
      </c>
      <c r="I123">
        <v>1651857497.725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685.7432290099658</v>
      </c>
      <c r="AK123">
        <v>636.1361272727271</v>
      </c>
      <c r="AL123">
        <v>3.391881331741871</v>
      </c>
      <c r="AM123">
        <v>66.38384787954378</v>
      </c>
      <c r="AN123">
        <f>(AP123 - AO123 + DI123*1E3/(8.314*(DK123+273.15)) * AR123/DH123 * AQ123) * DH123/(100*CV123) * 1000/(1000 - AP123)</f>
        <v>0</v>
      </c>
      <c r="AO123">
        <v>8.635062217326512</v>
      </c>
      <c r="AP123">
        <v>18.44887235294118</v>
      </c>
      <c r="AQ123">
        <v>-4.94918341617263E-05</v>
      </c>
      <c r="AR123">
        <v>80.44866334591464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1238</v>
      </c>
      <c r="CA123">
        <v>300</v>
      </c>
      <c r="CB123">
        <v>300</v>
      </c>
      <c r="CC123">
        <v>300</v>
      </c>
      <c r="CD123">
        <v>10440.5</v>
      </c>
      <c r="CE123">
        <v>1411.69</v>
      </c>
      <c r="CF123">
        <v>-0.00735121</v>
      </c>
      <c r="CG123">
        <v>-0.77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1651857497.725</v>
      </c>
      <c r="DB123">
        <v>621.491</v>
      </c>
      <c r="DC123">
        <v>684.4862500000002</v>
      </c>
      <c r="DD123">
        <v>18.448225</v>
      </c>
      <c r="DE123">
        <v>8.6352075</v>
      </c>
      <c r="DF123">
        <v>623.15175</v>
      </c>
      <c r="DG123">
        <v>18.441375</v>
      </c>
      <c r="DH123">
        <v>500.0482499999999</v>
      </c>
      <c r="DI123">
        <v>90.0936</v>
      </c>
      <c r="DJ123">
        <v>0.100018125</v>
      </c>
      <c r="DK123">
        <v>25.76765</v>
      </c>
      <c r="DL123">
        <v>24.995775</v>
      </c>
      <c r="DM123">
        <v>999.9</v>
      </c>
      <c r="DN123">
        <v>0</v>
      </c>
      <c r="DO123">
        <v>0</v>
      </c>
      <c r="DP123">
        <v>10005.3</v>
      </c>
      <c r="DQ123">
        <v>0</v>
      </c>
      <c r="DR123">
        <v>3.20383</v>
      </c>
      <c r="DS123">
        <v>-62.995275</v>
      </c>
      <c r="DT123">
        <v>633.17175</v>
      </c>
      <c r="DU123">
        <v>690.44825</v>
      </c>
      <c r="DV123">
        <v>9.813005</v>
      </c>
      <c r="DW123">
        <v>684.4862500000002</v>
      </c>
      <c r="DX123">
        <v>8.6352075</v>
      </c>
      <c r="DY123">
        <v>1.662065</v>
      </c>
      <c r="DZ123">
        <v>0.7779767500000001</v>
      </c>
      <c r="EA123">
        <v>14.546625</v>
      </c>
      <c r="EB123">
        <v>3.3116925</v>
      </c>
      <c r="EC123">
        <v>1500.03</v>
      </c>
      <c r="ED123">
        <v>0.97300575</v>
      </c>
      <c r="EE123">
        <v>0.02699445</v>
      </c>
      <c r="EF123">
        <v>0</v>
      </c>
      <c r="EG123">
        <v>1049.7875</v>
      </c>
      <c r="EH123">
        <v>5.00097</v>
      </c>
      <c r="EI123">
        <v>15584.725</v>
      </c>
      <c r="EJ123">
        <v>12491.825</v>
      </c>
      <c r="EK123">
        <v>37.5</v>
      </c>
      <c r="EL123">
        <v>39</v>
      </c>
      <c r="EM123">
        <v>37.875</v>
      </c>
      <c r="EN123">
        <v>38.75</v>
      </c>
      <c r="EO123">
        <v>38.375</v>
      </c>
      <c r="EP123">
        <v>1454.67</v>
      </c>
      <c r="EQ123">
        <v>40.36</v>
      </c>
      <c r="ER123">
        <v>0</v>
      </c>
      <c r="ES123">
        <v>498</v>
      </c>
      <c r="ET123">
        <v>0</v>
      </c>
      <c r="EU123">
        <v>1049.842</v>
      </c>
      <c r="EV123">
        <v>-1.36230767953666</v>
      </c>
      <c r="EW123">
        <v>-24.42307687791226</v>
      </c>
      <c r="EX123">
        <v>15588.852</v>
      </c>
      <c r="EY123">
        <v>15</v>
      </c>
      <c r="EZ123">
        <v>1651857041.1</v>
      </c>
      <c r="FA123" t="s">
        <v>419</v>
      </c>
      <c r="FB123">
        <v>1651857019.6</v>
      </c>
      <c r="FC123">
        <v>1651857041.1</v>
      </c>
      <c r="FD123">
        <v>1</v>
      </c>
      <c r="FE123">
        <v>0.545</v>
      </c>
      <c r="FF123">
        <v>-0.002</v>
      </c>
      <c r="FG123">
        <v>-1.271</v>
      </c>
      <c r="FH123">
        <v>-0.09</v>
      </c>
      <c r="FI123">
        <v>400</v>
      </c>
      <c r="FJ123">
        <v>10</v>
      </c>
      <c r="FK123">
        <v>0.1</v>
      </c>
      <c r="FL123">
        <v>0.02</v>
      </c>
      <c r="FM123">
        <v>-62.67102926829268</v>
      </c>
      <c r="FN123">
        <v>-2.270510801393582</v>
      </c>
      <c r="FO123">
        <v>0.2491901539024035</v>
      </c>
      <c r="FP123">
        <v>-1</v>
      </c>
      <c r="FQ123">
        <v>9.809366585365856</v>
      </c>
      <c r="FR123">
        <v>0.02935693379791524</v>
      </c>
      <c r="FS123">
        <v>0.00367641501529181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432</v>
      </c>
      <c r="GB123">
        <v>2.97998</v>
      </c>
      <c r="GC123">
        <v>2.7061</v>
      </c>
      <c r="GD123">
        <v>0.12517</v>
      </c>
      <c r="GE123">
        <v>0.132077</v>
      </c>
      <c r="GF123">
        <v>0.08808820000000001</v>
      </c>
      <c r="GG123">
        <v>0.0494584</v>
      </c>
      <c r="GH123">
        <v>27603.1</v>
      </c>
      <c r="GI123">
        <v>27444.2</v>
      </c>
      <c r="GJ123">
        <v>29341.6</v>
      </c>
      <c r="GK123">
        <v>29254.1</v>
      </c>
      <c r="GL123">
        <v>35433.4</v>
      </c>
      <c r="GM123">
        <v>37034.7</v>
      </c>
      <c r="GN123">
        <v>41302.6</v>
      </c>
      <c r="GO123">
        <v>41750.3</v>
      </c>
      <c r="GP123">
        <v>1.95508</v>
      </c>
      <c r="GQ123">
        <v>1.83498</v>
      </c>
      <c r="GR123">
        <v>-0.0341572</v>
      </c>
      <c r="GS123">
        <v>0</v>
      </c>
      <c r="GT123">
        <v>25.556</v>
      </c>
      <c r="GU123">
        <v>999.9</v>
      </c>
      <c r="GV123">
        <v>38.7</v>
      </c>
      <c r="GW123">
        <v>33.9</v>
      </c>
      <c r="GX123">
        <v>22.8237</v>
      </c>
      <c r="GY123">
        <v>62.6276</v>
      </c>
      <c r="GZ123">
        <v>35.2204</v>
      </c>
      <c r="HA123">
        <v>1</v>
      </c>
      <c r="HB123">
        <v>0.138552</v>
      </c>
      <c r="HC123">
        <v>2.22803</v>
      </c>
      <c r="HD123">
        <v>20.319</v>
      </c>
      <c r="HE123">
        <v>5.21744</v>
      </c>
      <c r="HF123">
        <v>12.0099</v>
      </c>
      <c r="HG123">
        <v>4.9888</v>
      </c>
      <c r="HH123">
        <v>3.28858</v>
      </c>
      <c r="HI123">
        <v>852.2</v>
      </c>
      <c r="HJ123">
        <v>8481.700000000001</v>
      </c>
      <c r="HK123">
        <v>5139.4</v>
      </c>
      <c r="HL123">
        <v>22.9</v>
      </c>
      <c r="HM123">
        <v>1.86751</v>
      </c>
      <c r="HN123">
        <v>1.86646</v>
      </c>
      <c r="HO123">
        <v>1.866</v>
      </c>
      <c r="HP123">
        <v>1.86586</v>
      </c>
      <c r="HQ123">
        <v>1.86772</v>
      </c>
      <c r="HR123">
        <v>1.87026</v>
      </c>
      <c r="HS123">
        <v>1.8689</v>
      </c>
      <c r="HT123">
        <v>1.87027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-1.669</v>
      </c>
      <c r="II123">
        <v>0.0068</v>
      </c>
      <c r="IJ123">
        <v>-0.4995723906072</v>
      </c>
      <c r="IK123">
        <v>-0.002077099775823331</v>
      </c>
      <c r="IL123">
        <v>4.593143279902166E-07</v>
      </c>
      <c r="IM123">
        <v>-1.865383991892071E-10</v>
      </c>
      <c r="IN123">
        <v>-0.07605349583632376</v>
      </c>
      <c r="IO123">
        <v>-0.01129461987421345</v>
      </c>
      <c r="IP123">
        <v>0.00116580895745559</v>
      </c>
      <c r="IQ123">
        <v>-1.679085872906199E-05</v>
      </c>
      <c r="IR123">
        <v>2</v>
      </c>
      <c r="IS123">
        <v>2290</v>
      </c>
      <c r="IT123">
        <v>0</v>
      </c>
      <c r="IU123">
        <v>32</v>
      </c>
      <c r="IV123">
        <v>8</v>
      </c>
      <c r="IW123">
        <v>7.6</v>
      </c>
      <c r="IX123">
        <v>1.56128</v>
      </c>
      <c r="IY123">
        <v>2.22168</v>
      </c>
      <c r="IZ123">
        <v>1.39648</v>
      </c>
      <c r="JA123">
        <v>2.3584</v>
      </c>
      <c r="JB123">
        <v>1.49536</v>
      </c>
      <c r="JC123">
        <v>2.32544</v>
      </c>
      <c r="JD123">
        <v>38.4034</v>
      </c>
      <c r="JE123">
        <v>24.0437</v>
      </c>
      <c r="JF123">
        <v>18</v>
      </c>
      <c r="JG123">
        <v>514.932</v>
      </c>
      <c r="JH123">
        <v>423.337</v>
      </c>
      <c r="JI123">
        <v>22.6582</v>
      </c>
      <c r="JJ123">
        <v>29.121</v>
      </c>
      <c r="JK123">
        <v>30</v>
      </c>
      <c r="JL123">
        <v>29.1223</v>
      </c>
      <c r="JM123">
        <v>29.0603</v>
      </c>
      <c r="JN123">
        <v>31.2459</v>
      </c>
      <c r="JO123">
        <v>56.5973</v>
      </c>
      <c r="JP123">
        <v>0</v>
      </c>
      <c r="JQ123">
        <v>22.664</v>
      </c>
      <c r="JR123">
        <v>708.029</v>
      </c>
      <c r="JS123">
        <v>8.6159</v>
      </c>
      <c r="JT123">
        <v>100.3</v>
      </c>
      <c r="JU123">
        <v>100.208</v>
      </c>
    </row>
    <row r="124" spans="1:281">
      <c r="A124">
        <v>108</v>
      </c>
      <c r="B124">
        <v>1651857501.1</v>
      </c>
      <c r="C124">
        <v>500.5</v>
      </c>
      <c r="D124" t="s">
        <v>643</v>
      </c>
      <c r="E124" t="s">
        <v>644</v>
      </c>
      <c r="F124">
        <v>2</v>
      </c>
      <c r="G124" t="s">
        <v>413</v>
      </c>
      <c r="H124" t="s">
        <v>414</v>
      </c>
      <c r="I124">
        <v>1651857500.1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692.4930070489302</v>
      </c>
      <c r="AK124">
        <v>642.9258545454542</v>
      </c>
      <c r="AL124">
        <v>3.39210369000231</v>
      </c>
      <c r="AM124">
        <v>66.38384787954378</v>
      </c>
      <c r="AN124">
        <f>(AP124 - AO124 + DI124*1E3/(8.314*(DK124+273.15)) * AR124/DH124 * AQ124) * DH124/(100*CV124) * 1000/(1000 - AP124)</f>
        <v>0</v>
      </c>
      <c r="AO124">
        <v>8.63522363406125</v>
      </c>
      <c r="AP124">
        <v>18.44559852941175</v>
      </c>
      <c r="AQ124">
        <v>1.662699061727097E-05</v>
      </c>
      <c r="AR124">
        <v>80.44866334591464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417</v>
      </c>
      <c r="AY124" t="s">
        <v>417</v>
      </c>
      <c r="AZ124">
        <v>0</v>
      </c>
      <c r="BA124">
        <v>0</v>
      </c>
      <c r="BB124">
        <f>1-AZ124/BA124</f>
        <v>0</v>
      </c>
      <c r="BC124">
        <v>0</v>
      </c>
      <c r="BD124" t="s">
        <v>417</v>
      </c>
      <c r="BE124" t="s">
        <v>417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1238</v>
      </c>
      <c r="CA124">
        <v>300</v>
      </c>
      <c r="CB124">
        <v>300</v>
      </c>
      <c r="CC124">
        <v>300</v>
      </c>
      <c r="CD124">
        <v>10440.5</v>
      </c>
      <c r="CE124">
        <v>1411.69</v>
      </c>
      <c r="CF124">
        <v>-0.00735121</v>
      </c>
      <c r="CG124">
        <v>-0.77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1651857500.1</v>
      </c>
      <c r="DB124">
        <v>629.3996666666667</v>
      </c>
      <c r="DC124">
        <v>692.4046666666667</v>
      </c>
      <c r="DD124">
        <v>18.4457</v>
      </c>
      <c r="DE124">
        <v>8.635060000000001</v>
      </c>
      <c r="DF124">
        <v>631.0743333333334</v>
      </c>
      <c r="DG124">
        <v>18.4389</v>
      </c>
      <c r="DH124">
        <v>500.0276666666667</v>
      </c>
      <c r="DI124">
        <v>90.09343333333334</v>
      </c>
      <c r="DJ124">
        <v>0.09998076666666667</v>
      </c>
      <c r="DK124">
        <v>25.77036666666666</v>
      </c>
      <c r="DL124">
        <v>24.9944</v>
      </c>
      <c r="DM124">
        <v>999.9</v>
      </c>
      <c r="DN124">
        <v>0</v>
      </c>
      <c r="DO124">
        <v>0</v>
      </c>
      <c r="DP124">
        <v>9983.75</v>
      </c>
      <c r="DQ124">
        <v>0</v>
      </c>
      <c r="DR124">
        <v>3.20383</v>
      </c>
      <c r="DS124">
        <v>-63.0049</v>
      </c>
      <c r="DT124">
        <v>641.2276666666666</v>
      </c>
      <c r="DU124">
        <v>698.4353333333332</v>
      </c>
      <c r="DV124">
        <v>9.810603333333333</v>
      </c>
      <c r="DW124">
        <v>692.4046666666667</v>
      </c>
      <c r="DX124">
        <v>8.635060000000001</v>
      </c>
      <c r="DY124">
        <v>1.661833333333333</v>
      </c>
      <c r="DZ124">
        <v>0.777962</v>
      </c>
      <c r="EA124">
        <v>14.54443333333334</v>
      </c>
      <c r="EB124">
        <v>3.311426666666666</v>
      </c>
      <c r="EC124">
        <v>1500.103333333333</v>
      </c>
      <c r="ED124">
        <v>0.973007</v>
      </c>
      <c r="EE124">
        <v>0.0269931</v>
      </c>
      <c r="EF124">
        <v>0</v>
      </c>
      <c r="EG124">
        <v>1049.266666666667</v>
      </c>
      <c r="EH124">
        <v>5.00097</v>
      </c>
      <c r="EI124">
        <v>15582.53333333333</v>
      </c>
      <c r="EJ124">
        <v>12492.43333333333</v>
      </c>
      <c r="EK124">
        <v>37.5</v>
      </c>
      <c r="EL124">
        <v>39</v>
      </c>
      <c r="EM124">
        <v>37.875</v>
      </c>
      <c r="EN124">
        <v>38.75</v>
      </c>
      <c r="EO124">
        <v>38.375</v>
      </c>
      <c r="EP124">
        <v>1454.743333333333</v>
      </c>
      <c r="EQ124">
        <v>40.36</v>
      </c>
      <c r="ER124">
        <v>0</v>
      </c>
      <c r="ES124">
        <v>499.8000001907349</v>
      </c>
      <c r="ET124">
        <v>0</v>
      </c>
      <c r="EU124">
        <v>1049.780384615385</v>
      </c>
      <c r="EV124">
        <v>-2.519316228126239</v>
      </c>
      <c r="EW124">
        <v>-39.89401708722971</v>
      </c>
      <c r="EX124">
        <v>15588.12692307692</v>
      </c>
      <c r="EY124">
        <v>15</v>
      </c>
      <c r="EZ124">
        <v>1651857041.1</v>
      </c>
      <c r="FA124" t="s">
        <v>419</v>
      </c>
      <c r="FB124">
        <v>1651857019.6</v>
      </c>
      <c r="FC124">
        <v>1651857041.1</v>
      </c>
      <c r="FD124">
        <v>1</v>
      </c>
      <c r="FE124">
        <v>0.545</v>
      </c>
      <c r="FF124">
        <v>-0.002</v>
      </c>
      <c r="FG124">
        <v>-1.271</v>
      </c>
      <c r="FH124">
        <v>-0.09</v>
      </c>
      <c r="FI124">
        <v>400</v>
      </c>
      <c r="FJ124">
        <v>10</v>
      </c>
      <c r="FK124">
        <v>0.1</v>
      </c>
      <c r="FL124">
        <v>0.02</v>
      </c>
      <c r="FM124">
        <v>-62.70028048780487</v>
      </c>
      <c r="FN124">
        <v>-2.307896864111656</v>
      </c>
      <c r="FO124">
        <v>0.2516770183598289</v>
      </c>
      <c r="FP124">
        <v>-1</v>
      </c>
      <c r="FQ124">
        <v>9.809837317073171</v>
      </c>
      <c r="FR124">
        <v>0.02508606271779175</v>
      </c>
      <c r="FS124">
        <v>0.003344426761476243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432</v>
      </c>
      <c r="GB124">
        <v>2.97989</v>
      </c>
      <c r="GC124">
        <v>2.70607</v>
      </c>
      <c r="GD124">
        <v>0.126099</v>
      </c>
      <c r="GE124">
        <v>0.132947</v>
      </c>
      <c r="GF124">
        <v>0.0880836</v>
      </c>
      <c r="GG124">
        <v>0.0494597</v>
      </c>
      <c r="GH124">
        <v>27573.6</v>
      </c>
      <c r="GI124">
        <v>27416.8</v>
      </c>
      <c r="GJ124">
        <v>29341.4</v>
      </c>
      <c r="GK124">
        <v>29254.2</v>
      </c>
      <c r="GL124">
        <v>35433.1</v>
      </c>
      <c r="GM124">
        <v>37034.9</v>
      </c>
      <c r="GN124">
        <v>41302.1</v>
      </c>
      <c r="GO124">
        <v>41750.5</v>
      </c>
      <c r="GP124">
        <v>1.95525</v>
      </c>
      <c r="GQ124">
        <v>1.8352</v>
      </c>
      <c r="GR124">
        <v>-0.0343733</v>
      </c>
      <c r="GS124">
        <v>0</v>
      </c>
      <c r="GT124">
        <v>25.5562</v>
      </c>
      <c r="GU124">
        <v>999.9</v>
      </c>
      <c r="GV124">
        <v>38.7</v>
      </c>
      <c r="GW124">
        <v>33.9</v>
      </c>
      <c r="GX124">
        <v>22.8212</v>
      </c>
      <c r="GY124">
        <v>62.4576</v>
      </c>
      <c r="GZ124">
        <v>35.5769</v>
      </c>
      <c r="HA124">
        <v>1</v>
      </c>
      <c r="HB124">
        <v>0.138529</v>
      </c>
      <c r="HC124">
        <v>2.21888</v>
      </c>
      <c r="HD124">
        <v>20.3191</v>
      </c>
      <c r="HE124">
        <v>5.21729</v>
      </c>
      <c r="HF124">
        <v>12.0099</v>
      </c>
      <c r="HG124">
        <v>4.9888</v>
      </c>
      <c r="HH124">
        <v>3.28858</v>
      </c>
      <c r="HI124">
        <v>852.2</v>
      </c>
      <c r="HJ124">
        <v>8481.700000000001</v>
      </c>
      <c r="HK124">
        <v>5139.4</v>
      </c>
      <c r="HL124">
        <v>22.9</v>
      </c>
      <c r="HM124">
        <v>1.86751</v>
      </c>
      <c r="HN124">
        <v>1.86646</v>
      </c>
      <c r="HO124">
        <v>1.866</v>
      </c>
      <c r="HP124">
        <v>1.86586</v>
      </c>
      <c r="HQ124">
        <v>1.86772</v>
      </c>
      <c r="HR124">
        <v>1.87026</v>
      </c>
      <c r="HS124">
        <v>1.8689</v>
      </c>
      <c r="HT124">
        <v>1.87027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-1.68</v>
      </c>
      <c r="II124">
        <v>0.0068</v>
      </c>
      <c r="IJ124">
        <v>-0.4995723906072</v>
      </c>
      <c r="IK124">
        <v>-0.002077099775823331</v>
      </c>
      <c r="IL124">
        <v>4.593143279902166E-07</v>
      </c>
      <c r="IM124">
        <v>-1.865383991892071E-10</v>
      </c>
      <c r="IN124">
        <v>-0.07605349583632376</v>
      </c>
      <c r="IO124">
        <v>-0.01129461987421345</v>
      </c>
      <c r="IP124">
        <v>0.00116580895745559</v>
      </c>
      <c r="IQ124">
        <v>-1.679085872906199E-05</v>
      </c>
      <c r="IR124">
        <v>2</v>
      </c>
      <c r="IS124">
        <v>2290</v>
      </c>
      <c r="IT124">
        <v>0</v>
      </c>
      <c r="IU124">
        <v>32</v>
      </c>
      <c r="IV124">
        <v>8</v>
      </c>
      <c r="IW124">
        <v>7.7</v>
      </c>
      <c r="IX124">
        <v>1.57349</v>
      </c>
      <c r="IY124">
        <v>2.2229</v>
      </c>
      <c r="IZ124">
        <v>1.39648</v>
      </c>
      <c r="JA124">
        <v>2.35962</v>
      </c>
      <c r="JB124">
        <v>1.49536</v>
      </c>
      <c r="JC124">
        <v>2.30103</v>
      </c>
      <c r="JD124">
        <v>38.4034</v>
      </c>
      <c r="JE124">
        <v>24.035</v>
      </c>
      <c r="JF124">
        <v>18</v>
      </c>
      <c r="JG124">
        <v>515.039</v>
      </c>
      <c r="JH124">
        <v>423.462</v>
      </c>
      <c r="JI124">
        <v>22.6581</v>
      </c>
      <c r="JJ124">
        <v>29.12</v>
      </c>
      <c r="JK124">
        <v>30</v>
      </c>
      <c r="JL124">
        <v>29.1212</v>
      </c>
      <c r="JM124">
        <v>29.0591</v>
      </c>
      <c r="JN124">
        <v>31.4864</v>
      </c>
      <c r="JO124">
        <v>56.5973</v>
      </c>
      <c r="JP124">
        <v>0</v>
      </c>
      <c r="JQ124">
        <v>22.664</v>
      </c>
      <c r="JR124">
        <v>714.7089999999999</v>
      </c>
      <c r="JS124">
        <v>8.61154</v>
      </c>
      <c r="JT124">
        <v>100.299</v>
      </c>
      <c r="JU124">
        <v>100.208</v>
      </c>
    </row>
    <row r="125" spans="1:281">
      <c r="A125">
        <v>109</v>
      </c>
      <c r="B125">
        <v>1651857503.1</v>
      </c>
      <c r="C125">
        <v>502.5</v>
      </c>
      <c r="D125" t="s">
        <v>645</v>
      </c>
      <c r="E125" t="s">
        <v>646</v>
      </c>
      <c r="F125">
        <v>2</v>
      </c>
      <c r="G125" t="s">
        <v>413</v>
      </c>
      <c r="H125" t="s">
        <v>414</v>
      </c>
      <c r="I125">
        <v>1651857501.725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699.1923307803831</v>
      </c>
      <c r="AK125">
        <v>649.7184848484848</v>
      </c>
      <c r="AL125">
        <v>3.393279517020134</v>
      </c>
      <c r="AM125">
        <v>66.38384787954378</v>
      </c>
      <c r="AN125">
        <f>(AP125 - AO125 + DI125*1E3/(8.314*(DK125+273.15)) * AR125/DH125 * AQ125) * DH125/(100*CV125) * 1000/(1000 - AP125)</f>
        <v>0</v>
      </c>
      <c r="AO125">
        <v>8.635095733408177</v>
      </c>
      <c r="AP125">
        <v>18.44472088235294</v>
      </c>
      <c r="AQ125">
        <v>-1.031145635979333E-06</v>
      </c>
      <c r="AR125">
        <v>80.44866334591464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417</v>
      </c>
      <c r="AY125" t="s">
        <v>417</v>
      </c>
      <c r="AZ125">
        <v>0</v>
      </c>
      <c r="BA125">
        <v>0</v>
      </c>
      <c r="BB125">
        <f>1-AZ125/BA125</f>
        <v>0</v>
      </c>
      <c r="BC125">
        <v>0</v>
      </c>
      <c r="BD125" t="s">
        <v>417</v>
      </c>
      <c r="BE125" t="s">
        <v>417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1238</v>
      </c>
      <c r="CA125">
        <v>300</v>
      </c>
      <c r="CB125">
        <v>300</v>
      </c>
      <c r="CC125">
        <v>300</v>
      </c>
      <c r="CD125">
        <v>10440.5</v>
      </c>
      <c r="CE125">
        <v>1411.69</v>
      </c>
      <c r="CF125">
        <v>-0.00735121</v>
      </c>
      <c r="CG125">
        <v>-0.77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1651857501.725</v>
      </c>
      <c r="DB125">
        <v>634.819</v>
      </c>
      <c r="DC125">
        <v>697.7954999999999</v>
      </c>
      <c r="DD125">
        <v>18.44545</v>
      </c>
      <c r="DE125">
        <v>8.635235</v>
      </c>
      <c r="DF125">
        <v>636.50275</v>
      </c>
      <c r="DG125">
        <v>18.43865</v>
      </c>
      <c r="DH125">
        <v>500.0235</v>
      </c>
      <c r="DI125">
        <v>90.093675</v>
      </c>
      <c r="DJ125">
        <v>0.099939625</v>
      </c>
      <c r="DK125">
        <v>25.771175</v>
      </c>
      <c r="DL125">
        <v>24.992425</v>
      </c>
      <c r="DM125">
        <v>999.9</v>
      </c>
      <c r="DN125">
        <v>0</v>
      </c>
      <c r="DO125">
        <v>0</v>
      </c>
      <c r="DP125">
        <v>9989.674999999999</v>
      </c>
      <c r="DQ125">
        <v>0</v>
      </c>
      <c r="DR125">
        <v>3.20383</v>
      </c>
      <c r="DS125">
        <v>-62.97687499999999</v>
      </c>
      <c r="DT125">
        <v>646.7484999999999</v>
      </c>
      <c r="DU125">
        <v>703.87375</v>
      </c>
      <c r="DV125">
        <v>9.810192499999999</v>
      </c>
      <c r="DW125">
        <v>697.7954999999999</v>
      </c>
      <c r="DX125">
        <v>8.635235</v>
      </c>
      <c r="DY125">
        <v>1.6618175</v>
      </c>
      <c r="DZ125">
        <v>0.77798</v>
      </c>
      <c r="EA125">
        <v>14.544275</v>
      </c>
      <c r="EB125">
        <v>3.3117525</v>
      </c>
      <c r="EC125">
        <v>1500.035</v>
      </c>
      <c r="ED125">
        <v>0.97300575</v>
      </c>
      <c r="EE125">
        <v>0.02699445</v>
      </c>
      <c r="EF125">
        <v>0</v>
      </c>
      <c r="EG125">
        <v>1049.2975</v>
      </c>
      <c r="EH125">
        <v>5.00097</v>
      </c>
      <c r="EI125">
        <v>15578.25</v>
      </c>
      <c r="EJ125">
        <v>12491.9</v>
      </c>
      <c r="EK125">
        <v>37.5</v>
      </c>
      <c r="EL125">
        <v>39</v>
      </c>
      <c r="EM125">
        <v>37.906</v>
      </c>
      <c r="EN125">
        <v>38.75</v>
      </c>
      <c r="EO125">
        <v>38.375</v>
      </c>
      <c r="EP125">
        <v>1454.675</v>
      </c>
      <c r="EQ125">
        <v>40.36</v>
      </c>
      <c r="ER125">
        <v>0</v>
      </c>
      <c r="ES125">
        <v>502.2000000476837</v>
      </c>
      <c r="ET125">
        <v>0</v>
      </c>
      <c r="EU125">
        <v>1049.655384615385</v>
      </c>
      <c r="EV125">
        <v>-3.352478619233912</v>
      </c>
      <c r="EW125">
        <v>-66.15384611920773</v>
      </c>
      <c r="EX125">
        <v>15586.02307692308</v>
      </c>
      <c r="EY125">
        <v>15</v>
      </c>
      <c r="EZ125">
        <v>1651857041.1</v>
      </c>
      <c r="FA125" t="s">
        <v>419</v>
      </c>
      <c r="FB125">
        <v>1651857019.6</v>
      </c>
      <c r="FC125">
        <v>1651857041.1</v>
      </c>
      <c r="FD125">
        <v>1</v>
      </c>
      <c r="FE125">
        <v>0.545</v>
      </c>
      <c r="FF125">
        <v>-0.002</v>
      </c>
      <c r="FG125">
        <v>-1.271</v>
      </c>
      <c r="FH125">
        <v>-0.09</v>
      </c>
      <c r="FI125">
        <v>400</v>
      </c>
      <c r="FJ125">
        <v>10</v>
      </c>
      <c r="FK125">
        <v>0.1</v>
      </c>
      <c r="FL125">
        <v>0.02</v>
      </c>
      <c r="FM125">
        <v>-62.77076829268292</v>
      </c>
      <c r="FN125">
        <v>-2.320718466898957</v>
      </c>
      <c r="FO125">
        <v>0.2522428914988866</v>
      </c>
      <c r="FP125">
        <v>-1</v>
      </c>
      <c r="FQ125">
        <v>9.810900731707315</v>
      </c>
      <c r="FR125">
        <v>0.005307595818825625</v>
      </c>
      <c r="FS125">
        <v>0.001611825794381463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432</v>
      </c>
      <c r="GB125">
        <v>2.97989</v>
      </c>
      <c r="GC125">
        <v>2.70615</v>
      </c>
      <c r="GD125">
        <v>0.127015</v>
      </c>
      <c r="GE125">
        <v>0.133822</v>
      </c>
      <c r="GF125">
        <v>0.0880843</v>
      </c>
      <c r="GG125">
        <v>0.0494642</v>
      </c>
      <c r="GH125">
        <v>27544.4</v>
      </c>
      <c r="GI125">
        <v>27389.2</v>
      </c>
      <c r="GJ125">
        <v>29341.1</v>
      </c>
      <c r="GK125">
        <v>29254.3</v>
      </c>
      <c r="GL125">
        <v>35432.7</v>
      </c>
      <c r="GM125">
        <v>37035</v>
      </c>
      <c r="GN125">
        <v>41301.6</v>
      </c>
      <c r="GO125">
        <v>41750.8</v>
      </c>
      <c r="GP125">
        <v>1.95518</v>
      </c>
      <c r="GQ125">
        <v>1.83535</v>
      </c>
      <c r="GR125">
        <v>-0.0342391</v>
      </c>
      <c r="GS125">
        <v>0</v>
      </c>
      <c r="GT125">
        <v>25.5562</v>
      </c>
      <c r="GU125">
        <v>999.9</v>
      </c>
      <c r="GV125">
        <v>38.7</v>
      </c>
      <c r="GW125">
        <v>33.9</v>
      </c>
      <c r="GX125">
        <v>22.8258</v>
      </c>
      <c r="GY125">
        <v>62.4076</v>
      </c>
      <c r="GZ125">
        <v>35.3846</v>
      </c>
      <c r="HA125">
        <v>1</v>
      </c>
      <c r="HB125">
        <v>0.138478</v>
      </c>
      <c r="HC125">
        <v>2.21081</v>
      </c>
      <c r="HD125">
        <v>20.3189</v>
      </c>
      <c r="HE125">
        <v>5.21729</v>
      </c>
      <c r="HF125">
        <v>12.0099</v>
      </c>
      <c r="HG125">
        <v>4.98875</v>
      </c>
      <c r="HH125">
        <v>3.2885</v>
      </c>
      <c r="HI125">
        <v>852.2</v>
      </c>
      <c r="HJ125">
        <v>8481.700000000001</v>
      </c>
      <c r="HK125">
        <v>5139.4</v>
      </c>
      <c r="HL125">
        <v>22.9</v>
      </c>
      <c r="HM125">
        <v>1.86751</v>
      </c>
      <c r="HN125">
        <v>1.86646</v>
      </c>
      <c r="HO125">
        <v>1.866</v>
      </c>
      <c r="HP125">
        <v>1.86586</v>
      </c>
      <c r="HQ125">
        <v>1.86771</v>
      </c>
      <c r="HR125">
        <v>1.87025</v>
      </c>
      <c r="HS125">
        <v>1.8689</v>
      </c>
      <c r="HT125">
        <v>1.87027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-1.692</v>
      </c>
      <c r="II125">
        <v>0.0068</v>
      </c>
      <c r="IJ125">
        <v>-0.4995723906072</v>
      </c>
      <c r="IK125">
        <v>-0.002077099775823331</v>
      </c>
      <c r="IL125">
        <v>4.593143279902166E-07</v>
      </c>
      <c r="IM125">
        <v>-1.865383991892071E-10</v>
      </c>
      <c r="IN125">
        <v>-0.07605349583632376</v>
      </c>
      <c r="IO125">
        <v>-0.01129461987421345</v>
      </c>
      <c r="IP125">
        <v>0.00116580895745559</v>
      </c>
      <c r="IQ125">
        <v>-1.679085872906199E-05</v>
      </c>
      <c r="IR125">
        <v>2</v>
      </c>
      <c r="IS125">
        <v>2290</v>
      </c>
      <c r="IT125">
        <v>0</v>
      </c>
      <c r="IU125">
        <v>32</v>
      </c>
      <c r="IV125">
        <v>8.1</v>
      </c>
      <c r="IW125">
        <v>7.7</v>
      </c>
      <c r="IX125">
        <v>1.58447</v>
      </c>
      <c r="IY125">
        <v>2.21924</v>
      </c>
      <c r="IZ125">
        <v>1.39648</v>
      </c>
      <c r="JA125">
        <v>2.35962</v>
      </c>
      <c r="JB125">
        <v>1.49536</v>
      </c>
      <c r="JC125">
        <v>2.35718</v>
      </c>
      <c r="JD125">
        <v>38.4034</v>
      </c>
      <c r="JE125">
        <v>24.0437</v>
      </c>
      <c r="JF125">
        <v>18</v>
      </c>
      <c r="JG125">
        <v>514.979</v>
      </c>
      <c r="JH125">
        <v>423.549</v>
      </c>
      <c r="JI125">
        <v>22.6584</v>
      </c>
      <c r="JJ125">
        <v>29.1187</v>
      </c>
      <c r="JK125">
        <v>30</v>
      </c>
      <c r="JL125">
        <v>29.12</v>
      </c>
      <c r="JM125">
        <v>29.0588</v>
      </c>
      <c r="JN125">
        <v>31.723</v>
      </c>
      <c r="JO125">
        <v>56.5973</v>
      </c>
      <c r="JP125">
        <v>0</v>
      </c>
      <c r="JQ125">
        <v>22.662</v>
      </c>
      <c r="JR125">
        <v>721.388</v>
      </c>
      <c r="JS125">
        <v>8.60929</v>
      </c>
      <c r="JT125">
        <v>100.298</v>
      </c>
      <c r="JU125">
        <v>100.209</v>
      </c>
    </row>
    <row r="126" spans="1:281">
      <c r="A126">
        <v>110</v>
      </c>
      <c r="B126">
        <v>1651857504.6</v>
      </c>
      <c r="C126">
        <v>504</v>
      </c>
      <c r="D126" t="s">
        <v>647</v>
      </c>
      <c r="E126" t="s">
        <v>648</v>
      </c>
      <c r="F126">
        <v>2</v>
      </c>
      <c r="G126" t="s">
        <v>413</v>
      </c>
      <c r="H126" t="s">
        <v>414</v>
      </c>
      <c r="I126">
        <v>1651857503.1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704.2172962821924</v>
      </c>
      <c r="AK126">
        <v>654.7547818181819</v>
      </c>
      <c r="AL126">
        <v>3.376978092421488</v>
      </c>
      <c r="AM126">
        <v>66.38384787954378</v>
      </c>
      <c r="AN126">
        <f>(AP126 - AO126 + DI126*1E3/(8.314*(DK126+273.15)) * AR126/DH126 * AQ126) * DH126/(100*CV126) * 1000/(1000 - AP126)</f>
        <v>0</v>
      </c>
      <c r="AO126">
        <v>8.634971644843342</v>
      </c>
      <c r="AP126">
        <v>18.44703382352941</v>
      </c>
      <c r="AQ126">
        <v>-4.377530591433034E-05</v>
      </c>
      <c r="AR126">
        <v>80.44866334591464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417</v>
      </c>
      <c r="AY126" t="s">
        <v>417</v>
      </c>
      <c r="AZ126">
        <v>0</v>
      </c>
      <c r="BA126">
        <v>0</v>
      </c>
      <c r="BB126">
        <f>1-AZ126/BA126</f>
        <v>0</v>
      </c>
      <c r="BC126">
        <v>0</v>
      </c>
      <c r="BD126" t="s">
        <v>417</v>
      </c>
      <c r="BE126" t="s">
        <v>417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1238</v>
      </c>
      <c r="CA126">
        <v>300</v>
      </c>
      <c r="CB126">
        <v>300</v>
      </c>
      <c r="CC126">
        <v>300</v>
      </c>
      <c r="CD126">
        <v>10440.5</v>
      </c>
      <c r="CE126">
        <v>1411.69</v>
      </c>
      <c r="CF126">
        <v>-0.00735121</v>
      </c>
      <c r="CG126">
        <v>-0.77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1651857503.1</v>
      </c>
      <c r="DB126">
        <v>639.376</v>
      </c>
      <c r="DC126">
        <v>702.4235</v>
      </c>
      <c r="DD126">
        <v>18.4464</v>
      </c>
      <c r="DE126">
        <v>8.6358725</v>
      </c>
      <c r="DF126">
        <v>641.06775</v>
      </c>
      <c r="DG126">
        <v>18.439575</v>
      </c>
      <c r="DH126">
        <v>500.04075</v>
      </c>
      <c r="DI126">
        <v>90.09295</v>
      </c>
      <c r="DJ126">
        <v>0.099861275</v>
      </c>
      <c r="DK126">
        <v>25.7706</v>
      </c>
      <c r="DL126">
        <v>24.9945</v>
      </c>
      <c r="DM126">
        <v>999.9</v>
      </c>
      <c r="DN126">
        <v>0</v>
      </c>
      <c r="DO126">
        <v>0</v>
      </c>
      <c r="DP126">
        <v>10010.6</v>
      </c>
      <c r="DQ126">
        <v>0</v>
      </c>
      <c r="DR126">
        <v>3.20383</v>
      </c>
      <c r="DS126">
        <v>-63.0477</v>
      </c>
      <c r="DT126">
        <v>651.3920000000001</v>
      </c>
      <c r="DU126">
        <v>708.5425</v>
      </c>
      <c r="DV126">
        <v>9.810527499999999</v>
      </c>
      <c r="DW126">
        <v>702.4235</v>
      </c>
      <c r="DX126">
        <v>8.6358725</v>
      </c>
      <c r="DY126">
        <v>1.6618925</v>
      </c>
      <c r="DZ126">
        <v>0.7780315</v>
      </c>
      <c r="EA126">
        <v>14.545</v>
      </c>
      <c r="EB126">
        <v>3.312685</v>
      </c>
      <c r="EC126">
        <v>1499.9575</v>
      </c>
      <c r="ED126">
        <v>0.9730045</v>
      </c>
      <c r="EE126">
        <v>0.0269958</v>
      </c>
      <c r="EF126">
        <v>0</v>
      </c>
      <c r="EG126">
        <v>1049.0775</v>
      </c>
      <c r="EH126">
        <v>5.00097</v>
      </c>
      <c r="EI126">
        <v>15573.675</v>
      </c>
      <c r="EJ126">
        <v>12491.25</v>
      </c>
      <c r="EK126">
        <v>37.5</v>
      </c>
      <c r="EL126">
        <v>39</v>
      </c>
      <c r="EM126">
        <v>37.92149999999999</v>
      </c>
      <c r="EN126">
        <v>38.75</v>
      </c>
      <c r="EO126">
        <v>38.375</v>
      </c>
      <c r="EP126">
        <v>1454.5975</v>
      </c>
      <c r="EQ126">
        <v>40.36</v>
      </c>
      <c r="ER126">
        <v>0</v>
      </c>
      <c r="ES126">
        <v>503.4000000953674</v>
      </c>
      <c r="ET126">
        <v>0</v>
      </c>
      <c r="EU126">
        <v>1049.553461538462</v>
      </c>
      <c r="EV126">
        <v>-4.801025622650752</v>
      </c>
      <c r="EW126">
        <v>-80.0478631123752</v>
      </c>
      <c r="EX126">
        <v>15584.43076923077</v>
      </c>
      <c r="EY126">
        <v>15</v>
      </c>
      <c r="EZ126">
        <v>1651857041.1</v>
      </c>
      <c r="FA126" t="s">
        <v>419</v>
      </c>
      <c r="FB126">
        <v>1651857019.6</v>
      </c>
      <c r="FC126">
        <v>1651857041.1</v>
      </c>
      <c r="FD126">
        <v>1</v>
      </c>
      <c r="FE126">
        <v>0.545</v>
      </c>
      <c r="FF126">
        <v>-0.002</v>
      </c>
      <c r="FG126">
        <v>-1.271</v>
      </c>
      <c r="FH126">
        <v>-0.09</v>
      </c>
      <c r="FI126">
        <v>400</v>
      </c>
      <c r="FJ126">
        <v>10</v>
      </c>
      <c r="FK126">
        <v>0.1</v>
      </c>
      <c r="FL126">
        <v>0.02</v>
      </c>
      <c r="FM126">
        <v>-62.8027756097561</v>
      </c>
      <c r="FN126">
        <v>-2.239603484320622</v>
      </c>
      <c r="FO126">
        <v>0.2460999001798467</v>
      </c>
      <c r="FP126">
        <v>-1</v>
      </c>
      <c r="FQ126">
        <v>9.810959024390245</v>
      </c>
      <c r="FR126">
        <v>0.002836515679427816</v>
      </c>
      <c r="FS126">
        <v>0.001552805179742148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432</v>
      </c>
      <c r="GB126">
        <v>2.98002</v>
      </c>
      <c r="GC126">
        <v>2.70621</v>
      </c>
      <c r="GD126">
        <v>0.127695</v>
      </c>
      <c r="GE126">
        <v>0.134478</v>
      </c>
      <c r="GF126">
        <v>0.08808879999999999</v>
      </c>
      <c r="GG126">
        <v>0.0494628</v>
      </c>
      <c r="GH126">
        <v>27522.8</v>
      </c>
      <c r="GI126">
        <v>27368.5</v>
      </c>
      <c r="GJ126">
        <v>29340.9</v>
      </c>
      <c r="GK126">
        <v>29254.3</v>
      </c>
      <c r="GL126">
        <v>35432.5</v>
      </c>
      <c r="GM126">
        <v>37035</v>
      </c>
      <c r="GN126">
        <v>41301.5</v>
      </c>
      <c r="GO126">
        <v>41750.8</v>
      </c>
      <c r="GP126">
        <v>1.95522</v>
      </c>
      <c r="GQ126">
        <v>1.83525</v>
      </c>
      <c r="GR126">
        <v>-0.034079</v>
      </c>
      <c r="GS126">
        <v>0</v>
      </c>
      <c r="GT126">
        <v>25.5562</v>
      </c>
      <c r="GU126">
        <v>999.9</v>
      </c>
      <c r="GV126">
        <v>38.7</v>
      </c>
      <c r="GW126">
        <v>33.9</v>
      </c>
      <c r="GX126">
        <v>22.8247</v>
      </c>
      <c r="GY126">
        <v>62.4576</v>
      </c>
      <c r="GZ126">
        <v>35.4768</v>
      </c>
      <c r="HA126">
        <v>1</v>
      </c>
      <c r="HB126">
        <v>0.138438</v>
      </c>
      <c r="HC126">
        <v>2.20946</v>
      </c>
      <c r="HD126">
        <v>20.319</v>
      </c>
      <c r="HE126">
        <v>5.21714</v>
      </c>
      <c r="HF126">
        <v>12.0099</v>
      </c>
      <c r="HG126">
        <v>4.98865</v>
      </c>
      <c r="HH126">
        <v>3.2885</v>
      </c>
      <c r="HI126">
        <v>852.2</v>
      </c>
      <c r="HJ126">
        <v>8481.700000000001</v>
      </c>
      <c r="HK126">
        <v>5139.4</v>
      </c>
      <c r="HL126">
        <v>22.9</v>
      </c>
      <c r="HM126">
        <v>1.8675</v>
      </c>
      <c r="HN126">
        <v>1.86646</v>
      </c>
      <c r="HO126">
        <v>1.866</v>
      </c>
      <c r="HP126">
        <v>1.86586</v>
      </c>
      <c r="HQ126">
        <v>1.86771</v>
      </c>
      <c r="HR126">
        <v>1.87025</v>
      </c>
      <c r="HS126">
        <v>1.8689</v>
      </c>
      <c r="HT126">
        <v>1.87027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-1.7</v>
      </c>
      <c r="II126">
        <v>0.0069</v>
      </c>
      <c r="IJ126">
        <v>-0.4995723906072</v>
      </c>
      <c r="IK126">
        <v>-0.002077099775823331</v>
      </c>
      <c r="IL126">
        <v>4.593143279902166E-07</v>
      </c>
      <c r="IM126">
        <v>-1.865383991892071E-10</v>
      </c>
      <c r="IN126">
        <v>-0.07605349583632376</v>
      </c>
      <c r="IO126">
        <v>-0.01129461987421345</v>
      </c>
      <c r="IP126">
        <v>0.00116580895745559</v>
      </c>
      <c r="IQ126">
        <v>-1.679085872906199E-05</v>
      </c>
      <c r="IR126">
        <v>2</v>
      </c>
      <c r="IS126">
        <v>2290</v>
      </c>
      <c r="IT126">
        <v>0</v>
      </c>
      <c r="IU126">
        <v>32</v>
      </c>
      <c r="IV126">
        <v>8.1</v>
      </c>
      <c r="IW126">
        <v>7.7</v>
      </c>
      <c r="IX126">
        <v>1.59546</v>
      </c>
      <c r="IY126">
        <v>2.22534</v>
      </c>
      <c r="IZ126">
        <v>1.39648</v>
      </c>
      <c r="JA126">
        <v>2.35962</v>
      </c>
      <c r="JB126">
        <v>1.49536</v>
      </c>
      <c r="JC126">
        <v>2.29736</v>
      </c>
      <c r="JD126">
        <v>38.4034</v>
      </c>
      <c r="JE126">
        <v>24.035</v>
      </c>
      <c r="JF126">
        <v>18</v>
      </c>
      <c r="JG126">
        <v>515.009</v>
      </c>
      <c r="JH126">
        <v>423.489</v>
      </c>
      <c r="JI126">
        <v>22.6588</v>
      </c>
      <c r="JJ126">
        <v>29.1186</v>
      </c>
      <c r="JK126">
        <v>29.9999</v>
      </c>
      <c r="JL126">
        <v>29.1198</v>
      </c>
      <c r="JM126">
        <v>29.0588</v>
      </c>
      <c r="JN126">
        <v>31.9196</v>
      </c>
      <c r="JO126">
        <v>56.5973</v>
      </c>
      <c r="JP126">
        <v>0</v>
      </c>
      <c r="JQ126">
        <v>22.662</v>
      </c>
      <c r="JR126">
        <v>728.068</v>
      </c>
      <c r="JS126">
        <v>8.606579999999999</v>
      </c>
      <c r="JT126">
        <v>100.297</v>
      </c>
      <c r="JU126">
        <v>100.209</v>
      </c>
    </row>
    <row r="127" spans="1:281">
      <c r="A127">
        <v>111</v>
      </c>
      <c r="B127">
        <v>1651857506.6</v>
      </c>
      <c r="C127">
        <v>506</v>
      </c>
      <c r="D127" t="s">
        <v>649</v>
      </c>
      <c r="E127" t="s">
        <v>650</v>
      </c>
      <c r="F127">
        <v>2</v>
      </c>
      <c r="G127" t="s">
        <v>413</v>
      </c>
      <c r="H127" t="s">
        <v>414</v>
      </c>
      <c r="I127">
        <v>1651857505.6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711.0446158030441</v>
      </c>
      <c r="AK127">
        <v>661.5096363636363</v>
      </c>
      <c r="AL127">
        <v>3.372293022112669</v>
      </c>
      <c r="AM127">
        <v>66.38384787954378</v>
      </c>
      <c r="AN127">
        <f>(AP127 - AO127 + DI127*1E3/(8.314*(DK127+273.15)) * AR127/DH127 * AQ127) * DH127/(100*CV127) * 1000/(1000 - AP127)</f>
        <v>0</v>
      </c>
      <c r="AO127">
        <v>8.635503245814197</v>
      </c>
      <c r="AP127">
        <v>18.44715617647059</v>
      </c>
      <c r="AQ127">
        <v>-6.115314278758145E-06</v>
      </c>
      <c r="AR127">
        <v>80.44866334591464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417</v>
      </c>
      <c r="AY127" t="s">
        <v>417</v>
      </c>
      <c r="AZ127">
        <v>0</v>
      </c>
      <c r="BA127">
        <v>0</v>
      </c>
      <c r="BB127">
        <f>1-AZ127/BA127</f>
        <v>0</v>
      </c>
      <c r="BC127">
        <v>0</v>
      </c>
      <c r="BD127" t="s">
        <v>417</v>
      </c>
      <c r="BE127" t="s">
        <v>417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1238</v>
      </c>
      <c r="CA127">
        <v>300</v>
      </c>
      <c r="CB127">
        <v>300</v>
      </c>
      <c r="CC127">
        <v>300</v>
      </c>
      <c r="CD127">
        <v>10440.5</v>
      </c>
      <c r="CE127">
        <v>1411.69</v>
      </c>
      <c r="CF127">
        <v>-0.00735121</v>
      </c>
      <c r="CG127">
        <v>-0.77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1651857505.6</v>
      </c>
      <c r="DB127">
        <v>647.6476666666666</v>
      </c>
      <c r="DC127">
        <v>710.9029999999999</v>
      </c>
      <c r="DD127">
        <v>18.4465</v>
      </c>
      <c r="DE127">
        <v>8.635993333333333</v>
      </c>
      <c r="DF127">
        <v>649.3536666666666</v>
      </c>
      <c r="DG127">
        <v>18.4397</v>
      </c>
      <c r="DH127">
        <v>500.049</v>
      </c>
      <c r="DI127">
        <v>90.09099999999999</v>
      </c>
      <c r="DJ127">
        <v>0.1000546666666667</v>
      </c>
      <c r="DK127">
        <v>25.76653333333333</v>
      </c>
      <c r="DL127">
        <v>24.99666666666667</v>
      </c>
      <c r="DM127">
        <v>999.9</v>
      </c>
      <c r="DN127">
        <v>0</v>
      </c>
      <c r="DO127">
        <v>0</v>
      </c>
      <c r="DP127">
        <v>10009.4</v>
      </c>
      <c r="DQ127">
        <v>0</v>
      </c>
      <c r="DR127">
        <v>3.20383</v>
      </c>
      <c r="DS127">
        <v>-63.25496666666667</v>
      </c>
      <c r="DT127">
        <v>659.8196666666666</v>
      </c>
      <c r="DU127">
        <v>717.096</v>
      </c>
      <c r="DV127">
        <v>9.810506666666667</v>
      </c>
      <c r="DW127">
        <v>710.9029999999999</v>
      </c>
      <c r="DX127">
        <v>8.635993333333333</v>
      </c>
      <c r="DY127">
        <v>1.661863333333333</v>
      </c>
      <c r="DZ127">
        <v>0.7780256666666666</v>
      </c>
      <c r="EA127">
        <v>14.54473333333334</v>
      </c>
      <c r="EB127">
        <v>3.312576666666667</v>
      </c>
      <c r="EC127">
        <v>1499.906666666667</v>
      </c>
      <c r="ED127">
        <v>0.9730036666666667</v>
      </c>
      <c r="EE127">
        <v>0.0269967</v>
      </c>
      <c r="EF127">
        <v>0</v>
      </c>
      <c r="EG127">
        <v>1048.51</v>
      </c>
      <c r="EH127">
        <v>5.00097</v>
      </c>
      <c r="EI127">
        <v>15566.13333333333</v>
      </c>
      <c r="EJ127">
        <v>12490.83333333333</v>
      </c>
      <c r="EK127">
        <v>37.5</v>
      </c>
      <c r="EL127">
        <v>39</v>
      </c>
      <c r="EM127">
        <v>37.875</v>
      </c>
      <c r="EN127">
        <v>38.75</v>
      </c>
      <c r="EO127">
        <v>38.375</v>
      </c>
      <c r="EP127">
        <v>1454.546666666667</v>
      </c>
      <c r="EQ127">
        <v>40.36</v>
      </c>
      <c r="ER127">
        <v>0</v>
      </c>
      <c r="ES127">
        <v>505.2000000476837</v>
      </c>
      <c r="ET127">
        <v>0</v>
      </c>
      <c r="EU127">
        <v>1049.3892</v>
      </c>
      <c r="EV127">
        <v>-6.886923078106153</v>
      </c>
      <c r="EW127">
        <v>-106.6923078607153</v>
      </c>
      <c r="EX127">
        <v>15581.164</v>
      </c>
      <c r="EY127">
        <v>15</v>
      </c>
      <c r="EZ127">
        <v>1651857041.1</v>
      </c>
      <c r="FA127" t="s">
        <v>419</v>
      </c>
      <c r="FB127">
        <v>1651857019.6</v>
      </c>
      <c r="FC127">
        <v>1651857041.1</v>
      </c>
      <c r="FD127">
        <v>1</v>
      </c>
      <c r="FE127">
        <v>0.545</v>
      </c>
      <c r="FF127">
        <v>-0.002</v>
      </c>
      <c r="FG127">
        <v>-1.271</v>
      </c>
      <c r="FH127">
        <v>-0.09</v>
      </c>
      <c r="FI127">
        <v>400</v>
      </c>
      <c r="FJ127">
        <v>10</v>
      </c>
      <c r="FK127">
        <v>0.1</v>
      </c>
      <c r="FL127">
        <v>0.02</v>
      </c>
      <c r="FM127">
        <v>-62.91460499999999</v>
      </c>
      <c r="FN127">
        <v>-1.964956097561001</v>
      </c>
      <c r="FO127">
        <v>0.2150912143138351</v>
      </c>
      <c r="FP127">
        <v>-1</v>
      </c>
      <c r="FQ127">
        <v>9.81090575</v>
      </c>
      <c r="FR127">
        <v>0.003666078799214093</v>
      </c>
      <c r="FS127">
        <v>0.0015509366323289</v>
      </c>
      <c r="FT127">
        <v>-1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0</v>
      </c>
      <c r="GA127" t="s">
        <v>432</v>
      </c>
      <c r="GB127">
        <v>2.97995</v>
      </c>
      <c r="GC127">
        <v>2.70626</v>
      </c>
      <c r="GD127">
        <v>0.128602</v>
      </c>
      <c r="GE127">
        <v>0.135346</v>
      </c>
      <c r="GF127">
        <v>0.08808199999999999</v>
      </c>
      <c r="GG127">
        <v>0.0494601</v>
      </c>
      <c r="GH127">
        <v>27494.3</v>
      </c>
      <c r="GI127">
        <v>27340.8</v>
      </c>
      <c r="GJ127">
        <v>29341.1</v>
      </c>
      <c r="GK127">
        <v>29254.1</v>
      </c>
      <c r="GL127">
        <v>35433.1</v>
      </c>
      <c r="GM127">
        <v>37034.9</v>
      </c>
      <c r="GN127">
        <v>41301.9</v>
      </c>
      <c r="GO127">
        <v>41750.5</v>
      </c>
      <c r="GP127">
        <v>1.95535</v>
      </c>
      <c r="GQ127">
        <v>1.83515</v>
      </c>
      <c r="GR127">
        <v>-0.0340417</v>
      </c>
      <c r="GS127">
        <v>0</v>
      </c>
      <c r="GT127">
        <v>25.5562</v>
      </c>
      <c r="GU127">
        <v>999.9</v>
      </c>
      <c r="GV127">
        <v>38.7</v>
      </c>
      <c r="GW127">
        <v>33.9</v>
      </c>
      <c r="GX127">
        <v>22.824</v>
      </c>
      <c r="GY127">
        <v>62.5276</v>
      </c>
      <c r="GZ127">
        <v>35.5048</v>
      </c>
      <c r="HA127">
        <v>1</v>
      </c>
      <c r="HB127">
        <v>0.138412</v>
      </c>
      <c r="HC127">
        <v>2.20973</v>
      </c>
      <c r="HD127">
        <v>20.3192</v>
      </c>
      <c r="HE127">
        <v>5.21684</v>
      </c>
      <c r="HF127">
        <v>12.0099</v>
      </c>
      <c r="HG127">
        <v>4.9886</v>
      </c>
      <c r="HH127">
        <v>3.28848</v>
      </c>
      <c r="HI127">
        <v>852.2</v>
      </c>
      <c r="HJ127">
        <v>8481.700000000001</v>
      </c>
      <c r="HK127">
        <v>5139.4</v>
      </c>
      <c r="HL127">
        <v>22.9</v>
      </c>
      <c r="HM127">
        <v>1.8675</v>
      </c>
      <c r="HN127">
        <v>1.86646</v>
      </c>
      <c r="HO127">
        <v>1.866</v>
      </c>
      <c r="HP127">
        <v>1.86585</v>
      </c>
      <c r="HQ127">
        <v>1.8677</v>
      </c>
      <c r="HR127">
        <v>1.87025</v>
      </c>
      <c r="HS127">
        <v>1.8689</v>
      </c>
      <c r="HT127">
        <v>1.87027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-1.712</v>
      </c>
      <c r="II127">
        <v>0.0068</v>
      </c>
      <c r="IJ127">
        <v>-0.4995723906072</v>
      </c>
      <c r="IK127">
        <v>-0.002077099775823331</v>
      </c>
      <c r="IL127">
        <v>4.593143279902166E-07</v>
      </c>
      <c r="IM127">
        <v>-1.865383991892071E-10</v>
      </c>
      <c r="IN127">
        <v>-0.07605349583632376</v>
      </c>
      <c r="IO127">
        <v>-0.01129461987421345</v>
      </c>
      <c r="IP127">
        <v>0.00116580895745559</v>
      </c>
      <c r="IQ127">
        <v>-1.679085872906199E-05</v>
      </c>
      <c r="IR127">
        <v>2</v>
      </c>
      <c r="IS127">
        <v>2290</v>
      </c>
      <c r="IT127">
        <v>0</v>
      </c>
      <c r="IU127">
        <v>32</v>
      </c>
      <c r="IV127">
        <v>8.1</v>
      </c>
      <c r="IW127">
        <v>7.8</v>
      </c>
      <c r="IX127">
        <v>1.60645</v>
      </c>
      <c r="IY127">
        <v>2.22046</v>
      </c>
      <c r="IZ127">
        <v>1.39648</v>
      </c>
      <c r="JA127">
        <v>2.3584</v>
      </c>
      <c r="JB127">
        <v>1.49536</v>
      </c>
      <c r="JC127">
        <v>2.35229</v>
      </c>
      <c r="JD127">
        <v>38.4034</v>
      </c>
      <c r="JE127">
        <v>24.0437</v>
      </c>
      <c r="JF127">
        <v>18</v>
      </c>
      <c r="JG127">
        <v>515.092</v>
      </c>
      <c r="JH127">
        <v>423.43</v>
      </c>
      <c r="JI127">
        <v>22.6594</v>
      </c>
      <c r="JJ127">
        <v>29.1186</v>
      </c>
      <c r="JK127">
        <v>29.9999</v>
      </c>
      <c r="JL127">
        <v>29.1198</v>
      </c>
      <c r="JM127">
        <v>29.0588</v>
      </c>
      <c r="JN127">
        <v>32.1562</v>
      </c>
      <c r="JO127">
        <v>56.5973</v>
      </c>
      <c r="JP127">
        <v>0</v>
      </c>
      <c r="JQ127">
        <v>22.662</v>
      </c>
      <c r="JR127">
        <v>734.747</v>
      </c>
      <c r="JS127">
        <v>8.6046</v>
      </c>
      <c r="JT127">
        <v>100.298</v>
      </c>
      <c r="JU127">
        <v>100.208</v>
      </c>
    </row>
    <row r="128" spans="1:281">
      <c r="A128">
        <v>112</v>
      </c>
      <c r="B128">
        <v>1651857508.6</v>
      </c>
      <c r="C128">
        <v>508</v>
      </c>
      <c r="D128" t="s">
        <v>651</v>
      </c>
      <c r="E128" t="s">
        <v>652</v>
      </c>
      <c r="F128">
        <v>2</v>
      </c>
      <c r="G128" t="s">
        <v>413</v>
      </c>
      <c r="H128" t="s">
        <v>414</v>
      </c>
      <c r="I128">
        <v>1651857507.225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717.8661138053083</v>
      </c>
      <c r="AK128">
        <v>668.3057030303029</v>
      </c>
      <c r="AL128">
        <v>3.390097005109207</v>
      </c>
      <c r="AM128">
        <v>66.38384787954378</v>
      </c>
      <c r="AN128">
        <f>(AP128 - AO128 + DI128*1E3/(8.314*(DK128+273.15)) * AR128/DH128 * AQ128) * DH128/(100*CV128) * 1000/(1000 - AP128)</f>
        <v>0</v>
      </c>
      <c r="AO128">
        <v>8.636266241263124</v>
      </c>
      <c r="AP128">
        <v>18.44578</v>
      </c>
      <c r="AQ128">
        <v>2.199747900618249E-05</v>
      </c>
      <c r="AR128">
        <v>80.44866334591464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417</v>
      </c>
      <c r="AY128" t="s">
        <v>417</v>
      </c>
      <c r="AZ128">
        <v>0</v>
      </c>
      <c r="BA128">
        <v>0</v>
      </c>
      <c r="BB128">
        <f>1-AZ128/BA128</f>
        <v>0</v>
      </c>
      <c r="BC128">
        <v>0</v>
      </c>
      <c r="BD128" t="s">
        <v>417</v>
      </c>
      <c r="BE128" t="s">
        <v>417</v>
      </c>
      <c r="BF128">
        <v>0</v>
      </c>
      <c r="BG128">
        <v>0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1238</v>
      </c>
      <c r="CA128">
        <v>300</v>
      </c>
      <c r="CB128">
        <v>300</v>
      </c>
      <c r="CC128">
        <v>300</v>
      </c>
      <c r="CD128">
        <v>10440.5</v>
      </c>
      <c r="CE128">
        <v>1411.69</v>
      </c>
      <c r="CF128">
        <v>-0.00735121</v>
      </c>
      <c r="CG128">
        <v>-0.77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1651857507.225</v>
      </c>
      <c r="DB128">
        <v>653.058</v>
      </c>
      <c r="DC128">
        <v>716.3142500000001</v>
      </c>
      <c r="DD128">
        <v>18.44615</v>
      </c>
      <c r="DE128">
        <v>8.635290000000001</v>
      </c>
      <c r="DF128">
        <v>654.773</v>
      </c>
      <c r="DG128">
        <v>18.439375</v>
      </c>
      <c r="DH128">
        <v>500.03675</v>
      </c>
      <c r="DI128">
        <v>90.09135000000001</v>
      </c>
      <c r="DJ128">
        <v>0.100084425</v>
      </c>
      <c r="DK128">
        <v>25.765325</v>
      </c>
      <c r="DL128">
        <v>24.994975</v>
      </c>
      <c r="DM128">
        <v>999.9</v>
      </c>
      <c r="DN128">
        <v>0</v>
      </c>
      <c r="DO128">
        <v>0</v>
      </c>
      <c r="DP128">
        <v>9999.855</v>
      </c>
      <c r="DQ128">
        <v>0</v>
      </c>
      <c r="DR128">
        <v>3.20383</v>
      </c>
      <c r="DS128">
        <v>-63.2561</v>
      </c>
      <c r="DT128">
        <v>665.331</v>
      </c>
      <c r="DU128">
        <v>722.5537499999999</v>
      </c>
      <c r="DV128">
        <v>9.8108875</v>
      </c>
      <c r="DW128">
        <v>716.3142500000001</v>
      </c>
      <c r="DX128">
        <v>8.635290000000001</v>
      </c>
      <c r="DY128">
        <v>1.66184</v>
      </c>
      <c r="DZ128">
        <v>0.777965</v>
      </c>
      <c r="EA128">
        <v>14.5445</v>
      </c>
      <c r="EB128">
        <v>3.311475</v>
      </c>
      <c r="EC128">
        <v>1499.965</v>
      </c>
      <c r="ED128">
        <v>0.9730045</v>
      </c>
      <c r="EE128">
        <v>0.0269958</v>
      </c>
      <c r="EF128">
        <v>0</v>
      </c>
      <c r="EG128">
        <v>1048.2775</v>
      </c>
      <c r="EH128">
        <v>5.00097</v>
      </c>
      <c r="EI128">
        <v>15562.225</v>
      </c>
      <c r="EJ128">
        <v>12491.3</v>
      </c>
      <c r="EK128">
        <v>37.5</v>
      </c>
      <c r="EL128">
        <v>39</v>
      </c>
      <c r="EM128">
        <v>37.875</v>
      </c>
      <c r="EN128">
        <v>38.75</v>
      </c>
      <c r="EO128">
        <v>38.375</v>
      </c>
      <c r="EP128">
        <v>1454.605</v>
      </c>
      <c r="EQ128">
        <v>40.36</v>
      </c>
      <c r="ER128">
        <v>0</v>
      </c>
      <c r="ES128">
        <v>507.6000001430511</v>
      </c>
      <c r="ET128">
        <v>0</v>
      </c>
      <c r="EU128">
        <v>1049.0848</v>
      </c>
      <c r="EV128">
        <v>-7.747692305002417</v>
      </c>
      <c r="EW128">
        <v>-134.2692307111497</v>
      </c>
      <c r="EX128">
        <v>15576.344</v>
      </c>
      <c r="EY128">
        <v>15</v>
      </c>
      <c r="EZ128">
        <v>1651857041.1</v>
      </c>
      <c r="FA128" t="s">
        <v>419</v>
      </c>
      <c r="FB128">
        <v>1651857019.6</v>
      </c>
      <c r="FC128">
        <v>1651857041.1</v>
      </c>
      <c r="FD128">
        <v>1</v>
      </c>
      <c r="FE128">
        <v>0.545</v>
      </c>
      <c r="FF128">
        <v>-0.002</v>
      </c>
      <c r="FG128">
        <v>-1.271</v>
      </c>
      <c r="FH128">
        <v>-0.09</v>
      </c>
      <c r="FI128">
        <v>400</v>
      </c>
      <c r="FJ128">
        <v>10</v>
      </c>
      <c r="FK128">
        <v>0.1</v>
      </c>
      <c r="FL128">
        <v>0.02</v>
      </c>
      <c r="FM128">
        <v>-62.96044390243902</v>
      </c>
      <c r="FN128">
        <v>-1.839955400696832</v>
      </c>
      <c r="FO128">
        <v>0.2058215116501233</v>
      </c>
      <c r="FP128">
        <v>-1</v>
      </c>
      <c r="FQ128">
        <v>9.810899024390244</v>
      </c>
      <c r="FR128">
        <v>0.003368571428598504</v>
      </c>
      <c r="FS128">
        <v>0.001533571958084895</v>
      </c>
      <c r="FT128">
        <v>-1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0</v>
      </c>
      <c r="GA128" t="s">
        <v>432</v>
      </c>
      <c r="GB128">
        <v>2.9799</v>
      </c>
      <c r="GC128">
        <v>2.70626</v>
      </c>
      <c r="GD128">
        <v>0.129512</v>
      </c>
      <c r="GE128">
        <v>0.136209</v>
      </c>
      <c r="GF128">
        <v>0.08808530000000001</v>
      </c>
      <c r="GG128">
        <v>0.0494586</v>
      </c>
      <c r="GH128">
        <v>27465.6</v>
      </c>
      <c r="GI128">
        <v>27313.5</v>
      </c>
      <c r="GJ128">
        <v>29341</v>
      </c>
      <c r="GK128">
        <v>29254</v>
      </c>
      <c r="GL128">
        <v>35433</v>
      </c>
      <c r="GM128">
        <v>37034.9</v>
      </c>
      <c r="GN128">
        <v>41301.9</v>
      </c>
      <c r="GO128">
        <v>41750.5</v>
      </c>
      <c r="GP128">
        <v>1.95527</v>
      </c>
      <c r="GQ128">
        <v>1.83487</v>
      </c>
      <c r="GR128">
        <v>-0.0343621</v>
      </c>
      <c r="GS128">
        <v>0</v>
      </c>
      <c r="GT128">
        <v>25.5562</v>
      </c>
      <c r="GU128">
        <v>999.9</v>
      </c>
      <c r="GV128">
        <v>38.7</v>
      </c>
      <c r="GW128">
        <v>33.9</v>
      </c>
      <c r="GX128">
        <v>22.8233</v>
      </c>
      <c r="GY128">
        <v>62.7176</v>
      </c>
      <c r="GZ128">
        <v>35.3205</v>
      </c>
      <c r="HA128">
        <v>1</v>
      </c>
      <c r="HB128">
        <v>0.138377</v>
      </c>
      <c r="HC128">
        <v>2.20467</v>
      </c>
      <c r="HD128">
        <v>20.319</v>
      </c>
      <c r="HE128">
        <v>5.21714</v>
      </c>
      <c r="HF128">
        <v>12.0099</v>
      </c>
      <c r="HG128">
        <v>4.9888</v>
      </c>
      <c r="HH128">
        <v>3.28848</v>
      </c>
      <c r="HI128">
        <v>852.4</v>
      </c>
      <c r="HJ128">
        <v>8483.9</v>
      </c>
      <c r="HK128">
        <v>5139.4</v>
      </c>
      <c r="HL128">
        <v>22.9</v>
      </c>
      <c r="HM128">
        <v>1.86751</v>
      </c>
      <c r="HN128">
        <v>1.86646</v>
      </c>
      <c r="HO128">
        <v>1.866</v>
      </c>
      <c r="HP128">
        <v>1.86586</v>
      </c>
      <c r="HQ128">
        <v>1.8677</v>
      </c>
      <c r="HR128">
        <v>1.87026</v>
      </c>
      <c r="HS128">
        <v>1.8689</v>
      </c>
      <c r="HT128">
        <v>1.87027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-1.722</v>
      </c>
      <c r="II128">
        <v>0.0068</v>
      </c>
      <c r="IJ128">
        <v>-0.4995723906072</v>
      </c>
      <c r="IK128">
        <v>-0.002077099775823331</v>
      </c>
      <c r="IL128">
        <v>4.593143279902166E-07</v>
      </c>
      <c r="IM128">
        <v>-1.865383991892071E-10</v>
      </c>
      <c r="IN128">
        <v>-0.07605349583632376</v>
      </c>
      <c r="IO128">
        <v>-0.01129461987421345</v>
      </c>
      <c r="IP128">
        <v>0.00116580895745559</v>
      </c>
      <c r="IQ128">
        <v>-1.679085872906199E-05</v>
      </c>
      <c r="IR128">
        <v>2</v>
      </c>
      <c r="IS128">
        <v>2290</v>
      </c>
      <c r="IT128">
        <v>0</v>
      </c>
      <c r="IU128">
        <v>32</v>
      </c>
      <c r="IV128">
        <v>8.199999999999999</v>
      </c>
      <c r="IW128">
        <v>7.8</v>
      </c>
      <c r="IX128">
        <v>1.61865</v>
      </c>
      <c r="IY128">
        <v>2.22534</v>
      </c>
      <c r="IZ128">
        <v>1.39648</v>
      </c>
      <c r="JA128">
        <v>2.35962</v>
      </c>
      <c r="JB128">
        <v>1.49536</v>
      </c>
      <c r="JC128">
        <v>2.28882</v>
      </c>
      <c r="JD128">
        <v>38.4034</v>
      </c>
      <c r="JE128">
        <v>24.035</v>
      </c>
      <c r="JF128">
        <v>18</v>
      </c>
      <c r="JG128">
        <v>515.042</v>
      </c>
      <c r="JH128">
        <v>423.266</v>
      </c>
      <c r="JI128">
        <v>22.6594</v>
      </c>
      <c r="JJ128">
        <v>29.1178</v>
      </c>
      <c r="JK128">
        <v>29.9999</v>
      </c>
      <c r="JL128">
        <v>29.1197</v>
      </c>
      <c r="JM128">
        <v>29.0588</v>
      </c>
      <c r="JN128">
        <v>32.3934</v>
      </c>
      <c r="JO128">
        <v>56.5973</v>
      </c>
      <c r="JP128">
        <v>0</v>
      </c>
      <c r="JQ128">
        <v>22.6647</v>
      </c>
      <c r="JR128">
        <v>741.425</v>
      </c>
      <c r="JS128">
        <v>8.6028</v>
      </c>
      <c r="JT128">
        <v>100.298</v>
      </c>
      <c r="JU128">
        <v>100.208</v>
      </c>
    </row>
    <row r="129" spans="1:281">
      <c r="A129">
        <v>113</v>
      </c>
      <c r="B129">
        <v>1651857510.6</v>
      </c>
      <c r="C129">
        <v>510</v>
      </c>
      <c r="D129" t="s">
        <v>653</v>
      </c>
      <c r="E129" t="s">
        <v>654</v>
      </c>
      <c r="F129">
        <v>2</v>
      </c>
      <c r="G129" t="s">
        <v>413</v>
      </c>
      <c r="H129" t="s">
        <v>414</v>
      </c>
      <c r="I129">
        <v>1651857509.6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724.5873855829365</v>
      </c>
      <c r="AK129">
        <v>675.0902848484847</v>
      </c>
      <c r="AL129">
        <v>3.395213996146936</v>
      </c>
      <c r="AM129">
        <v>66.38384787954378</v>
      </c>
      <c r="AN129">
        <f>(AP129 - AO129 + DI129*1E3/(8.314*(DK129+273.15)) * AR129/DH129 * AQ129) * DH129/(100*CV129) * 1000/(1000 - AP129)</f>
        <v>0</v>
      </c>
      <c r="AO129">
        <v>8.635701200159783</v>
      </c>
      <c r="AP129">
        <v>18.44803794117647</v>
      </c>
      <c r="AQ129">
        <v>-1.361635683307556E-05</v>
      </c>
      <c r="AR129">
        <v>80.44866334591464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417</v>
      </c>
      <c r="AY129" t="s">
        <v>417</v>
      </c>
      <c r="AZ129">
        <v>0</v>
      </c>
      <c r="BA129">
        <v>0</v>
      </c>
      <c r="BB129">
        <f>1-AZ129/BA129</f>
        <v>0</v>
      </c>
      <c r="BC129">
        <v>0</v>
      </c>
      <c r="BD129" t="s">
        <v>417</v>
      </c>
      <c r="BE129" t="s">
        <v>417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1238</v>
      </c>
      <c r="CA129">
        <v>300</v>
      </c>
      <c r="CB129">
        <v>300</v>
      </c>
      <c r="CC129">
        <v>300</v>
      </c>
      <c r="CD129">
        <v>10440.5</v>
      </c>
      <c r="CE129">
        <v>1411.69</v>
      </c>
      <c r="CF129">
        <v>-0.00735121</v>
      </c>
      <c r="CG129">
        <v>-0.77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1651857509.6</v>
      </c>
      <c r="DB129">
        <v>660.9673333333334</v>
      </c>
      <c r="DC129">
        <v>724.2579999999999</v>
      </c>
      <c r="DD129">
        <v>18.44796666666667</v>
      </c>
      <c r="DE129">
        <v>8.635183333333336</v>
      </c>
      <c r="DF129">
        <v>662.6953333333333</v>
      </c>
      <c r="DG129">
        <v>18.4411</v>
      </c>
      <c r="DH129">
        <v>500.0163333333333</v>
      </c>
      <c r="DI129">
        <v>90.09256666666666</v>
      </c>
      <c r="DJ129">
        <v>0.09991109999999999</v>
      </c>
      <c r="DK129">
        <v>25.76523333333333</v>
      </c>
      <c r="DL129">
        <v>24.99103333333333</v>
      </c>
      <c r="DM129">
        <v>999.9</v>
      </c>
      <c r="DN129">
        <v>0</v>
      </c>
      <c r="DO129">
        <v>0</v>
      </c>
      <c r="DP129">
        <v>10013.1</v>
      </c>
      <c r="DQ129">
        <v>0</v>
      </c>
      <c r="DR129">
        <v>3.20383</v>
      </c>
      <c r="DS129">
        <v>-63.2912</v>
      </c>
      <c r="DT129">
        <v>673.3893333333334</v>
      </c>
      <c r="DU129">
        <v>730.5666666666666</v>
      </c>
      <c r="DV129">
        <v>9.812763333333335</v>
      </c>
      <c r="DW129">
        <v>724.2579999999999</v>
      </c>
      <c r="DX129">
        <v>8.635183333333336</v>
      </c>
      <c r="DY129">
        <v>1.662023333333333</v>
      </c>
      <c r="DZ129">
        <v>0.7779656666666668</v>
      </c>
      <c r="EA129">
        <v>14.5462</v>
      </c>
      <c r="EB129">
        <v>3.311483333333333</v>
      </c>
      <c r="EC129">
        <v>1499.913333333333</v>
      </c>
      <c r="ED129">
        <v>0.9730036666666667</v>
      </c>
      <c r="EE129">
        <v>0.0269967</v>
      </c>
      <c r="EF129">
        <v>0</v>
      </c>
      <c r="EG129">
        <v>1047.25</v>
      </c>
      <c r="EH129">
        <v>5.00097</v>
      </c>
      <c r="EI129">
        <v>15553.9</v>
      </c>
      <c r="EJ129">
        <v>12490.86666666667</v>
      </c>
      <c r="EK129">
        <v>37.5</v>
      </c>
      <c r="EL129">
        <v>39</v>
      </c>
      <c r="EM129">
        <v>37.875</v>
      </c>
      <c r="EN129">
        <v>38.75</v>
      </c>
      <c r="EO129">
        <v>38.375</v>
      </c>
      <c r="EP129">
        <v>1454.553333333333</v>
      </c>
      <c r="EQ129">
        <v>40.36</v>
      </c>
      <c r="ER129">
        <v>0</v>
      </c>
      <c r="ES129">
        <v>509.4000000953674</v>
      </c>
      <c r="ET129">
        <v>0</v>
      </c>
      <c r="EU129">
        <v>1048.838846153846</v>
      </c>
      <c r="EV129">
        <v>-9.464273491436316</v>
      </c>
      <c r="EW129">
        <v>-152.3692305573252</v>
      </c>
      <c r="EX129">
        <v>15572.72307692308</v>
      </c>
      <c r="EY129">
        <v>15</v>
      </c>
      <c r="EZ129">
        <v>1651857041.1</v>
      </c>
      <c r="FA129" t="s">
        <v>419</v>
      </c>
      <c r="FB129">
        <v>1651857019.6</v>
      </c>
      <c r="FC129">
        <v>1651857041.1</v>
      </c>
      <c r="FD129">
        <v>1</v>
      </c>
      <c r="FE129">
        <v>0.545</v>
      </c>
      <c r="FF129">
        <v>-0.002</v>
      </c>
      <c r="FG129">
        <v>-1.271</v>
      </c>
      <c r="FH129">
        <v>-0.09</v>
      </c>
      <c r="FI129">
        <v>400</v>
      </c>
      <c r="FJ129">
        <v>10</v>
      </c>
      <c r="FK129">
        <v>0.1</v>
      </c>
      <c r="FL129">
        <v>0.02</v>
      </c>
      <c r="FM129">
        <v>-63.06003</v>
      </c>
      <c r="FN129">
        <v>-1.385401125703387</v>
      </c>
      <c r="FO129">
        <v>0.1516845067895863</v>
      </c>
      <c r="FP129">
        <v>-1</v>
      </c>
      <c r="FQ129">
        <v>9.8114065</v>
      </c>
      <c r="FR129">
        <v>-0.0005157973733671451</v>
      </c>
      <c r="FS129">
        <v>0.001258063094602077</v>
      </c>
      <c r="FT129">
        <v>-1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0</v>
      </c>
      <c r="GA129" t="s">
        <v>432</v>
      </c>
      <c r="GB129">
        <v>2.97985</v>
      </c>
      <c r="GC129">
        <v>2.70621</v>
      </c>
      <c r="GD129">
        <v>0.130417</v>
      </c>
      <c r="GE129">
        <v>0.137064</v>
      </c>
      <c r="GF129">
        <v>0.0880914</v>
      </c>
      <c r="GG129">
        <v>0.0494579</v>
      </c>
      <c r="GH129">
        <v>27436.9</v>
      </c>
      <c r="GI129">
        <v>27286.5</v>
      </c>
      <c r="GJ129">
        <v>29341</v>
      </c>
      <c r="GK129">
        <v>29254.2</v>
      </c>
      <c r="GL129">
        <v>35432.7</v>
      </c>
      <c r="GM129">
        <v>37035.1</v>
      </c>
      <c r="GN129">
        <v>41301.8</v>
      </c>
      <c r="GO129">
        <v>41750.7</v>
      </c>
      <c r="GP129">
        <v>1.95522</v>
      </c>
      <c r="GQ129">
        <v>1.8347</v>
      </c>
      <c r="GR129">
        <v>-0.0345111</v>
      </c>
      <c r="GS129">
        <v>0</v>
      </c>
      <c r="GT129">
        <v>25.5562</v>
      </c>
      <c r="GU129">
        <v>999.9</v>
      </c>
      <c r="GV129">
        <v>38.7</v>
      </c>
      <c r="GW129">
        <v>33.9</v>
      </c>
      <c r="GX129">
        <v>22.8223</v>
      </c>
      <c r="GY129">
        <v>62.6076</v>
      </c>
      <c r="GZ129">
        <v>35.6731</v>
      </c>
      <c r="HA129">
        <v>1</v>
      </c>
      <c r="HB129">
        <v>0.138224</v>
      </c>
      <c r="HC129">
        <v>2.19489</v>
      </c>
      <c r="HD129">
        <v>20.3193</v>
      </c>
      <c r="HE129">
        <v>5.21729</v>
      </c>
      <c r="HF129">
        <v>12.0099</v>
      </c>
      <c r="HG129">
        <v>4.98885</v>
      </c>
      <c r="HH129">
        <v>3.28848</v>
      </c>
      <c r="HI129">
        <v>852.4</v>
      </c>
      <c r="HJ129">
        <v>8483.9</v>
      </c>
      <c r="HK129">
        <v>5139.4</v>
      </c>
      <c r="HL129">
        <v>22.9</v>
      </c>
      <c r="HM129">
        <v>1.86752</v>
      </c>
      <c r="HN129">
        <v>1.86646</v>
      </c>
      <c r="HO129">
        <v>1.866</v>
      </c>
      <c r="HP129">
        <v>1.8659</v>
      </c>
      <c r="HQ129">
        <v>1.86773</v>
      </c>
      <c r="HR129">
        <v>1.87026</v>
      </c>
      <c r="HS129">
        <v>1.8689</v>
      </c>
      <c r="HT129">
        <v>1.87027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-1.735</v>
      </c>
      <c r="II129">
        <v>0.0068</v>
      </c>
      <c r="IJ129">
        <v>-0.4995723906072</v>
      </c>
      <c r="IK129">
        <v>-0.002077099775823331</v>
      </c>
      <c r="IL129">
        <v>4.593143279902166E-07</v>
      </c>
      <c r="IM129">
        <v>-1.865383991892071E-10</v>
      </c>
      <c r="IN129">
        <v>-0.07605349583632376</v>
      </c>
      <c r="IO129">
        <v>-0.01129461987421345</v>
      </c>
      <c r="IP129">
        <v>0.00116580895745559</v>
      </c>
      <c r="IQ129">
        <v>-1.679085872906199E-05</v>
      </c>
      <c r="IR129">
        <v>2</v>
      </c>
      <c r="IS129">
        <v>2290</v>
      </c>
      <c r="IT129">
        <v>0</v>
      </c>
      <c r="IU129">
        <v>32</v>
      </c>
      <c r="IV129">
        <v>8.199999999999999</v>
      </c>
      <c r="IW129">
        <v>7.8</v>
      </c>
      <c r="IX129">
        <v>1.62964</v>
      </c>
      <c r="IY129">
        <v>2.21802</v>
      </c>
      <c r="IZ129">
        <v>1.39648</v>
      </c>
      <c r="JA129">
        <v>2.35962</v>
      </c>
      <c r="JB129">
        <v>1.49536</v>
      </c>
      <c r="JC129">
        <v>2.34985</v>
      </c>
      <c r="JD129">
        <v>38.4034</v>
      </c>
      <c r="JE129">
        <v>24.0437</v>
      </c>
      <c r="JF129">
        <v>18</v>
      </c>
      <c r="JG129">
        <v>514.998</v>
      </c>
      <c r="JH129">
        <v>423.158</v>
      </c>
      <c r="JI129">
        <v>22.6601</v>
      </c>
      <c r="JJ129">
        <v>29.1165</v>
      </c>
      <c r="JK129">
        <v>29.9999</v>
      </c>
      <c r="JL129">
        <v>29.1184</v>
      </c>
      <c r="JM129">
        <v>29.0582</v>
      </c>
      <c r="JN129">
        <v>32.6308</v>
      </c>
      <c r="JO129">
        <v>56.5973</v>
      </c>
      <c r="JP129">
        <v>0</v>
      </c>
      <c r="JQ129">
        <v>22.6647</v>
      </c>
      <c r="JR129">
        <v>748.103</v>
      </c>
      <c r="JS129">
        <v>8.60252</v>
      </c>
      <c r="JT129">
        <v>100.298</v>
      </c>
      <c r="JU129">
        <v>100.209</v>
      </c>
    </row>
    <row r="130" spans="1:281">
      <c r="A130">
        <v>114</v>
      </c>
      <c r="B130">
        <v>1651857512.6</v>
      </c>
      <c r="C130">
        <v>512</v>
      </c>
      <c r="D130" t="s">
        <v>655</v>
      </c>
      <c r="E130" t="s">
        <v>656</v>
      </c>
      <c r="F130">
        <v>2</v>
      </c>
      <c r="G130" t="s">
        <v>413</v>
      </c>
      <c r="H130" t="s">
        <v>414</v>
      </c>
      <c r="I130">
        <v>1651857511.225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731.3348343601911</v>
      </c>
      <c r="AK130">
        <v>681.8567575757572</v>
      </c>
      <c r="AL130">
        <v>3.388725462274234</v>
      </c>
      <c r="AM130">
        <v>66.38384787954378</v>
      </c>
      <c r="AN130">
        <f>(AP130 - AO130 + DI130*1E3/(8.314*(DK130+273.15)) * AR130/DH130 * AQ130) * DH130/(100*CV130) * 1000/(1000 - AP130)</f>
        <v>0</v>
      </c>
      <c r="AO130">
        <v>8.635152240493261</v>
      </c>
      <c r="AP130">
        <v>18.44802058823529</v>
      </c>
      <c r="AQ130">
        <v>5.764530173247615E-06</v>
      </c>
      <c r="AR130">
        <v>80.44866334591464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417</v>
      </c>
      <c r="AY130" t="s">
        <v>417</v>
      </c>
      <c r="AZ130">
        <v>0</v>
      </c>
      <c r="BA130">
        <v>0</v>
      </c>
      <c r="BB130">
        <f>1-AZ130/BA130</f>
        <v>0</v>
      </c>
      <c r="BC130">
        <v>0</v>
      </c>
      <c r="BD130" t="s">
        <v>417</v>
      </c>
      <c r="BE130" t="s">
        <v>417</v>
      </c>
      <c r="BF130">
        <v>0</v>
      </c>
      <c r="BG130">
        <v>0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1238</v>
      </c>
      <c r="CA130">
        <v>300</v>
      </c>
      <c r="CB130">
        <v>300</v>
      </c>
      <c r="CC130">
        <v>300</v>
      </c>
      <c r="CD130">
        <v>10440.5</v>
      </c>
      <c r="CE130">
        <v>1411.69</v>
      </c>
      <c r="CF130">
        <v>-0.00735121</v>
      </c>
      <c r="CG130">
        <v>-0.77</v>
      </c>
      <c r="CH130" t="s">
        <v>417</v>
      </c>
      <c r="CI130" t="s">
        <v>417</v>
      </c>
      <c r="CJ130" t="s">
        <v>417</v>
      </c>
      <c r="CK130" t="s">
        <v>417</v>
      </c>
      <c r="CL130" t="s">
        <v>417</v>
      </c>
      <c r="CM130" t="s">
        <v>417</v>
      </c>
      <c r="CN130" t="s">
        <v>417</v>
      </c>
      <c r="CO130" t="s">
        <v>417</v>
      </c>
      <c r="CP130" t="s">
        <v>417</v>
      </c>
      <c r="CQ130" t="s">
        <v>417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418</v>
      </c>
      <c r="CY130">
        <v>2</v>
      </c>
      <c r="CZ130" t="b">
        <v>1</v>
      </c>
      <c r="DA130">
        <v>1651857511.225</v>
      </c>
      <c r="DB130">
        <v>666.371</v>
      </c>
      <c r="DC130">
        <v>729.715</v>
      </c>
      <c r="DD130">
        <v>18.4478</v>
      </c>
      <c r="DE130">
        <v>8.63471</v>
      </c>
      <c r="DF130">
        <v>668.1089999999999</v>
      </c>
      <c r="DG130">
        <v>18.440975</v>
      </c>
      <c r="DH130">
        <v>500.0135</v>
      </c>
      <c r="DI130">
        <v>90.0933</v>
      </c>
      <c r="DJ130">
        <v>0.09989002499999999</v>
      </c>
      <c r="DK130">
        <v>25.765325</v>
      </c>
      <c r="DL130">
        <v>24.9948</v>
      </c>
      <c r="DM130">
        <v>999.9</v>
      </c>
      <c r="DN130">
        <v>0</v>
      </c>
      <c r="DO130">
        <v>0</v>
      </c>
      <c r="DP130">
        <v>10024.825</v>
      </c>
      <c r="DQ130">
        <v>0</v>
      </c>
      <c r="DR130">
        <v>3.20383</v>
      </c>
      <c r="DS130">
        <v>-63.34385</v>
      </c>
      <c r="DT130">
        <v>678.8952499999999</v>
      </c>
      <c r="DU130">
        <v>736.07075</v>
      </c>
      <c r="DV130">
        <v>9.8130775</v>
      </c>
      <c r="DW130">
        <v>729.715</v>
      </c>
      <c r="DX130">
        <v>8.63471</v>
      </c>
      <c r="DY130">
        <v>1.66202</v>
      </c>
      <c r="DZ130">
        <v>0.77792925</v>
      </c>
      <c r="EA130">
        <v>14.5462</v>
      </c>
      <c r="EB130">
        <v>3.31082</v>
      </c>
      <c r="EC130">
        <v>1499.9625</v>
      </c>
      <c r="ED130">
        <v>0.9730045</v>
      </c>
      <c r="EE130">
        <v>0.0269958</v>
      </c>
      <c r="EF130">
        <v>0</v>
      </c>
      <c r="EG130">
        <v>1047.05</v>
      </c>
      <c r="EH130">
        <v>5.00097</v>
      </c>
      <c r="EI130">
        <v>15548.45</v>
      </c>
      <c r="EJ130">
        <v>12491.3</v>
      </c>
      <c r="EK130">
        <v>37.5</v>
      </c>
      <c r="EL130">
        <v>39</v>
      </c>
      <c r="EM130">
        <v>37.875</v>
      </c>
      <c r="EN130">
        <v>38.75</v>
      </c>
      <c r="EO130">
        <v>38.375</v>
      </c>
      <c r="EP130">
        <v>1454.6025</v>
      </c>
      <c r="EQ130">
        <v>40.36</v>
      </c>
      <c r="ER130">
        <v>0</v>
      </c>
      <c r="ES130">
        <v>511.2000000476837</v>
      </c>
      <c r="ET130">
        <v>0</v>
      </c>
      <c r="EU130">
        <v>1048.4996</v>
      </c>
      <c r="EV130">
        <v>-11.80076925161949</v>
      </c>
      <c r="EW130">
        <v>-171.5538463926958</v>
      </c>
      <c r="EX130">
        <v>15567.344</v>
      </c>
      <c r="EY130">
        <v>15</v>
      </c>
      <c r="EZ130">
        <v>1651857041.1</v>
      </c>
      <c r="FA130" t="s">
        <v>419</v>
      </c>
      <c r="FB130">
        <v>1651857019.6</v>
      </c>
      <c r="FC130">
        <v>1651857041.1</v>
      </c>
      <c r="FD130">
        <v>1</v>
      </c>
      <c r="FE130">
        <v>0.545</v>
      </c>
      <c r="FF130">
        <v>-0.002</v>
      </c>
      <c r="FG130">
        <v>-1.271</v>
      </c>
      <c r="FH130">
        <v>-0.09</v>
      </c>
      <c r="FI130">
        <v>400</v>
      </c>
      <c r="FJ130">
        <v>10</v>
      </c>
      <c r="FK130">
        <v>0.1</v>
      </c>
      <c r="FL130">
        <v>0.02</v>
      </c>
      <c r="FM130">
        <v>-63.0964756097561</v>
      </c>
      <c r="FN130">
        <v>-1.300105923344944</v>
      </c>
      <c r="FO130">
        <v>0.1436927986390608</v>
      </c>
      <c r="FP130">
        <v>-1</v>
      </c>
      <c r="FQ130">
        <v>9.811688536585365</v>
      </c>
      <c r="FR130">
        <v>-0.0004030662020955222</v>
      </c>
      <c r="FS130">
        <v>0.001195827218483609</v>
      </c>
      <c r="FT130">
        <v>-1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0</v>
      </c>
      <c r="GA130" t="s">
        <v>432</v>
      </c>
      <c r="GB130">
        <v>2.98001</v>
      </c>
      <c r="GC130">
        <v>2.70631</v>
      </c>
      <c r="GD130">
        <v>0.131319</v>
      </c>
      <c r="GE130">
        <v>0.137926</v>
      </c>
      <c r="GF130">
        <v>0.0880832</v>
      </c>
      <c r="GG130">
        <v>0.0494554</v>
      </c>
      <c r="GH130">
        <v>27408.4</v>
      </c>
      <c r="GI130">
        <v>27259.5</v>
      </c>
      <c r="GJ130">
        <v>29340.9</v>
      </c>
      <c r="GK130">
        <v>29254.5</v>
      </c>
      <c r="GL130">
        <v>35433</v>
      </c>
      <c r="GM130">
        <v>37035.5</v>
      </c>
      <c r="GN130">
        <v>41301.9</v>
      </c>
      <c r="GO130">
        <v>41751</v>
      </c>
      <c r="GP130">
        <v>1.95545</v>
      </c>
      <c r="GQ130">
        <v>1.8349</v>
      </c>
      <c r="GR130">
        <v>-0.0339672</v>
      </c>
      <c r="GS130">
        <v>0</v>
      </c>
      <c r="GT130">
        <v>25.5562</v>
      </c>
      <c r="GU130">
        <v>999.9</v>
      </c>
      <c r="GV130">
        <v>38.7</v>
      </c>
      <c r="GW130">
        <v>33.9</v>
      </c>
      <c r="GX130">
        <v>22.8238</v>
      </c>
      <c r="GY130">
        <v>62.4376</v>
      </c>
      <c r="GZ130">
        <v>35.2604</v>
      </c>
      <c r="HA130">
        <v>1</v>
      </c>
      <c r="HB130">
        <v>0.137985</v>
      </c>
      <c r="HC130">
        <v>2.19091</v>
      </c>
      <c r="HD130">
        <v>20.3195</v>
      </c>
      <c r="HE130">
        <v>5.21729</v>
      </c>
      <c r="HF130">
        <v>12.0099</v>
      </c>
      <c r="HG130">
        <v>4.9886</v>
      </c>
      <c r="HH130">
        <v>3.28845</v>
      </c>
      <c r="HI130">
        <v>852.4</v>
      </c>
      <c r="HJ130">
        <v>8483.9</v>
      </c>
      <c r="HK130">
        <v>5139.4</v>
      </c>
      <c r="HL130">
        <v>22.9</v>
      </c>
      <c r="HM130">
        <v>1.86752</v>
      </c>
      <c r="HN130">
        <v>1.86646</v>
      </c>
      <c r="HO130">
        <v>1.866</v>
      </c>
      <c r="HP130">
        <v>1.86588</v>
      </c>
      <c r="HQ130">
        <v>1.86774</v>
      </c>
      <c r="HR130">
        <v>1.87026</v>
      </c>
      <c r="HS130">
        <v>1.8689</v>
      </c>
      <c r="HT130">
        <v>1.87027</v>
      </c>
      <c r="HU130">
        <v>0</v>
      </c>
      <c r="HV130">
        <v>0</v>
      </c>
      <c r="HW130">
        <v>0</v>
      </c>
      <c r="HX130">
        <v>0</v>
      </c>
      <c r="HY130" t="s">
        <v>421</v>
      </c>
      <c r="HZ130" t="s">
        <v>422</v>
      </c>
      <c r="IA130" t="s">
        <v>423</v>
      </c>
      <c r="IB130" t="s">
        <v>423</v>
      </c>
      <c r="IC130" t="s">
        <v>423</v>
      </c>
      <c r="ID130" t="s">
        <v>423</v>
      </c>
      <c r="IE130">
        <v>0</v>
      </c>
      <c r="IF130">
        <v>100</v>
      </c>
      <c r="IG130">
        <v>100</v>
      </c>
      <c r="IH130">
        <v>-1.746</v>
      </c>
      <c r="II130">
        <v>0.0068</v>
      </c>
      <c r="IJ130">
        <v>-0.4995723906072</v>
      </c>
      <c r="IK130">
        <v>-0.002077099775823331</v>
      </c>
      <c r="IL130">
        <v>4.593143279902166E-07</v>
      </c>
      <c r="IM130">
        <v>-1.865383991892071E-10</v>
      </c>
      <c r="IN130">
        <v>-0.07605349583632376</v>
      </c>
      <c r="IO130">
        <v>-0.01129461987421345</v>
      </c>
      <c r="IP130">
        <v>0.00116580895745559</v>
      </c>
      <c r="IQ130">
        <v>-1.679085872906199E-05</v>
      </c>
      <c r="IR130">
        <v>2</v>
      </c>
      <c r="IS130">
        <v>2290</v>
      </c>
      <c r="IT130">
        <v>0</v>
      </c>
      <c r="IU130">
        <v>32</v>
      </c>
      <c r="IV130">
        <v>8.199999999999999</v>
      </c>
      <c r="IW130">
        <v>7.9</v>
      </c>
      <c r="IX130">
        <v>1.64185</v>
      </c>
      <c r="IY130">
        <v>2.21802</v>
      </c>
      <c r="IZ130">
        <v>1.39648</v>
      </c>
      <c r="JA130">
        <v>2.35962</v>
      </c>
      <c r="JB130">
        <v>1.49536</v>
      </c>
      <c r="JC130">
        <v>2.30835</v>
      </c>
      <c r="JD130">
        <v>38.4034</v>
      </c>
      <c r="JE130">
        <v>24.0437</v>
      </c>
      <c r="JF130">
        <v>18</v>
      </c>
      <c r="JG130">
        <v>515.1369999999999</v>
      </c>
      <c r="JH130">
        <v>423.268</v>
      </c>
      <c r="JI130">
        <v>22.6616</v>
      </c>
      <c r="JJ130">
        <v>29.116</v>
      </c>
      <c r="JK130">
        <v>29.9999</v>
      </c>
      <c r="JL130">
        <v>29.1173</v>
      </c>
      <c r="JM130">
        <v>29.0569</v>
      </c>
      <c r="JN130">
        <v>32.8646</v>
      </c>
      <c r="JO130">
        <v>56.5973</v>
      </c>
      <c r="JP130">
        <v>0</v>
      </c>
      <c r="JQ130">
        <v>22.6647</v>
      </c>
      <c r="JR130">
        <v>754.788</v>
      </c>
      <c r="JS130">
        <v>8.604520000000001</v>
      </c>
      <c r="JT130">
        <v>100.298</v>
      </c>
      <c r="JU130">
        <v>100.209</v>
      </c>
    </row>
    <row r="131" spans="1:281">
      <c r="A131">
        <v>115</v>
      </c>
      <c r="B131">
        <v>1651857514.6</v>
      </c>
      <c r="C131">
        <v>514</v>
      </c>
      <c r="D131" t="s">
        <v>657</v>
      </c>
      <c r="E131" t="s">
        <v>658</v>
      </c>
      <c r="F131">
        <v>2</v>
      </c>
      <c r="G131" t="s">
        <v>413</v>
      </c>
      <c r="H131" t="s">
        <v>414</v>
      </c>
      <c r="I131">
        <v>1651857513.6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738.1227304559361</v>
      </c>
      <c r="AK131">
        <v>688.7667515151514</v>
      </c>
      <c r="AL131">
        <v>3.428028564093185</v>
      </c>
      <c r="AM131">
        <v>66.38384787954378</v>
      </c>
      <c r="AN131">
        <f>(AP131 - AO131 + DI131*1E3/(8.314*(DK131+273.15)) * AR131/DH131 * AQ131) * DH131/(100*CV131) * 1000/(1000 - AP131)</f>
        <v>0</v>
      </c>
      <c r="AO131">
        <v>8.634998722073043</v>
      </c>
      <c r="AP131">
        <v>18.44413558823529</v>
      </c>
      <c r="AQ131">
        <v>3.208832782445573E-05</v>
      </c>
      <c r="AR131">
        <v>80.44866334591464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417</v>
      </c>
      <c r="AY131" t="s">
        <v>417</v>
      </c>
      <c r="AZ131">
        <v>0</v>
      </c>
      <c r="BA131">
        <v>0</v>
      </c>
      <c r="BB131">
        <f>1-AZ131/BA131</f>
        <v>0</v>
      </c>
      <c r="BC131">
        <v>0</v>
      </c>
      <c r="BD131" t="s">
        <v>417</v>
      </c>
      <c r="BE131" t="s">
        <v>417</v>
      </c>
      <c r="BF131">
        <v>0</v>
      </c>
      <c r="BG131">
        <v>0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1238</v>
      </c>
      <c r="CA131">
        <v>300</v>
      </c>
      <c r="CB131">
        <v>300</v>
      </c>
      <c r="CC131">
        <v>300</v>
      </c>
      <c r="CD131">
        <v>10440.5</v>
      </c>
      <c r="CE131">
        <v>1411.69</v>
      </c>
      <c r="CF131">
        <v>-0.00735121</v>
      </c>
      <c r="CG131">
        <v>-0.77</v>
      </c>
      <c r="CH131" t="s">
        <v>417</v>
      </c>
      <c r="CI131" t="s">
        <v>417</v>
      </c>
      <c r="CJ131" t="s">
        <v>417</v>
      </c>
      <c r="CK131" t="s">
        <v>417</v>
      </c>
      <c r="CL131" t="s">
        <v>417</v>
      </c>
      <c r="CM131" t="s">
        <v>417</v>
      </c>
      <c r="CN131" t="s">
        <v>417</v>
      </c>
      <c r="CO131" t="s">
        <v>417</v>
      </c>
      <c r="CP131" t="s">
        <v>417</v>
      </c>
      <c r="CQ131" t="s">
        <v>417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418</v>
      </c>
      <c r="CY131">
        <v>2</v>
      </c>
      <c r="CZ131" t="b">
        <v>1</v>
      </c>
      <c r="DA131">
        <v>1651857513.6</v>
      </c>
      <c r="DB131">
        <v>674.3666666666667</v>
      </c>
      <c r="DC131">
        <v>737.688</v>
      </c>
      <c r="DD131">
        <v>18.44503333333333</v>
      </c>
      <c r="DE131">
        <v>8.634046666666668</v>
      </c>
      <c r="DF131">
        <v>676.1180000000001</v>
      </c>
      <c r="DG131">
        <v>18.43823333333333</v>
      </c>
      <c r="DH131">
        <v>500.0223333333333</v>
      </c>
      <c r="DI131">
        <v>90.09159999999999</v>
      </c>
      <c r="DJ131">
        <v>0.09988229999999999</v>
      </c>
      <c r="DK131">
        <v>25.76683333333333</v>
      </c>
      <c r="DL131">
        <v>25.00076666666667</v>
      </c>
      <c r="DM131">
        <v>999.9</v>
      </c>
      <c r="DN131">
        <v>0</v>
      </c>
      <c r="DO131">
        <v>0</v>
      </c>
      <c r="DP131">
        <v>10033.1</v>
      </c>
      <c r="DQ131">
        <v>0</v>
      </c>
      <c r="DR131">
        <v>3.20383</v>
      </c>
      <c r="DS131">
        <v>-63.32133333333334</v>
      </c>
      <c r="DT131">
        <v>687.0390000000001</v>
      </c>
      <c r="DU131">
        <v>744.1129999999999</v>
      </c>
      <c r="DV131">
        <v>9.810973333333335</v>
      </c>
      <c r="DW131">
        <v>737.688</v>
      </c>
      <c r="DX131">
        <v>8.634046666666668</v>
      </c>
      <c r="DY131">
        <v>1.66174</v>
      </c>
      <c r="DZ131">
        <v>0.7778550000000001</v>
      </c>
      <c r="EA131">
        <v>14.54356666666667</v>
      </c>
      <c r="EB131">
        <v>3.309473333333333</v>
      </c>
      <c r="EC131">
        <v>1500.006666666667</v>
      </c>
      <c r="ED131">
        <v>0.9730053333333334</v>
      </c>
      <c r="EE131">
        <v>0.0269949</v>
      </c>
      <c r="EF131">
        <v>0</v>
      </c>
      <c r="EG131">
        <v>1046.666666666667</v>
      </c>
      <c r="EH131">
        <v>5.00097</v>
      </c>
      <c r="EI131">
        <v>15539.8</v>
      </c>
      <c r="EJ131">
        <v>12491.63333333333</v>
      </c>
      <c r="EK131">
        <v>37.5</v>
      </c>
      <c r="EL131">
        <v>39</v>
      </c>
      <c r="EM131">
        <v>37.875</v>
      </c>
      <c r="EN131">
        <v>38.75</v>
      </c>
      <c r="EO131">
        <v>38.375</v>
      </c>
      <c r="EP131">
        <v>1454.646666666667</v>
      </c>
      <c r="EQ131">
        <v>40.36</v>
      </c>
      <c r="ER131">
        <v>0</v>
      </c>
      <c r="ES131">
        <v>513.6000001430511</v>
      </c>
      <c r="ET131">
        <v>0</v>
      </c>
      <c r="EU131">
        <v>1048.008</v>
      </c>
      <c r="EV131">
        <v>-13.01538463066598</v>
      </c>
      <c r="EW131">
        <v>-196.2692308395508</v>
      </c>
      <c r="EX131">
        <v>15560.088</v>
      </c>
      <c r="EY131">
        <v>15</v>
      </c>
      <c r="EZ131">
        <v>1651857041.1</v>
      </c>
      <c r="FA131" t="s">
        <v>419</v>
      </c>
      <c r="FB131">
        <v>1651857019.6</v>
      </c>
      <c r="FC131">
        <v>1651857041.1</v>
      </c>
      <c r="FD131">
        <v>1</v>
      </c>
      <c r="FE131">
        <v>0.545</v>
      </c>
      <c r="FF131">
        <v>-0.002</v>
      </c>
      <c r="FG131">
        <v>-1.271</v>
      </c>
      <c r="FH131">
        <v>-0.09</v>
      </c>
      <c r="FI131">
        <v>400</v>
      </c>
      <c r="FJ131">
        <v>10</v>
      </c>
      <c r="FK131">
        <v>0.1</v>
      </c>
      <c r="FL131">
        <v>0.02</v>
      </c>
      <c r="FM131">
        <v>-63.148225</v>
      </c>
      <c r="FN131">
        <v>-1.427862664165055</v>
      </c>
      <c r="FO131">
        <v>0.1500661866477585</v>
      </c>
      <c r="FP131">
        <v>-1</v>
      </c>
      <c r="FQ131">
        <v>9.8115705</v>
      </c>
      <c r="FR131">
        <v>-0.0002915572232772497</v>
      </c>
      <c r="FS131">
        <v>0.001157283349054934</v>
      </c>
      <c r="FT131">
        <v>-1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0</v>
      </c>
      <c r="GA131" t="s">
        <v>432</v>
      </c>
      <c r="GB131">
        <v>2.97988</v>
      </c>
      <c r="GC131">
        <v>2.70632</v>
      </c>
      <c r="GD131">
        <v>0.132222</v>
      </c>
      <c r="GE131">
        <v>0.138773</v>
      </c>
      <c r="GF131">
        <v>0.0880807</v>
      </c>
      <c r="GG131">
        <v>0.0494532</v>
      </c>
      <c r="GH131">
        <v>27380.1</v>
      </c>
      <c r="GI131">
        <v>27233.1</v>
      </c>
      <c r="GJ131">
        <v>29341.1</v>
      </c>
      <c r="GK131">
        <v>29254.9</v>
      </c>
      <c r="GL131">
        <v>35433.2</v>
      </c>
      <c r="GM131">
        <v>37036.1</v>
      </c>
      <c r="GN131">
        <v>41301.9</v>
      </c>
      <c r="GO131">
        <v>41751.5</v>
      </c>
      <c r="GP131">
        <v>1.95548</v>
      </c>
      <c r="GQ131">
        <v>1.8351</v>
      </c>
      <c r="GR131">
        <v>-0.033766</v>
      </c>
      <c r="GS131">
        <v>0</v>
      </c>
      <c r="GT131">
        <v>25.5562</v>
      </c>
      <c r="GU131">
        <v>999.9</v>
      </c>
      <c r="GV131">
        <v>38.6</v>
      </c>
      <c r="GW131">
        <v>33.9</v>
      </c>
      <c r="GX131">
        <v>22.7666</v>
      </c>
      <c r="GY131">
        <v>62.5376</v>
      </c>
      <c r="GZ131">
        <v>35.7212</v>
      </c>
      <c r="HA131">
        <v>1</v>
      </c>
      <c r="HB131">
        <v>0.137879</v>
      </c>
      <c r="HC131">
        <v>2.18654</v>
      </c>
      <c r="HD131">
        <v>20.3209</v>
      </c>
      <c r="HE131">
        <v>5.21759</v>
      </c>
      <c r="HF131">
        <v>12.0099</v>
      </c>
      <c r="HG131">
        <v>4.988</v>
      </c>
      <c r="HH131">
        <v>3.28855</v>
      </c>
      <c r="HI131">
        <v>852.4</v>
      </c>
      <c r="HJ131">
        <v>8483.9</v>
      </c>
      <c r="HK131">
        <v>5139.4</v>
      </c>
      <c r="HL131">
        <v>22.9</v>
      </c>
      <c r="HM131">
        <v>1.86752</v>
      </c>
      <c r="HN131">
        <v>1.86646</v>
      </c>
      <c r="HO131">
        <v>1.866</v>
      </c>
      <c r="HP131">
        <v>1.86585</v>
      </c>
      <c r="HQ131">
        <v>1.86774</v>
      </c>
      <c r="HR131">
        <v>1.87027</v>
      </c>
      <c r="HS131">
        <v>1.8689</v>
      </c>
      <c r="HT131">
        <v>1.87027</v>
      </c>
      <c r="HU131">
        <v>0</v>
      </c>
      <c r="HV131">
        <v>0</v>
      </c>
      <c r="HW131">
        <v>0</v>
      </c>
      <c r="HX131">
        <v>0</v>
      </c>
      <c r="HY131" t="s">
        <v>421</v>
      </c>
      <c r="HZ131" t="s">
        <v>422</v>
      </c>
      <c r="IA131" t="s">
        <v>423</v>
      </c>
      <c r="IB131" t="s">
        <v>423</v>
      </c>
      <c r="IC131" t="s">
        <v>423</v>
      </c>
      <c r="ID131" t="s">
        <v>423</v>
      </c>
      <c r="IE131">
        <v>0</v>
      </c>
      <c r="IF131">
        <v>100</v>
      </c>
      <c r="IG131">
        <v>100</v>
      </c>
      <c r="IH131">
        <v>-1.757</v>
      </c>
      <c r="II131">
        <v>0.0068</v>
      </c>
      <c r="IJ131">
        <v>-0.4995723906072</v>
      </c>
      <c r="IK131">
        <v>-0.002077099775823331</v>
      </c>
      <c r="IL131">
        <v>4.593143279902166E-07</v>
      </c>
      <c r="IM131">
        <v>-1.865383991892071E-10</v>
      </c>
      <c r="IN131">
        <v>-0.07605349583632376</v>
      </c>
      <c r="IO131">
        <v>-0.01129461987421345</v>
      </c>
      <c r="IP131">
        <v>0.00116580895745559</v>
      </c>
      <c r="IQ131">
        <v>-1.679085872906199E-05</v>
      </c>
      <c r="IR131">
        <v>2</v>
      </c>
      <c r="IS131">
        <v>2290</v>
      </c>
      <c r="IT131">
        <v>0</v>
      </c>
      <c r="IU131">
        <v>32</v>
      </c>
      <c r="IV131">
        <v>8.199999999999999</v>
      </c>
      <c r="IW131">
        <v>7.9</v>
      </c>
      <c r="IX131">
        <v>1.65405</v>
      </c>
      <c r="IY131">
        <v>2.22046</v>
      </c>
      <c r="IZ131">
        <v>1.39648</v>
      </c>
      <c r="JA131">
        <v>2.3584</v>
      </c>
      <c r="JB131">
        <v>1.49536</v>
      </c>
      <c r="JC131">
        <v>2.33032</v>
      </c>
      <c r="JD131">
        <v>38.4034</v>
      </c>
      <c r="JE131">
        <v>24.035</v>
      </c>
      <c r="JF131">
        <v>18</v>
      </c>
      <c r="JG131">
        <v>515.153</v>
      </c>
      <c r="JH131">
        <v>423.382</v>
      </c>
      <c r="JI131">
        <v>22.6632</v>
      </c>
      <c r="JJ131">
        <v>29.116</v>
      </c>
      <c r="JK131">
        <v>30</v>
      </c>
      <c r="JL131">
        <v>29.1173</v>
      </c>
      <c r="JM131">
        <v>29.0563</v>
      </c>
      <c r="JN131">
        <v>33.103</v>
      </c>
      <c r="JO131">
        <v>56.5973</v>
      </c>
      <c r="JP131">
        <v>0</v>
      </c>
      <c r="JQ131">
        <v>22.6686</v>
      </c>
      <c r="JR131">
        <v>761.489</v>
      </c>
      <c r="JS131">
        <v>8.593389999999999</v>
      </c>
      <c r="JT131">
        <v>100.298</v>
      </c>
      <c r="JU131">
        <v>100.211</v>
      </c>
    </row>
    <row r="132" spans="1:281">
      <c r="A132">
        <v>116</v>
      </c>
      <c r="B132">
        <v>1651857516.6</v>
      </c>
      <c r="C132">
        <v>516</v>
      </c>
      <c r="D132" t="s">
        <v>659</v>
      </c>
      <c r="E132" t="s">
        <v>660</v>
      </c>
      <c r="F132">
        <v>2</v>
      </c>
      <c r="G132" t="s">
        <v>413</v>
      </c>
      <c r="H132" t="s">
        <v>414</v>
      </c>
      <c r="I132">
        <v>1651857515.225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744.901287079761</v>
      </c>
      <c r="AK132">
        <v>695.6326242424242</v>
      </c>
      <c r="AL132">
        <v>3.439456558582128</v>
      </c>
      <c r="AM132">
        <v>66.38384787954378</v>
      </c>
      <c r="AN132">
        <f>(AP132 - AO132 + DI132*1E3/(8.314*(DK132+273.15)) * AR132/DH132 * AQ132) * DH132/(100*CV132) * 1000/(1000 - AP132)</f>
        <v>0</v>
      </c>
      <c r="AO132">
        <v>8.634388988713587</v>
      </c>
      <c r="AP132">
        <v>18.44549235294118</v>
      </c>
      <c r="AQ132">
        <v>-2.213428716330808E-05</v>
      </c>
      <c r="AR132">
        <v>80.44866334591464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417</v>
      </c>
      <c r="AY132" t="s">
        <v>417</v>
      </c>
      <c r="AZ132">
        <v>0</v>
      </c>
      <c r="BA132">
        <v>0</v>
      </c>
      <c r="BB132">
        <f>1-AZ132/BA132</f>
        <v>0</v>
      </c>
      <c r="BC132">
        <v>0</v>
      </c>
      <c r="BD132" t="s">
        <v>417</v>
      </c>
      <c r="BE132" t="s">
        <v>417</v>
      </c>
      <c r="BF132">
        <v>0</v>
      </c>
      <c r="BG132">
        <v>0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1238</v>
      </c>
      <c r="CA132">
        <v>300</v>
      </c>
      <c r="CB132">
        <v>300</v>
      </c>
      <c r="CC132">
        <v>300</v>
      </c>
      <c r="CD132">
        <v>10440.5</v>
      </c>
      <c r="CE132">
        <v>1411.69</v>
      </c>
      <c r="CF132">
        <v>-0.00735121</v>
      </c>
      <c r="CG132">
        <v>-0.77</v>
      </c>
      <c r="CH132" t="s">
        <v>417</v>
      </c>
      <c r="CI132" t="s">
        <v>417</v>
      </c>
      <c r="CJ132" t="s">
        <v>417</v>
      </c>
      <c r="CK132" t="s">
        <v>417</v>
      </c>
      <c r="CL132" t="s">
        <v>417</v>
      </c>
      <c r="CM132" t="s">
        <v>417</v>
      </c>
      <c r="CN132" t="s">
        <v>417</v>
      </c>
      <c r="CO132" t="s">
        <v>417</v>
      </c>
      <c r="CP132" t="s">
        <v>417</v>
      </c>
      <c r="CQ132" t="s">
        <v>417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418</v>
      </c>
      <c r="CY132">
        <v>2</v>
      </c>
      <c r="CZ132" t="b">
        <v>1</v>
      </c>
      <c r="DA132">
        <v>1651857515.225</v>
      </c>
      <c r="DB132">
        <v>679.85325</v>
      </c>
      <c r="DC132">
        <v>743.1180000000001</v>
      </c>
      <c r="DD132">
        <v>18.445575</v>
      </c>
      <c r="DE132">
        <v>8.633955</v>
      </c>
      <c r="DF132">
        <v>681.61425</v>
      </c>
      <c r="DG132">
        <v>18.438775</v>
      </c>
      <c r="DH132">
        <v>500.0225</v>
      </c>
      <c r="DI132">
        <v>90.08945</v>
      </c>
      <c r="DJ132">
        <v>0.100098475</v>
      </c>
      <c r="DK132">
        <v>25.768425</v>
      </c>
      <c r="DL132">
        <v>24.997725</v>
      </c>
      <c r="DM132">
        <v>999.9</v>
      </c>
      <c r="DN132">
        <v>0</v>
      </c>
      <c r="DO132">
        <v>0</v>
      </c>
      <c r="DP132">
        <v>10008.275</v>
      </c>
      <c r="DQ132">
        <v>0</v>
      </c>
      <c r="DR132">
        <v>3.20383</v>
      </c>
      <c r="DS132">
        <v>-63.26505</v>
      </c>
      <c r="DT132">
        <v>692.629</v>
      </c>
      <c r="DU132">
        <v>749.5899999999999</v>
      </c>
      <c r="DV132">
        <v>9.811585000000001</v>
      </c>
      <c r="DW132">
        <v>743.1180000000001</v>
      </c>
      <c r="DX132">
        <v>8.633955</v>
      </c>
      <c r="DY132">
        <v>1.6617475</v>
      </c>
      <c r="DZ132">
        <v>0.77782825</v>
      </c>
      <c r="EA132">
        <v>14.54365</v>
      </c>
      <c r="EB132">
        <v>3.308990000000001</v>
      </c>
      <c r="EC132">
        <v>1499.88</v>
      </c>
      <c r="ED132">
        <v>0.9730032500000001</v>
      </c>
      <c r="EE132">
        <v>0.02699715</v>
      </c>
      <c r="EF132">
        <v>0</v>
      </c>
      <c r="EG132">
        <v>1046.085</v>
      </c>
      <c r="EH132">
        <v>5.00097</v>
      </c>
      <c r="EI132">
        <v>15530.225</v>
      </c>
      <c r="EJ132">
        <v>12490.575</v>
      </c>
      <c r="EK132">
        <v>37.5</v>
      </c>
      <c r="EL132">
        <v>39</v>
      </c>
      <c r="EM132">
        <v>37.875</v>
      </c>
      <c r="EN132">
        <v>38.75</v>
      </c>
      <c r="EO132">
        <v>38.375</v>
      </c>
      <c r="EP132">
        <v>1454.52</v>
      </c>
      <c r="EQ132">
        <v>40.36</v>
      </c>
      <c r="ER132">
        <v>0</v>
      </c>
      <c r="ES132">
        <v>515.4000000953674</v>
      </c>
      <c r="ET132">
        <v>0</v>
      </c>
      <c r="EU132">
        <v>1047.663076923077</v>
      </c>
      <c r="EV132">
        <v>-14.28170939882063</v>
      </c>
      <c r="EW132">
        <v>-209.9794869708631</v>
      </c>
      <c r="EX132">
        <v>15554.71923076923</v>
      </c>
      <c r="EY132">
        <v>15</v>
      </c>
      <c r="EZ132">
        <v>1651857041.1</v>
      </c>
      <c r="FA132" t="s">
        <v>419</v>
      </c>
      <c r="FB132">
        <v>1651857019.6</v>
      </c>
      <c r="FC132">
        <v>1651857041.1</v>
      </c>
      <c r="FD132">
        <v>1</v>
      </c>
      <c r="FE132">
        <v>0.545</v>
      </c>
      <c r="FF132">
        <v>-0.002</v>
      </c>
      <c r="FG132">
        <v>-1.271</v>
      </c>
      <c r="FH132">
        <v>-0.09</v>
      </c>
      <c r="FI132">
        <v>400</v>
      </c>
      <c r="FJ132">
        <v>10</v>
      </c>
      <c r="FK132">
        <v>0.1</v>
      </c>
      <c r="FL132">
        <v>0.02</v>
      </c>
      <c r="FM132">
        <v>-63.1632024390244</v>
      </c>
      <c r="FN132">
        <v>-1.383355400696857</v>
      </c>
      <c r="FO132">
        <v>0.1498451501332003</v>
      </c>
      <c r="FP132">
        <v>-1</v>
      </c>
      <c r="FQ132">
        <v>9.811551219512195</v>
      </c>
      <c r="FR132">
        <v>3.74216027814541E-05</v>
      </c>
      <c r="FS132">
        <v>0.001136494814774502</v>
      </c>
      <c r="FT132">
        <v>-1</v>
      </c>
      <c r="FU132">
        <v>0</v>
      </c>
      <c r="FV132">
        <v>0</v>
      </c>
      <c r="FW132">
        <v>0</v>
      </c>
      <c r="FX132">
        <v>-1</v>
      </c>
      <c r="FY132">
        <v>0</v>
      </c>
      <c r="FZ132">
        <v>0</v>
      </c>
      <c r="GA132" t="s">
        <v>432</v>
      </c>
      <c r="GB132">
        <v>2.97988</v>
      </c>
      <c r="GC132">
        <v>2.7063</v>
      </c>
      <c r="GD132">
        <v>0.133117</v>
      </c>
      <c r="GE132">
        <v>0.139605</v>
      </c>
      <c r="GF132">
        <v>0.0880851</v>
      </c>
      <c r="GG132">
        <v>0.0494531</v>
      </c>
      <c r="GH132">
        <v>27352</v>
      </c>
      <c r="GI132">
        <v>27206.8</v>
      </c>
      <c r="GJ132">
        <v>29341.2</v>
      </c>
      <c r="GK132">
        <v>29254.9</v>
      </c>
      <c r="GL132">
        <v>35433.1</v>
      </c>
      <c r="GM132">
        <v>37036.3</v>
      </c>
      <c r="GN132">
        <v>41302</v>
      </c>
      <c r="GO132">
        <v>41751.8</v>
      </c>
      <c r="GP132">
        <v>1.9554</v>
      </c>
      <c r="GQ132">
        <v>1.83508</v>
      </c>
      <c r="GR132">
        <v>-0.0344217</v>
      </c>
      <c r="GS132">
        <v>0</v>
      </c>
      <c r="GT132">
        <v>25.5562</v>
      </c>
      <c r="GU132">
        <v>999.9</v>
      </c>
      <c r="GV132">
        <v>38.6</v>
      </c>
      <c r="GW132">
        <v>33.9</v>
      </c>
      <c r="GX132">
        <v>22.7663</v>
      </c>
      <c r="GY132">
        <v>62.5476</v>
      </c>
      <c r="GZ132">
        <v>35.2845</v>
      </c>
      <c r="HA132">
        <v>1</v>
      </c>
      <c r="HB132">
        <v>0.137881</v>
      </c>
      <c r="HC132">
        <v>2.18</v>
      </c>
      <c r="HD132">
        <v>20.3214</v>
      </c>
      <c r="HE132">
        <v>5.21804</v>
      </c>
      <c r="HF132">
        <v>12.0099</v>
      </c>
      <c r="HG132">
        <v>4.98835</v>
      </c>
      <c r="HH132">
        <v>3.28865</v>
      </c>
      <c r="HI132">
        <v>852.4</v>
      </c>
      <c r="HJ132">
        <v>8483.9</v>
      </c>
      <c r="HK132">
        <v>5139.4</v>
      </c>
      <c r="HL132">
        <v>22.9</v>
      </c>
      <c r="HM132">
        <v>1.86751</v>
      </c>
      <c r="HN132">
        <v>1.86646</v>
      </c>
      <c r="HO132">
        <v>1.866</v>
      </c>
      <c r="HP132">
        <v>1.86586</v>
      </c>
      <c r="HQ132">
        <v>1.86775</v>
      </c>
      <c r="HR132">
        <v>1.87027</v>
      </c>
      <c r="HS132">
        <v>1.8689</v>
      </c>
      <c r="HT132">
        <v>1.87027</v>
      </c>
      <c r="HU132">
        <v>0</v>
      </c>
      <c r="HV132">
        <v>0</v>
      </c>
      <c r="HW132">
        <v>0</v>
      </c>
      <c r="HX132">
        <v>0</v>
      </c>
      <c r="HY132" t="s">
        <v>421</v>
      </c>
      <c r="HZ132" t="s">
        <v>422</v>
      </c>
      <c r="IA132" t="s">
        <v>423</v>
      </c>
      <c r="IB132" t="s">
        <v>423</v>
      </c>
      <c r="IC132" t="s">
        <v>423</v>
      </c>
      <c r="ID132" t="s">
        <v>423</v>
      </c>
      <c r="IE132">
        <v>0</v>
      </c>
      <c r="IF132">
        <v>100</v>
      </c>
      <c r="IG132">
        <v>100</v>
      </c>
      <c r="IH132">
        <v>-1.769</v>
      </c>
      <c r="II132">
        <v>0.0068</v>
      </c>
      <c r="IJ132">
        <v>-0.4995723906072</v>
      </c>
      <c r="IK132">
        <v>-0.002077099775823331</v>
      </c>
      <c r="IL132">
        <v>4.593143279902166E-07</v>
      </c>
      <c r="IM132">
        <v>-1.865383991892071E-10</v>
      </c>
      <c r="IN132">
        <v>-0.07605349583632376</v>
      </c>
      <c r="IO132">
        <v>-0.01129461987421345</v>
      </c>
      <c r="IP132">
        <v>0.00116580895745559</v>
      </c>
      <c r="IQ132">
        <v>-1.679085872906199E-05</v>
      </c>
      <c r="IR132">
        <v>2</v>
      </c>
      <c r="IS132">
        <v>2290</v>
      </c>
      <c r="IT132">
        <v>0</v>
      </c>
      <c r="IU132">
        <v>32</v>
      </c>
      <c r="IV132">
        <v>8.300000000000001</v>
      </c>
      <c r="IW132">
        <v>7.9</v>
      </c>
      <c r="IX132">
        <v>1.66504</v>
      </c>
      <c r="IY132">
        <v>2.21924</v>
      </c>
      <c r="IZ132">
        <v>1.39648</v>
      </c>
      <c r="JA132">
        <v>2.3584</v>
      </c>
      <c r="JB132">
        <v>1.49536</v>
      </c>
      <c r="JC132">
        <v>2.32788</v>
      </c>
      <c r="JD132">
        <v>38.4034</v>
      </c>
      <c r="JE132">
        <v>24.0437</v>
      </c>
      <c r="JF132">
        <v>18</v>
      </c>
      <c r="JG132">
        <v>515.104</v>
      </c>
      <c r="JH132">
        <v>423.367</v>
      </c>
      <c r="JI132">
        <v>22.665</v>
      </c>
      <c r="JJ132">
        <v>29.116</v>
      </c>
      <c r="JK132">
        <v>30</v>
      </c>
      <c r="JL132">
        <v>29.1173</v>
      </c>
      <c r="JM132">
        <v>29.0563</v>
      </c>
      <c r="JN132">
        <v>33.3408</v>
      </c>
      <c r="JO132">
        <v>56.5973</v>
      </c>
      <c r="JP132">
        <v>0</v>
      </c>
      <c r="JQ132">
        <v>22.6686</v>
      </c>
      <c r="JR132">
        <v>768.168</v>
      </c>
      <c r="JS132">
        <v>8.592639999999999</v>
      </c>
      <c r="JT132">
        <v>100.298</v>
      </c>
      <c r="JU132">
        <v>100.211</v>
      </c>
    </row>
    <row r="133" spans="1:281">
      <c r="A133">
        <v>117</v>
      </c>
      <c r="B133">
        <v>1651857518.6</v>
      </c>
      <c r="C133">
        <v>518</v>
      </c>
      <c r="D133" t="s">
        <v>661</v>
      </c>
      <c r="E133" t="s">
        <v>662</v>
      </c>
      <c r="F133">
        <v>2</v>
      </c>
      <c r="G133" t="s">
        <v>413</v>
      </c>
      <c r="H133" t="s">
        <v>414</v>
      </c>
      <c r="I133">
        <v>1651857517.6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751.6111511960252</v>
      </c>
      <c r="AK133">
        <v>702.3952848484847</v>
      </c>
      <c r="AL133">
        <v>3.40146309397944</v>
      </c>
      <c r="AM133">
        <v>66.38384787954378</v>
      </c>
      <c r="AN133">
        <f>(AP133 - AO133 + DI133*1E3/(8.314*(DK133+273.15)) * AR133/DH133 * AQ133) * DH133/(100*CV133) * 1000/(1000 - AP133)</f>
        <v>0</v>
      </c>
      <c r="AO133">
        <v>8.634027046622551</v>
      </c>
      <c r="AP133">
        <v>18.44988529411764</v>
      </c>
      <c r="AQ133">
        <v>-4.098010829592919E-05</v>
      </c>
      <c r="AR133">
        <v>80.44866334591464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417</v>
      </c>
      <c r="AY133" t="s">
        <v>417</v>
      </c>
      <c r="AZ133">
        <v>0</v>
      </c>
      <c r="BA133">
        <v>0</v>
      </c>
      <c r="BB133">
        <f>1-AZ133/BA133</f>
        <v>0</v>
      </c>
      <c r="BC133">
        <v>0</v>
      </c>
      <c r="BD133" t="s">
        <v>417</v>
      </c>
      <c r="BE133" t="s">
        <v>417</v>
      </c>
      <c r="BF133">
        <v>0</v>
      </c>
      <c r="BG133">
        <v>0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1238</v>
      </c>
      <c r="CA133">
        <v>300</v>
      </c>
      <c r="CB133">
        <v>300</v>
      </c>
      <c r="CC133">
        <v>300</v>
      </c>
      <c r="CD133">
        <v>10440.5</v>
      </c>
      <c r="CE133">
        <v>1411.69</v>
      </c>
      <c r="CF133">
        <v>-0.00735121</v>
      </c>
      <c r="CG133">
        <v>-0.77</v>
      </c>
      <c r="CH133" t="s">
        <v>417</v>
      </c>
      <c r="CI133" t="s">
        <v>417</v>
      </c>
      <c r="CJ133" t="s">
        <v>417</v>
      </c>
      <c r="CK133" t="s">
        <v>417</v>
      </c>
      <c r="CL133" t="s">
        <v>417</v>
      </c>
      <c r="CM133" t="s">
        <v>417</v>
      </c>
      <c r="CN133" t="s">
        <v>417</v>
      </c>
      <c r="CO133" t="s">
        <v>417</v>
      </c>
      <c r="CP133" t="s">
        <v>417</v>
      </c>
      <c r="CQ133" t="s">
        <v>417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418</v>
      </c>
      <c r="CY133">
        <v>2</v>
      </c>
      <c r="CZ133" t="b">
        <v>1</v>
      </c>
      <c r="DA133">
        <v>1651857517.6</v>
      </c>
      <c r="DB133">
        <v>687.7823333333334</v>
      </c>
      <c r="DC133">
        <v>751.0273333333334</v>
      </c>
      <c r="DD133">
        <v>18.44866666666667</v>
      </c>
      <c r="DE133">
        <v>8.633850000000001</v>
      </c>
      <c r="DF133">
        <v>689.5573333333333</v>
      </c>
      <c r="DG133">
        <v>18.4418</v>
      </c>
      <c r="DH133">
        <v>500.051</v>
      </c>
      <c r="DI133">
        <v>90.08730000000001</v>
      </c>
      <c r="DJ133">
        <v>0.1001446666666667</v>
      </c>
      <c r="DK133">
        <v>25.771</v>
      </c>
      <c r="DL133">
        <v>24.9893</v>
      </c>
      <c r="DM133">
        <v>999.9</v>
      </c>
      <c r="DN133">
        <v>0</v>
      </c>
      <c r="DO133">
        <v>0</v>
      </c>
      <c r="DP133">
        <v>9991.666666666666</v>
      </c>
      <c r="DQ133">
        <v>0</v>
      </c>
      <c r="DR133">
        <v>3.20383</v>
      </c>
      <c r="DS133">
        <v>-63.24493333333334</v>
      </c>
      <c r="DT133">
        <v>700.7096666666666</v>
      </c>
      <c r="DU133">
        <v>757.5679999999999</v>
      </c>
      <c r="DV133">
        <v>9.814806666666668</v>
      </c>
      <c r="DW133">
        <v>751.0273333333334</v>
      </c>
      <c r="DX133">
        <v>8.633850000000001</v>
      </c>
      <c r="DY133">
        <v>1.66199</v>
      </c>
      <c r="DZ133">
        <v>0.7778003333333334</v>
      </c>
      <c r="EA133">
        <v>14.5459</v>
      </c>
      <c r="EB133">
        <v>3.308483333333334</v>
      </c>
      <c r="EC133">
        <v>1500.096666666667</v>
      </c>
      <c r="ED133">
        <v>0.973007</v>
      </c>
      <c r="EE133">
        <v>0.0269931</v>
      </c>
      <c r="EF133">
        <v>0</v>
      </c>
      <c r="EG133">
        <v>1045.003333333333</v>
      </c>
      <c r="EH133">
        <v>5.00097</v>
      </c>
      <c r="EI133">
        <v>15521.2</v>
      </c>
      <c r="EJ133">
        <v>12492.43333333333</v>
      </c>
      <c r="EK133">
        <v>37.5</v>
      </c>
      <c r="EL133">
        <v>39</v>
      </c>
      <c r="EM133">
        <v>37.875</v>
      </c>
      <c r="EN133">
        <v>38.75</v>
      </c>
      <c r="EO133">
        <v>38.375</v>
      </c>
      <c r="EP133">
        <v>1454.736666666667</v>
      </c>
      <c r="EQ133">
        <v>40.36</v>
      </c>
      <c r="ER133">
        <v>0</v>
      </c>
      <c r="ES133">
        <v>517.2000000476837</v>
      </c>
      <c r="ET133">
        <v>0</v>
      </c>
      <c r="EU133">
        <v>1047.098</v>
      </c>
      <c r="EV133">
        <v>-15.97076927200555</v>
      </c>
      <c r="EW133">
        <v>-224.4153850421408</v>
      </c>
      <c r="EX133">
        <v>15547.208</v>
      </c>
      <c r="EY133">
        <v>15</v>
      </c>
      <c r="EZ133">
        <v>1651857041.1</v>
      </c>
      <c r="FA133" t="s">
        <v>419</v>
      </c>
      <c r="FB133">
        <v>1651857019.6</v>
      </c>
      <c r="FC133">
        <v>1651857041.1</v>
      </c>
      <c r="FD133">
        <v>1</v>
      </c>
      <c r="FE133">
        <v>0.545</v>
      </c>
      <c r="FF133">
        <v>-0.002</v>
      </c>
      <c r="FG133">
        <v>-1.271</v>
      </c>
      <c r="FH133">
        <v>-0.09</v>
      </c>
      <c r="FI133">
        <v>400</v>
      </c>
      <c r="FJ133">
        <v>10</v>
      </c>
      <c r="FK133">
        <v>0.1</v>
      </c>
      <c r="FL133">
        <v>0.02</v>
      </c>
      <c r="FM133">
        <v>-63.19881</v>
      </c>
      <c r="FN133">
        <v>-1.062110318949337</v>
      </c>
      <c r="FO133">
        <v>0.1320983020329933</v>
      </c>
      <c r="FP133">
        <v>-1</v>
      </c>
      <c r="FQ133">
        <v>9.81169525</v>
      </c>
      <c r="FR133">
        <v>0.008548255159463719</v>
      </c>
      <c r="FS133">
        <v>0.001410102810968046</v>
      </c>
      <c r="FT133">
        <v>-1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0</v>
      </c>
      <c r="GA133" t="s">
        <v>432</v>
      </c>
      <c r="GB133">
        <v>2.98</v>
      </c>
      <c r="GC133">
        <v>2.70628</v>
      </c>
      <c r="GD133">
        <v>0.133999</v>
      </c>
      <c r="GE133">
        <v>0.140454</v>
      </c>
      <c r="GF133">
        <v>0.08808820000000001</v>
      </c>
      <c r="GG133">
        <v>0.0494503</v>
      </c>
      <c r="GH133">
        <v>27324.4</v>
      </c>
      <c r="GI133">
        <v>27179.9</v>
      </c>
      <c r="GJ133">
        <v>29341.5</v>
      </c>
      <c r="GK133">
        <v>29254.8</v>
      </c>
      <c r="GL133">
        <v>35433.4</v>
      </c>
      <c r="GM133">
        <v>37036.3</v>
      </c>
      <c r="GN133">
        <v>41302.5</v>
      </c>
      <c r="GO133">
        <v>41751.6</v>
      </c>
      <c r="GP133">
        <v>1.9555</v>
      </c>
      <c r="GQ133">
        <v>1.83473</v>
      </c>
      <c r="GR133">
        <v>-0.0349805</v>
      </c>
      <c r="GS133">
        <v>0</v>
      </c>
      <c r="GT133">
        <v>25.5562</v>
      </c>
      <c r="GU133">
        <v>999.9</v>
      </c>
      <c r="GV133">
        <v>38.6</v>
      </c>
      <c r="GW133">
        <v>33.9</v>
      </c>
      <c r="GX133">
        <v>22.7675</v>
      </c>
      <c r="GY133">
        <v>62.1376</v>
      </c>
      <c r="GZ133">
        <v>35.637</v>
      </c>
      <c r="HA133">
        <v>1</v>
      </c>
      <c r="HB133">
        <v>0.137866</v>
      </c>
      <c r="HC133">
        <v>2.1808</v>
      </c>
      <c r="HD133">
        <v>20.3198</v>
      </c>
      <c r="HE133">
        <v>5.21774</v>
      </c>
      <c r="HF133">
        <v>12.0099</v>
      </c>
      <c r="HG133">
        <v>4.9889</v>
      </c>
      <c r="HH133">
        <v>3.28865</v>
      </c>
      <c r="HI133">
        <v>852.4</v>
      </c>
      <c r="HJ133">
        <v>8483.9</v>
      </c>
      <c r="HK133">
        <v>5139.4</v>
      </c>
      <c r="HL133">
        <v>22.9</v>
      </c>
      <c r="HM133">
        <v>1.86751</v>
      </c>
      <c r="HN133">
        <v>1.86646</v>
      </c>
      <c r="HO133">
        <v>1.866</v>
      </c>
      <c r="HP133">
        <v>1.86588</v>
      </c>
      <c r="HQ133">
        <v>1.86774</v>
      </c>
      <c r="HR133">
        <v>1.87026</v>
      </c>
      <c r="HS133">
        <v>1.8689</v>
      </c>
      <c r="HT133">
        <v>1.87027</v>
      </c>
      <c r="HU133">
        <v>0</v>
      </c>
      <c r="HV133">
        <v>0</v>
      </c>
      <c r="HW133">
        <v>0</v>
      </c>
      <c r="HX133">
        <v>0</v>
      </c>
      <c r="HY133" t="s">
        <v>421</v>
      </c>
      <c r="HZ133" t="s">
        <v>422</v>
      </c>
      <c r="IA133" t="s">
        <v>423</v>
      </c>
      <c r="IB133" t="s">
        <v>423</v>
      </c>
      <c r="IC133" t="s">
        <v>423</v>
      </c>
      <c r="ID133" t="s">
        <v>423</v>
      </c>
      <c r="IE133">
        <v>0</v>
      </c>
      <c r="IF133">
        <v>100</v>
      </c>
      <c r="IG133">
        <v>100</v>
      </c>
      <c r="IH133">
        <v>-1.78</v>
      </c>
      <c r="II133">
        <v>0.0069</v>
      </c>
      <c r="IJ133">
        <v>-0.4995723906072</v>
      </c>
      <c r="IK133">
        <v>-0.002077099775823331</v>
      </c>
      <c r="IL133">
        <v>4.593143279902166E-07</v>
      </c>
      <c r="IM133">
        <v>-1.865383991892071E-10</v>
      </c>
      <c r="IN133">
        <v>-0.07605349583632376</v>
      </c>
      <c r="IO133">
        <v>-0.01129461987421345</v>
      </c>
      <c r="IP133">
        <v>0.00116580895745559</v>
      </c>
      <c r="IQ133">
        <v>-1.679085872906199E-05</v>
      </c>
      <c r="IR133">
        <v>2</v>
      </c>
      <c r="IS133">
        <v>2290</v>
      </c>
      <c r="IT133">
        <v>0</v>
      </c>
      <c r="IU133">
        <v>32</v>
      </c>
      <c r="IV133">
        <v>8.300000000000001</v>
      </c>
      <c r="IW133">
        <v>8</v>
      </c>
      <c r="IX133">
        <v>1.67725</v>
      </c>
      <c r="IY133">
        <v>2.22168</v>
      </c>
      <c r="IZ133">
        <v>1.39648</v>
      </c>
      <c r="JA133">
        <v>2.35962</v>
      </c>
      <c r="JB133">
        <v>1.49536</v>
      </c>
      <c r="JC133">
        <v>2.33643</v>
      </c>
      <c r="JD133">
        <v>38.4034</v>
      </c>
      <c r="JE133">
        <v>24.035</v>
      </c>
      <c r="JF133">
        <v>18</v>
      </c>
      <c r="JG133">
        <v>515.17</v>
      </c>
      <c r="JH133">
        <v>423.159</v>
      </c>
      <c r="JI133">
        <v>22.667</v>
      </c>
      <c r="JJ133">
        <v>29.1159</v>
      </c>
      <c r="JK133">
        <v>30</v>
      </c>
      <c r="JL133">
        <v>29.1173</v>
      </c>
      <c r="JM133">
        <v>29.0563</v>
      </c>
      <c r="JN133">
        <v>33.5739</v>
      </c>
      <c r="JO133">
        <v>56.5973</v>
      </c>
      <c r="JP133">
        <v>0</v>
      </c>
      <c r="JQ133">
        <v>22.6719</v>
      </c>
      <c r="JR133">
        <v>774.848</v>
      </c>
      <c r="JS133">
        <v>8.58989</v>
      </c>
      <c r="JT133">
        <v>100.3</v>
      </c>
      <c r="JU133">
        <v>100.211</v>
      </c>
    </row>
    <row r="134" spans="1:281">
      <c r="A134">
        <v>118</v>
      </c>
      <c r="B134">
        <v>1651857520.6</v>
      </c>
      <c r="C134">
        <v>520</v>
      </c>
      <c r="D134" t="s">
        <v>663</v>
      </c>
      <c r="E134" t="s">
        <v>664</v>
      </c>
      <c r="F134">
        <v>2</v>
      </c>
      <c r="G134" t="s">
        <v>413</v>
      </c>
      <c r="H134" t="s">
        <v>414</v>
      </c>
      <c r="I134">
        <v>1651857519.225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758.3542501587215</v>
      </c>
      <c r="AK134">
        <v>709.2113212121211</v>
      </c>
      <c r="AL134">
        <v>3.398442370372079</v>
      </c>
      <c r="AM134">
        <v>66.38384787954378</v>
      </c>
      <c r="AN134">
        <f>(AP134 - AO134 + DI134*1E3/(8.314*(DK134+273.15)) * AR134/DH134 * AQ134) * DH134/(100*CV134) * 1000/(1000 - AP134)</f>
        <v>0</v>
      </c>
      <c r="AO134">
        <v>8.633978885786108</v>
      </c>
      <c r="AP134">
        <v>18.44871205882352</v>
      </c>
      <c r="AQ134">
        <v>2.447851006603102E-05</v>
      </c>
      <c r="AR134">
        <v>80.44866334591464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417</v>
      </c>
      <c r="AY134" t="s">
        <v>417</v>
      </c>
      <c r="AZ134">
        <v>0</v>
      </c>
      <c r="BA134">
        <v>0</v>
      </c>
      <c r="BB134">
        <f>1-AZ134/BA134</f>
        <v>0</v>
      </c>
      <c r="BC134">
        <v>0</v>
      </c>
      <c r="BD134" t="s">
        <v>417</v>
      </c>
      <c r="BE134" t="s">
        <v>417</v>
      </c>
      <c r="BF134">
        <v>0</v>
      </c>
      <c r="BG134">
        <v>0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1238</v>
      </c>
      <c r="CA134">
        <v>300</v>
      </c>
      <c r="CB134">
        <v>300</v>
      </c>
      <c r="CC134">
        <v>300</v>
      </c>
      <c r="CD134">
        <v>10440.5</v>
      </c>
      <c r="CE134">
        <v>1411.69</v>
      </c>
      <c r="CF134">
        <v>-0.00735121</v>
      </c>
      <c r="CG134">
        <v>-0.77</v>
      </c>
      <c r="CH134" t="s">
        <v>417</v>
      </c>
      <c r="CI134" t="s">
        <v>417</v>
      </c>
      <c r="CJ134" t="s">
        <v>417</v>
      </c>
      <c r="CK134" t="s">
        <v>417</v>
      </c>
      <c r="CL134" t="s">
        <v>417</v>
      </c>
      <c r="CM134" t="s">
        <v>417</v>
      </c>
      <c r="CN134" t="s">
        <v>417</v>
      </c>
      <c r="CO134" t="s">
        <v>417</v>
      </c>
      <c r="CP134" t="s">
        <v>417</v>
      </c>
      <c r="CQ134" t="s">
        <v>417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418</v>
      </c>
      <c r="CY134">
        <v>2</v>
      </c>
      <c r="CZ134" t="b">
        <v>1</v>
      </c>
      <c r="DA134">
        <v>1651857519.225</v>
      </c>
      <c r="DB134">
        <v>693.2004999999999</v>
      </c>
      <c r="DC134">
        <v>756.54175</v>
      </c>
      <c r="DD134">
        <v>18.448475</v>
      </c>
      <c r="DE134">
        <v>8.633704999999999</v>
      </c>
      <c r="DF134">
        <v>694.9845</v>
      </c>
      <c r="DG134">
        <v>18.441625</v>
      </c>
      <c r="DH134">
        <v>500.0735</v>
      </c>
      <c r="DI134">
        <v>90.08652499999999</v>
      </c>
      <c r="DJ134">
        <v>0.0999843</v>
      </c>
      <c r="DK134">
        <v>25.77045</v>
      </c>
      <c r="DL134">
        <v>24.98375</v>
      </c>
      <c r="DM134">
        <v>999.9</v>
      </c>
      <c r="DN134">
        <v>0</v>
      </c>
      <c r="DO134">
        <v>0</v>
      </c>
      <c r="DP134">
        <v>10005</v>
      </c>
      <c r="DQ134">
        <v>0</v>
      </c>
      <c r="DR134">
        <v>3.20383</v>
      </c>
      <c r="DS134">
        <v>-63.34095</v>
      </c>
      <c r="DT134">
        <v>706.2292500000001</v>
      </c>
      <c r="DU134">
        <v>763.13025</v>
      </c>
      <c r="DV134">
        <v>9.81475</v>
      </c>
      <c r="DW134">
        <v>756.54175</v>
      </c>
      <c r="DX134">
        <v>8.633704999999999</v>
      </c>
      <c r="DY134">
        <v>1.6619575</v>
      </c>
      <c r="DZ134">
        <v>0.77778025</v>
      </c>
      <c r="EA134">
        <v>14.5456</v>
      </c>
      <c r="EB134">
        <v>3.30812</v>
      </c>
      <c r="EC134">
        <v>1500.0225</v>
      </c>
      <c r="ED134">
        <v>0.9730045</v>
      </c>
      <c r="EE134">
        <v>0.0269958</v>
      </c>
      <c r="EF134">
        <v>0</v>
      </c>
      <c r="EG134">
        <v>1044.525</v>
      </c>
      <c r="EH134">
        <v>5.00097</v>
      </c>
      <c r="EI134">
        <v>15512.4</v>
      </c>
      <c r="EJ134">
        <v>12491.8</v>
      </c>
      <c r="EK134">
        <v>37.5</v>
      </c>
      <c r="EL134">
        <v>39</v>
      </c>
      <c r="EM134">
        <v>37.875</v>
      </c>
      <c r="EN134">
        <v>38.75</v>
      </c>
      <c r="EO134">
        <v>38.375</v>
      </c>
      <c r="EP134">
        <v>1454.66</v>
      </c>
      <c r="EQ134">
        <v>40.3625</v>
      </c>
      <c r="ER134">
        <v>0</v>
      </c>
      <c r="ES134">
        <v>519.6000001430511</v>
      </c>
      <c r="ET134">
        <v>0</v>
      </c>
      <c r="EU134">
        <v>1046.4512</v>
      </c>
      <c r="EV134">
        <v>-18.18230771315331</v>
      </c>
      <c r="EW134">
        <v>-252.7769231979672</v>
      </c>
      <c r="EX134">
        <v>15537.748</v>
      </c>
      <c r="EY134">
        <v>15</v>
      </c>
      <c r="EZ134">
        <v>1651857041.1</v>
      </c>
      <c r="FA134" t="s">
        <v>419</v>
      </c>
      <c r="FB134">
        <v>1651857019.6</v>
      </c>
      <c r="FC134">
        <v>1651857041.1</v>
      </c>
      <c r="FD134">
        <v>1</v>
      </c>
      <c r="FE134">
        <v>0.545</v>
      </c>
      <c r="FF134">
        <v>-0.002</v>
      </c>
      <c r="FG134">
        <v>-1.271</v>
      </c>
      <c r="FH134">
        <v>-0.09</v>
      </c>
      <c r="FI134">
        <v>400</v>
      </c>
      <c r="FJ134">
        <v>10</v>
      </c>
      <c r="FK134">
        <v>0.1</v>
      </c>
      <c r="FL134">
        <v>0.02</v>
      </c>
      <c r="FM134">
        <v>-63.21884146341463</v>
      </c>
      <c r="FN134">
        <v>-0.9788174216027655</v>
      </c>
      <c r="FO134">
        <v>0.1273344951167548</v>
      </c>
      <c r="FP134">
        <v>-1</v>
      </c>
      <c r="FQ134">
        <v>9.811878048780489</v>
      </c>
      <c r="FR134">
        <v>0.01245512195121797</v>
      </c>
      <c r="FS134">
        <v>0.001603688157011048</v>
      </c>
      <c r="FT134">
        <v>-1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0</v>
      </c>
      <c r="GA134" t="s">
        <v>432</v>
      </c>
      <c r="GB134">
        <v>2.97997</v>
      </c>
      <c r="GC134">
        <v>2.70611</v>
      </c>
      <c r="GD134">
        <v>0.134887</v>
      </c>
      <c r="GE134">
        <v>0.141304</v>
      </c>
      <c r="GF134">
        <v>0.08808149999999999</v>
      </c>
      <c r="GG134">
        <v>0.0494481</v>
      </c>
      <c r="GH134">
        <v>27296.8</v>
      </c>
      <c r="GI134">
        <v>27153</v>
      </c>
      <c r="GJ134">
        <v>29341.9</v>
      </c>
      <c r="GK134">
        <v>29254.9</v>
      </c>
      <c r="GL134">
        <v>35434.1</v>
      </c>
      <c r="GM134">
        <v>37036.3</v>
      </c>
      <c r="GN134">
        <v>41303</v>
      </c>
      <c r="GO134">
        <v>41751.5</v>
      </c>
      <c r="GP134">
        <v>1.9554</v>
      </c>
      <c r="GQ134">
        <v>1.83468</v>
      </c>
      <c r="GR134">
        <v>-0.0348166</v>
      </c>
      <c r="GS134">
        <v>0</v>
      </c>
      <c r="GT134">
        <v>25.5562</v>
      </c>
      <c r="GU134">
        <v>999.9</v>
      </c>
      <c r="GV134">
        <v>38.6</v>
      </c>
      <c r="GW134">
        <v>33.9</v>
      </c>
      <c r="GX134">
        <v>22.7649</v>
      </c>
      <c r="GY134">
        <v>62.6276</v>
      </c>
      <c r="GZ134">
        <v>35.4087</v>
      </c>
      <c r="HA134">
        <v>1</v>
      </c>
      <c r="HB134">
        <v>0.137861</v>
      </c>
      <c r="HC134">
        <v>2.17769</v>
      </c>
      <c r="HD134">
        <v>20.3197</v>
      </c>
      <c r="HE134">
        <v>5.21789</v>
      </c>
      <c r="HF134">
        <v>12.0099</v>
      </c>
      <c r="HG134">
        <v>4.9888</v>
      </c>
      <c r="HH134">
        <v>3.28865</v>
      </c>
      <c r="HI134">
        <v>852.6</v>
      </c>
      <c r="HJ134">
        <v>8486.200000000001</v>
      </c>
      <c r="HK134">
        <v>5139.4</v>
      </c>
      <c r="HL134">
        <v>22.9</v>
      </c>
      <c r="HM134">
        <v>1.86752</v>
      </c>
      <c r="HN134">
        <v>1.86647</v>
      </c>
      <c r="HO134">
        <v>1.866</v>
      </c>
      <c r="HP134">
        <v>1.86588</v>
      </c>
      <c r="HQ134">
        <v>1.86771</v>
      </c>
      <c r="HR134">
        <v>1.87026</v>
      </c>
      <c r="HS134">
        <v>1.8689</v>
      </c>
      <c r="HT134">
        <v>1.87027</v>
      </c>
      <c r="HU134">
        <v>0</v>
      </c>
      <c r="HV134">
        <v>0</v>
      </c>
      <c r="HW134">
        <v>0</v>
      </c>
      <c r="HX134">
        <v>0</v>
      </c>
      <c r="HY134" t="s">
        <v>421</v>
      </c>
      <c r="HZ134" t="s">
        <v>422</v>
      </c>
      <c r="IA134" t="s">
        <v>423</v>
      </c>
      <c r="IB134" t="s">
        <v>423</v>
      </c>
      <c r="IC134" t="s">
        <v>423</v>
      </c>
      <c r="ID134" t="s">
        <v>423</v>
      </c>
      <c r="IE134">
        <v>0</v>
      </c>
      <c r="IF134">
        <v>100</v>
      </c>
      <c r="IG134">
        <v>100</v>
      </c>
      <c r="IH134">
        <v>-1.792</v>
      </c>
      <c r="II134">
        <v>0.0068</v>
      </c>
      <c r="IJ134">
        <v>-0.4995723906072</v>
      </c>
      <c r="IK134">
        <v>-0.002077099775823331</v>
      </c>
      <c r="IL134">
        <v>4.593143279902166E-07</v>
      </c>
      <c r="IM134">
        <v>-1.865383991892071E-10</v>
      </c>
      <c r="IN134">
        <v>-0.07605349583632376</v>
      </c>
      <c r="IO134">
        <v>-0.01129461987421345</v>
      </c>
      <c r="IP134">
        <v>0.00116580895745559</v>
      </c>
      <c r="IQ134">
        <v>-1.679085872906199E-05</v>
      </c>
      <c r="IR134">
        <v>2</v>
      </c>
      <c r="IS134">
        <v>2290</v>
      </c>
      <c r="IT134">
        <v>0</v>
      </c>
      <c r="IU134">
        <v>32</v>
      </c>
      <c r="IV134">
        <v>8.300000000000001</v>
      </c>
      <c r="IW134">
        <v>8</v>
      </c>
      <c r="IX134">
        <v>1.68945</v>
      </c>
      <c r="IY134">
        <v>2.2168</v>
      </c>
      <c r="IZ134">
        <v>1.39648</v>
      </c>
      <c r="JA134">
        <v>2.35962</v>
      </c>
      <c r="JB134">
        <v>1.49536</v>
      </c>
      <c r="JC134">
        <v>2.35596</v>
      </c>
      <c r="JD134">
        <v>38.4034</v>
      </c>
      <c r="JE134">
        <v>24.0437</v>
      </c>
      <c r="JF134">
        <v>18</v>
      </c>
      <c r="JG134">
        <v>515.098</v>
      </c>
      <c r="JH134">
        <v>423.125</v>
      </c>
      <c r="JI134">
        <v>22.6688</v>
      </c>
      <c r="JJ134">
        <v>29.1147</v>
      </c>
      <c r="JK134">
        <v>30</v>
      </c>
      <c r="JL134">
        <v>29.1166</v>
      </c>
      <c r="JM134">
        <v>29.0557</v>
      </c>
      <c r="JN134">
        <v>33.808</v>
      </c>
      <c r="JO134">
        <v>56.5973</v>
      </c>
      <c r="JP134">
        <v>0</v>
      </c>
      <c r="JQ134">
        <v>22.6719</v>
      </c>
      <c r="JR134">
        <v>781.528</v>
      </c>
      <c r="JS134">
        <v>8.59286</v>
      </c>
      <c r="JT134">
        <v>100.301</v>
      </c>
      <c r="JU134">
        <v>100.211</v>
      </c>
    </row>
    <row r="135" spans="1:281">
      <c r="A135">
        <v>119</v>
      </c>
      <c r="B135">
        <v>1651857522.6</v>
      </c>
      <c r="C135">
        <v>522</v>
      </c>
      <c r="D135" t="s">
        <v>665</v>
      </c>
      <c r="E135" t="s">
        <v>666</v>
      </c>
      <c r="F135">
        <v>2</v>
      </c>
      <c r="G135" t="s">
        <v>413</v>
      </c>
      <c r="H135" t="s">
        <v>414</v>
      </c>
      <c r="I135">
        <v>1651857521.6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765.2128611832727</v>
      </c>
      <c r="AK135">
        <v>716.1116424242422</v>
      </c>
      <c r="AL135">
        <v>3.43515102547966</v>
      </c>
      <c r="AM135">
        <v>66.38384787954378</v>
      </c>
      <c r="AN135">
        <f>(AP135 - AO135 + DI135*1E3/(8.314*(DK135+273.15)) * AR135/DH135 * AQ135) * DH135/(100*CV135) * 1000/(1000 - AP135)</f>
        <v>0</v>
      </c>
      <c r="AO135">
        <v>8.633844524589385</v>
      </c>
      <c r="AP135">
        <v>18.44229264705882</v>
      </c>
      <c r="AQ135">
        <v>5.281931591009451E-05</v>
      </c>
      <c r="AR135">
        <v>80.44866334591464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417</v>
      </c>
      <c r="AY135" t="s">
        <v>417</v>
      </c>
      <c r="AZ135">
        <v>0</v>
      </c>
      <c r="BA135">
        <v>0</v>
      </c>
      <c r="BB135">
        <f>1-AZ135/BA135</f>
        <v>0</v>
      </c>
      <c r="BC135">
        <v>0</v>
      </c>
      <c r="BD135" t="s">
        <v>417</v>
      </c>
      <c r="BE135" t="s">
        <v>417</v>
      </c>
      <c r="BF135">
        <v>0</v>
      </c>
      <c r="BG135">
        <v>0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1238</v>
      </c>
      <c r="CA135">
        <v>300</v>
      </c>
      <c r="CB135">
        <v>300</v>
      </c>
      <c r="CC135">
        <v>300</v>
      </c>
      <c r="CD135">
        <v>10440.5</v>
      </c>
      <c r="CE135">
        <v>1411.69</v>
      </c>
      <c r="CF135">
        <v>-0.00735121</v>
      </c>
      <c r="CG135">
        <v>-0.77</v>
      </c>
      <c r="CH135" t="s">
        <v>417</v>
      </c>
      <c r="CI135" t="s">
        <v>417</v>
      </c>
      <c r="CJ135" t="s">
        <v>417</v>
      </c>
      <c r="CK135" t="s">
        <v>417</v>
      </c>
      <c r="CL135" t="s">
        <v>417</v>
      </c>
      <c r="CM135" t="s">
        <v>417</v>
      </c>
      <c r="CN135" t="s">
        <v>417</v>
      </c>
      <c r="CO135" t="s">
        <v>417</v>
      </c>
      <c r="CP135" t="s">
        <v>417</v>
      </c>
      <c r="CQ135" t="s">
        <v>417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418</v>
      </c>
      <c r="CY135">
        <v>2</v>
      </c>
      <c r="CZ135" t="b">
        <v>1</v>
      </c>
      <c r="DA135">
        <v>1651857521.6</v>
      </c>
      <c r="DB135">
        <v>701.207</v>
      </c>
      <c r="DC135">
        <v>764.543</v>
      </c>
      <c r="DD135">
        <v>18.44366666666667</v>
      </c>
      <c r="DE135">
        <v>8.633143333333335</v>
      </c>
      <c r="DF135">
        <v>703.0043333333333</v>
      </c>
      <c r="DG135">
        <v>18.43686666666667</v>
      </c>
      <c r="DH135">
        <v>500.0353333333333</v>
      </c>
      <c r="DI135">
        <v>90.0869</v>
      </c>
      <c r="DJ135">
        <v>0.100147</v>
      </c>
      <c r="DK135">
        <v>25.76863333333334</v>
      </c>
      <c r="DL135">
        <v>24.98886666666667</v>
      </c>
      <c r="DM135">
        <v>999.9</v>
      </c>
      <c r="DN135">
        <v>0</v>
      </c>
      <c r="DO135">
        <v>0</v>
      </c>
      <c r="DP135">
        <v>9980.209999999999</v>
      </c>
      <c r="DQ135">
        <v>0</v>
      </c>
      <c r="DR135">
        <v>3.20383</v>
      </c>
      <c r="DS135">
        <v>-63.33643333333333</v>
      </c>
      <c r="DT135">
        <v>714.3826666666668</v>
      </c>
      <c r="DU135">
        <v>771.2013333333334</v>
      </c>
      <c r="DV135">
        <v>9.810506666666667</v>
      </c>
      <c r="DW135">
        <v>764.543</v>
      </c>
      <c r="DX135">
        <v>8.633143333333335</v>
      </c>
      <c r="DY135">
        <v>1.66153</v>
      </c>
      <c r="DZ135">
        <v>0.7777333333333333</v>
      </c>
      <c r="EA135">
        <v>14.54163333333334</v>
      </c>
      <c r="EB135">
        <v>3.30726</v>
      </c>
      <c r="EC135">
        <v>1500</v>
      </c>
      <c r="ED135">
        <v>0.973002</v>
      </c>
      <c r="EE135">
        <v>0.0269985</v>
      </c>
      <c r="EF135">
        <v>0</v>
      </c>
      <c r="EG135">
        <v>1044.063333333333</v>
      </c>
      <c r="EH135">
        <v>5.00097</v>
      </c>
      <c r="EI135">
        <v>15498.43333333333</v>
      </c>
      <c r="EJ135">
        <v>12491.56666666667</v>
      </c>
      <c r="EK135">
        <v>37.5</v>
      </c>
      <c r="EL135">
        <v>39</v>
      </c>
      <c r="EM135">
        <v>37.875</v>
      </c>
      <c r="EN135">
        <v>38.75</v>
      </c>
      <c r="EO135">
        <v>38.375</v>
      </c>
      <c r="EP135">
        <v>1454.633333333333</v>
      </c>
      <c r="EQ135">
        <v>40.36666666666667</v>
      </c>
      <c r="ER135">
        <v>0</v>
      </c>
      <c r="ES135">
        <v>521.4000000953674</v>
      </c>
      <c r="ET135">
        <v>0</v>
      </c>
      <c r="EU135">
        <v>1046.006923076923</v>
      </c>
      <c r="EV135">
        <v>-18.40615383428798</v>
      </c>
      <c r="EW135">
        <v>-266.2529911892647</v>
      </c>
      <c r="EX135">
        <v>15530.89615384616</v>
      </c>
      <c r="EY135">
        <v>15</v>
      </c>
      <c r="EZ135">
        <v>1651857041.1</v>
      </c>
      <c r="FA135" t="s">
        <v>419</v>
      </c>
      <c r="FB135">
        <v>1651857019.6</v>
      </c>
      <c r="FC135">
        <v>1651857041.1</v>
      </c>
      <c r="FD135">
        <v>1</v>
      </c>
      <c r="FE135">
        <v>0.545</v>
      </c>
      <c r="FF135">
        <v>-0.002</v>
      </c>
      <c r="FG135">
        <v>-1.271</v>
      </c>
      <c r="FH135">
        <v>-0.09</v>
      </c>
      <c r="FI135">
        <v>400</v>
      </c>
      <c r="FJ135">
        <v>10</v>
      </c>
      <c r="FK135">
        <v>0.1</v>
      </c>
      <c r="FL135">
        <v>0.02</v>
      </c>
      <c r="FM135">
        <v>-63.2540925</v>
      </c>
      <c r="FN135">
        <v>-0.8184731707317348</v>
      </c>
      <c r="FO135">
        <v>0.1111363518105125</v>
      </c>
      <c r="FP135">
        <v>-1</v>
      </c>
      <c r="FQ135">
        <v>9.812103</v>
      </c>
      <c r="FR135">
        <v>0.01232577861162039</v>
      </c>
      <c r="FS135">
        <v>0.001603377996605886</v>
      </c>
      <c r="FT135">
        <v>-1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0</v>
      </c>
      <c r="GA135" t="s">
        <v>432</v>
      </c>
      <c r="GB135">
        <v>2.98007</v>
      </c>
      <c r="GC135">
        <v>2.70608</v>
      </c>
      <c r="GD135">
        <v>0.135782</v>
      </c>
      <c r="GE135">
        <v>0.142132</v>
      </c>
      <c r="GF135">
        <v>0.0880626</v>
      </c>
      <c r="GG135">
        <v>0.0494479</v>
      </c>
      <c r="GH135">
        <v>27268.6</v>
      </c>
      <c r="GI135">
        <v>27126.8</v>
      </c>
      <c r="GJ135">
        <v>29342</v>
      </c>
      <c r="GK135">
        <v>29254.9</v>
      </c>
      <c r="GL135">
        <v>35434.9</v>
      </c>
      <c r="GM135">
        <v>37036.4</v>
      </c>
      <c r="GN135">
        <v>41303</v>
      </c>
      <c r="GO135">
        <v>41751.5</v>
      </c>
      <c r="GP135">
        <v>1.95548</v>
      </c>
      <c r="GQ135">
        <v>1.8351</v>
      </c>
      <c r="GR135">
        <v>-0.0339821</v>
      </c>
      <c r="GS135">
        <v>0</v>
      </c>
      <c r="GT135">
        <v>25.5552</v>
      </c>
      <c r="GU135">
        <v>999.9</v>
      </c>
      <c r="GV135">
        <v>38.6</v>
      </c>
      <c r="GW135">
        <v>33.9</v>
      </c>
      <c r="GX135">
        <v>22.7674</v>
      </c>
      <c r="GY135">
        <v>62.5776</v>
      </c>
      <c r="GZ135">
        <v>35.3205</v>
      </c>
      <c r="HA135">
        <v>1</v>
      </c>
      <c r="HB135">
        <v>0.137853</v>
      </c>
      <c r="HC135">
        <v>2.17754</v>
      </c>
      <c r="HD135">
        <v>20.3196</v>
      </c>
      <c r="HE135">
        <v>5.21819</v>
      </c>
      <c r="HF135">
        <v>12.0099</v>
      </c>
      <c r="HG135">
        <v>4.98895</v>
      </c>
      <c r="HH135">
        <v>3.28865</v>
      </c>
      <c r="HI135">
        <v>852.6</v>
      </c>
      <c r="HJ135">
        <v>8486.200000000001</v>
      </c>
      <c r="HK135">
        <v>5139.4</v>
      </c>
      <c r="HL135">
        <v>22.9</v>
      </c>
      <c r="HM135">
        <v>1.86752</v>
      </c>
      <c r="HN135">
        <v>1.86648</v>
      </c>
      <c r="HO135">
        <v>1.866</v>
      </c>
      <c r="HP135">
        <v>1.86588</v>
      </c>
      <c r="HQ135">
        <v>1.8677</v>
      </c>
      <c r="HR135">
        <v>1.87027</v>
      </c>
      <c r="HS135">
        <v>1.8689</v>
      </c>
      <c r="HT135">
        <v>1.87027</v>
      </c>
      <c r="HU135">
        <v>0</v>
      </c>
      <c r="HV135">
        <v>0</v>
      </c>
      <c r="HW135">
        <v>0</v>
      </c>
      <c r="HX135">
        <v>0</v>
      </c>
      <c r="HY135" t="s">
        <v>421</v>
      </c>
      <c r="HZ135" t="s">
        <v>422</v>
      </c>
      <c r="IA135" t="s">
        <v>423</v>
      </c>
      <c r="IB135" t="s">
        <v>423</v>
      </c>
      <c r="IC135" t="s">
        <v>423</v>
      </c>
      <c r="ID135" t="s">
        <v>423</v>
      </c>
      <c r="IE135">
        <v>0</v>
      </c>
      <c r="IF135">
        <v>100</v>
      </c>
      <c r="IG135">
        <v>100</v>
      </c>
      <c r="IH135">
        <v>-1.804</v>
      </c>
      <c r="II135">
        <v>0.0067</v>
      </c>
      <c r="IJ135">
        <v>-0.4995723906072</v>
      </c>
      <c r="IK135">
        <v>-0.002077099775823331</v>
      </c>
      <c r="IL135">
        <v>4.593143279902166E-07</v>
      </c>
      <c r="IM135">
        <v>-1.865383991892071E-10</v>
      </c>
      <c r="IN135">
        <v>-0.07605349583632376</v>
      </c>
      <c r="IO135">
        <v>-0.01129461987421345</v>
      </c>
      <c r="IP135">
        <v>0.00116580895745559</v>
      </c>
      <c r="IQ135">
        <v>-1.679085872906199E-05</v>
      </c>
      <c r="IR135">
        <v>2</v>
      </c>
      <c r="IS135">
        <v>2290</v>
      </c>
      <c r="IT135">
        <v>0</v>
      </c>
      <c r="IU135">
        <v>32</v>
      </c>
      <c r="IV135">
        <v>8.4</v>
      </c>
      <c r="IW135">
        <v>8</v>
      </c>
      <c r="IX135">
        <v>1.70044</v>
      </c>
      <c r="IY135">
        <v>2.22046</v>
      </c>
      <c r="IZ135">
        <v>1.39648</v>
      </c>
      <c r="JA135">
        <v>2.35962</v>
      </c>
      <c r="JB135">
        <v>1.49536</v>
      </c>
      <c r="JC135">
        <v>2.28149</v>
      </c>
      <c r="JD135">
        <v>38.4034</v>
      </c>
      <c r="JE135">
        <v>24.035</v>
      </c>
      <c r="JF135">
        <v>18</v>
      </c>
      <c r="JG135">
        <v>515.1369999999999</v>
      </c>
      <c r="JH135">
        <v>423.369</v>
      </c>
      <c r="JI135">
        <v>22.6707</v>
      </c>
      <c r="JJ135">
        <v>29.1136</v>
      </c>
      <c r="JK135">
        <v>30</v>
      </c>
      <c r="JL135">
        <v>29.1153</v>
      </c>
      <c r="JM135">
        <v>29.0545</v>
      </c>
      <c r="JN135">
        <v>34.0432</v>
      </c>
      <c r="JO135">
        <v>56.5973</v>
      </c>
      <c r="JP135">
        <v>0</v>
      </c>
      <c r="JQ135">
        <v>22.6719</v>
      </c>
      <c r="JR135">
        <v>788.207</v>
      </c>
      <c r="JS135">
        <v>8.59177</v>
      </c>
      <c r="JT135">
        <v>100.301</v>
      </c>
      <c r="JU135">
        <v>100.211</v>
      </c>
    </row>
    <row r="136" spans="1:281">
      <c r="A136">
        <v>120</v>
      </c>
      <c r="B136">
        <v>1651857524.6</v>
      </c>
      <c r="C136">
        <v>524</v>
      </c>
      <c r="D136" t="s">
        <v>667</v>
      </c>
      <c r="E136" t="s">
        <v>668</v>
      </c>
      <c r="F136">
        <v>2</v>
      </c>
      <c r="G136" t="s">
        <v>413</v>
      </c>
      <c r="H136" t="s">
        <v>414</v>
      </c>
      <c r="I136">
        <v>1651857523.225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771.9763609129832</v>
      </c>
      <c r="AK136">
        <v>723.0182606060603</v>
      </c>
      <c r="AL136">
        <v>3.452085096492004</v>
      </c>
      <c r="AM136">
        <v>66.38384787954378</v>
      </c>
      <c r="AN136">
        <f>(AP136 - AO136 + DI136*1E3/(8.314*(DK136+273.15)) * AR136/DH136 * AQ136) * DH136/(100*CV136) * 1000/(1000 - AP136)</f>
        <v>0</v>
      </c>
      <c r="AO136">
        <v>8.633494285810285</v>
      </c>
      <c r="AP136">
        <v>18.43905382352941</v>
      </c>
      <c r="AQ136">
        <v>-1.26047182123754E-05</v>
      </c>
      <c r="AR136">
        <v>80.44866334591464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417</v>
      </c>
      <c r="AY136" t="s">
        <v>417</v>
      </c>
      <c r="AZ136">
        <v>0</v>
      </c>
      <c r="BA136">
        <v>0</v>
      </c>
      <c r="BB136">
        <f>1-AZ136/BA136</f>
        <v>0</v>
      </c>
      <c r="BC136">
        <v>0</v>
      </c>
      <c r="BD136" t="s">
        <v>417</v>
      </c>
      <c r="BE136" t="s">
        <v>417</v>
      </c>
      <c r="BF136">
        <v>0</v>
      </c>
      <c r="BG136">
        <v>0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1238</v>
      </c>
      <c r="CA136">
        <v>300</v>
      </c>
      <c r="CB136">
        <v>300</v>
      </c>
      <c r="CC136">
        <v>300</v>
      </c>
      <c r="CD136">
        <v>10440.5</v>
      </c>
      <c r="CE136">
        <v>1411.69</v>
      </c>
      <c r="CF136">
        <v>-0.00735121</v>
      </c>
      <c r="CG136">
        <v>-0.77</v>
      </c>
      <c r="CH136" t="s">
        <v>417</v>
      </c>
      <c r="CI136" t="s">
        <v>417</v>
      </c>
      <c r="CJ136" t="s">
        <v>417</v>
      </c>
      <c r="CK136" t="s">
        <v>417</v>
      </c>
      <c r="CL136" t="s">
        <v>417</v>
      </c>
      <c r="CM136" t="s">
        <v>417</v>
      </c>
      <c r="CN136" t="s">
        <v>417</v>
      </c>
      <c r="CO136" t="s">
        <v>417</v>
      </c>
      <c r="CP136" t="s">
        <v>417</v>
      </c>
      <c r="CQ136" t="s">
        <v>417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418</v>
      </c>
      <c r="CY136">
        <v>2</v>
      </c>
      <c r="CZ136" t="b">
        <v>1</v>
      </c>
      <c r="DA136">
        <v>1651857523.225</v>
      </c>
      <c r="DB136">
        <v>706.71975</v>
      </c>
      <c r="DC136">
        <v>769.91975</v>
      </c>
      <c r="DD136">
        <v>18.441</v>
      </c>
      <c r="DE136">
        <v>8.633190000000001</v>
      </c>
      <c r="DF136">
        <v>708.52675</v>
      </c>
      <c r="DG136">
        <v>18.434275</v>
      </c>
      <c r="DH136">
        <v>500.06775</v>
      </c>
      <c r="DI136">
        <v>90.08602500000001</v>
      </c>
      <c r="DJ136">
        <v>0.09999159999999999</v>
      </c>
      <c r="DK136">
        <v>25.76715</v>
      </c>
      <c r="DL136">
        <v>24.99755</v>
      </c>
      <c r="DM136">
        <v>999.9</v>
      </c>
      <c r="DN136">
        <v>0</v>
      </c>
      <c r="DO136">
        <v>0</v>
      </c>
      <c r="DP136">
        <v>9994.375</v>
      </c>
      <c r="DQ136">
        <v>0</v>
      </c>
      <c r="DR136">
        <v>3.20383</v>
      </c>
      <c r="DS136">
        <v>-63.200075</v>
      </c>
      <c r="DT136">
        <v>719.99725</v>
      </c>
      <c r="DU136">
        <v>776.6247499999999</v>
      </c>
      <c r="DV136">
        <v>9.8077975</v>
      </c>
      <c r="DW136">
        <v>769.91975</v>
      </c>
      <c r="DX136">
        <v>8.633190000000001</v>
      </c>
      <c r="DY136">
        <v>1.6612725</v>
      </c>
      <c r="DZ136">
        <v>0.77773</v>
      </c>
      <c r="EA136">
        <v>14.539225</v>
      </c>
      <c r="EB136">
        <v>3.3071975</v>
      </c>
      <c r="EC136">
        <v>1500.03</v>
      </c>
      <c r="ED136">
        <v>0.9730032500000001</v>
      </c>
      <c r="EE136">
        <v>0.02699715</v>
      </c>
      <c r="EF136">
        <v>0</v>
      </c>
      <c r="EG136">
        <v>1043.2525</v>
      </c>
      <c r="EH136">
        <v>5.00097</v>
      </c>
      <c r="EI136">
        <v>15489.725</v>
      </c>
      <c r="EJ136">
        <v>12491.85</v>
      </c>
      <c r="EK136">
        <v>37.5</v>
      </c>
      <c r="EL136">
        <v>39</v>
      </c>
      <c r="EM136">
        <v>37.875</v>
      </c>
      <c r="EN136">
        <v>38.75</v>
      </c>
      <c r="EO136">
        <v>38.375</v>
      </c>
      <c r="EP136">
        <v>1454.665</v>
      </c>
      <c r="EQ136">
        <v>40.36499999999999</v>
      </c>
      <c r="ER136">
        <v>0</v>
      </c>
      <c r="ES136">
        <v>523.2000000476837</v>
      </c>
      <c r="ET136">
        <v>0</v>
      </c>
      <c r="EU136">
        <v>1045.3216</v>
      </c>
      <c r="EV136">
        <v>-19.45923081825713</v>
      </c>
      <c r="EW136">
        <v>-289.5615390709015</v>
      </c>
      <c r="EX136">
        <v>15521.22</v>
      </c>
      <c r="EY136">
        <v>15</v>
      </c>
      <c r="EZ136">
        <v>1651857041.1</v>
      </c>
      <c r="FA136" t="s">
        <v>419</v>
      </c>
      <c r="FB136">
        <v>1651857019.6</v>
      </c>
      <c r="FC136">
        <v>1651857041.1</v>
      </c>
      <c r="FD136">
        <v>1</v>
      </c>
      <c r="FE136">
        <v>0.545</v>
      </c>
      <c r="FF136">
        <v>-0.002</v>
      </c>
      <c r="FG136">
        <v>-1.271</v>
      </c>
      <c r="FH136">
        <v>-0.09</v>
      </c>
      <c r="FI136">
        <v>400</v>
      </c>
      <c r="FJ136">
        <v>10</v>
      </c>
      <c r="FK136">
        <v>0.1</v>
      </c>
      <c r="FL136">
        <v>0.02</v>
      </c>
      <c r="FM136">
        <v>-63.2844025</v>
      </c>
      <c r="FN136">
        <v>-0.03867129455898038</v>
      </c>
      <c r="FO136">
        <v>0.06393104679066292</v>
      </c>
      <c r="FP136">
        <v>-1</v>
      </c>
      <c r="FQ136">
        <v>9.811806000000001</v>
      </c>
      <c r="FR136">
        <v>-0.0022430769230861</v>
      </c>
      <c r="FS136">
        <v>0.002088648845545965</v>
      </c>
      <c r="FT136">
        <v>-1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0</v>
      </c>
      <c r="GA136" t="s">
        <v>432</v>
      </c>
      <c r="GB136">
        <v>2.97995</v>
      </c>
      <c r="GC136">
        <v>2.70606</v>
      </c>
      <c r="GD136">
        <v>0.13666</v>
      </c>
      <c r="GE136">
        <v>0.142951</v>
      </c>
      <c r="GF136">
        <v>0.0880614</v>
      </c>
      <c r="GG136">
        <v>0.049446</v>
      </c>
      <c r="GH136">
        <v>27240.7</v>
      </c>
      <c r="GI136">
        <v>27101</v>
      </c>
      <c r="GJ136">
        <v>29341.9</v>
      </c>
      <c r="GK136">
        <v>29255</v>
      </c>
      <c r="GL136">
        <v>35434.8</v>
      </c>
      <c r="GM136">
        <v>37036.7</v>
      </c>
      <c r="GN136">
        <v>41302.9</v>
      </c>
      <c r="GO136">
        <v>41751.8</v>
      </c>
      <c r="GP136">
        <v>1.9555</v>
      </c>
      <c r="GQ136">
        <v>1.83525</v>
      </c>
      <c r="GR136">
        <v>-0.0339895</v>
      </c>
      <c r="GS136">
        <v>0</v>
      </c>
      <c r="GT136">
        <v>25.5541</v>
      </c>
      <c r="GU136">
        <v>999.9</v>
      </c>
      <c r="GV136">
        <v>38.6</v>
      </c>
      <c r="GW136">
        <v>33.9</v>
      </c>
      <c r="GX136">
        <v>22.7656</v>
      </c>
      <c r="GY136">
        <v>61.8676</v>
      </c>
      <c r="GZ136">
        <v>35.597</v>
      </c>
      <c r="HA136">
        <v>1</v>
      </c>
      <c r="HB136">
        <v>0.13783</v>
      </c>
      <c r="HC136">
        <v>2.16745</v>
      </c>
      <c r="HD136">
        <v>20.3197</v>
      </c>
      <c r="HE136">
        <v>5.21789</v>
      </c>
      <c r="HF136">
        <v>12.0099</v>
      </c>
      <c r="HG136">
        <v>4.9889</v>
      </c>
      <c r="HH136">
        <v>3.28865</v>
      </c>
      <c r="HI136">
        <v>852.6</v>
      </c>
      <c r="HJ136">
        <v>8486.200000000001</v>
      </c>
      <c r="HK136">
        <v>5139.4</v>
      </c>
      <c r="HL136">
        <v>22.9</v>
      </c>
      <c r="HM136">
        <v>1.86752</v>
      </c>
      <c r="HN136">
        <v>1.86647</v>
      </c>
      <c r="HO136">
        <v>1.866</v>
      </c>
      <c r="HP136">
        <v>1.8659</v>
      </c>
      <c r="HQ136">
        <v>1.8677</v>
      </c>
      <c r="HR136">
        <v>1.87027</v>
      </c>
      <c r="HS136">
        <v>1.8689</v>
      </c>
      <c r="HT136">
        <v>1.87027</v>
      </c>
      <c r="HU136">
        <v>0</v>
      </c>
      <c r="HV136">
        <v>0</v>
      </c>
      <c r="HW136">
        <v>0</v>
      </c>
      <c r="HX136">
        <v>0</v>
      </c>
      <c r="HY136" t="s">
        <v>421</v>
      </c>
      <c r="HZ136" t="s">
        <v>422</v>
      </c>
      <c r="IA136" t="s">
        <v>423</v>
      </c>
      <c r="IB136" t="s">
        <v>423</v>
      </c>
      <c r="IC136" t="s">
        <v>423</v>
      </c>
      <c r="ID136" t="s">
        <v>423</v>
      </c>
      <c r="IE136">
        <v>0</v>
      </c>
      <c r="IF136">
        <v>100</v>
      </c>
      <c r="IG136">
        <v>100</v>
      </c>
      <c r="IH136">
        <v>-1.815</v>
      </c>
      <c r="II136">
        <v>0.0067</v>
      </c>
      <c r="IJ136">
        <v>-0.4995723906072</v>
      </c>
      <c r="IK136">
        <v>-0.002077099775823331</v>
      </c>
      <c r="IL136">
        <v>4.593143279902166E-07</v>
      </c>
      <c r="IM136">
        <v>-1.865383991892071E-10</v>
      </c>
      <c r="IN136">
        <v>-0.07605349583632376</v>
      </c>
      <c r="IO136">
        <v>-0.01129461987421345</v>
      </c>
      <c r="IP136">
        <v>0.00116580895745559</v>
      </c>
      <c r="IQ136">
        <v>-1.679085872906199E-05</v>
      </c>
      <c r="IR136">
        <v>2</v>
      </c>
      <c r="IS136">
        <v>2290</v>
      </c>
      <c r="IT136">
        <v>0</v>
      </c>
      <c r="IU136">
        <v>32</v>
      </c>
      <c r="IV136">
        <v>8.4</v>
      </c>
      <c r="IW136">
        <v>8.1</v>
      </c>
      <c r="IX136">
        <v>1.71265</v>
      </c>
      <c r="IY136">
        <v>2.21436</v>
      </c>
      <c r="IZ136">
        <v>1.39648</v>
      </c>
      <c r="JA136">
        <v>2.3584</v>
      </c>
      <c r="JB136">
        <v>1.49536</v>
      </c>
      <c r="JC136">
        <v>2.36084</v>
      </c>
      <c r="JD136">
        <v>38.4034</v>
      </c>
      <c r="JE136">
        <v>24.0437</v>
      </c>
      <c r="JF136">
        <v>18</v>
      </c>
      <c r="JG136">
        <v>515.149</v>
      </c>
      <c r="JH136">
        <v>423.454</v>
      </c>
      <c r="JI136">
        <v>22.6723</v>
      </c>
      <c r="JJ136">
        <v>29.1136</v>
      </c>
      <c r="JK136">
        <v>29.9999</v>
      </c>
      <c r="JL136">
        <v>29.1148</v>
      </c>
      <c r="JM136">
        <v>29.0538</v>
      </c>
      <c r="JN136">
        <v>34.28</v>
      </c>
      <c r="JO136">
        <v>56.5973</v>
      </c>
      <c r="JP136">
        <v>0</v>
      </c>
      <c r="JQ136">
        <v>22.6802</v>
      </c>
      <c r="JR136">
        <v>794.885</v>
      </c>
      <c r="JS136">
        <v>8.587730000000001</v>
      </c>
      <c r="JT136">
        <v>100.301</v>
      </c>
      <c r="JU136">
        <v>100.211</v>
      </c>
    </row>
    <row r="137" spans="1:281">
      <c r="A137">
        <v>121</v>
      </c>
      <c r="B137">
        <v>1651857526.6</v>
      </c>
      <c r="C137">
        <v>526</v>
      </c>
      <c r="D137" t="s">
        <v>669</v>
      </c>
      <c r="E137" t="s">
        <v>670</v>
      </c>
      <c r="F137">
        <v>2</v>
      </c>
      <c r="G137" t="s">
        <v>413</v>
      </c>
      <c r="H137" t="s">
        <v>414</v>
      </c>
      <c r="I137">
        <v>1651857525.6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778.6430057343083</v>
      </c>
      <c r="AK137">
        <v>729.8259818181822</v>
      </c>
      <c r="AL137">
        <v>3.42138076593985</v>
      </c>
      <c r="AM137">
        <v>66.38384787954378</v>
      </c>
      <c r="AN137">
        <f>(AP137 - AO137 + DI137*1E3/(8.314*(DK137+273.15)) * AR137/DH137 * AQ137) * DH137/(100*CV137) * 1000/(1000 - AP137)</f>
        <v>0</v>
      </c>
      <c r="AO137">
        <v>8.633179616162135</v>
      </c>
      <c r="AP137">
        <v>18.44095647058823</v>
      </c>
      <c r="AQ137">
        <v>-6.507859360768608E-05</v>
      </c>
      <c r="AR137">
        <v>80.44866334591464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417</v>
      </c>
      <c r="AY137" t="s">
        <v>417</v>
      </c>
      <c r="AZ137">
        <v>0</v>
      </c>
      <c r="BA137">
        <v>0</v>
      </c>
      <c r="BB137">
        <f>1-AZ137/BA137</f>
        <v>0</v>
      </c>
      <c r="BC137">
        <v>0</v>
      </c>
      <c r="BD137" t="s">
        <v>417</v>
      </c>
      <c r="BE137" t="s">
        <v>417</v>
      </c>
      <c r="BF137">
        <v>0</v>
      </c>
      <c r="BG137">
        <v>0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1238</v>
      </c>
      <c r="CA137">
        <v>300</v>
      </c>
      <c r="CB137">
        <v>300</v>
      </c>
      <c r="CC137">
        <v>300</v>
      </c>
      <c r="CD137">
        <v>10440.5</v>
      </c>
      <c r="CE137">
        <v>1411.69</v>
      </c>
      <c r="CF137">
        <v>-0.00735121</v>
      </c>
      <c r="CG137">
        <v>-0.77</v>
      </c>
      <c r="CH137" t="s">
        <v>417</v>
      </c>
      <c r="CI137" t="s">
        <v>417</v>
      </c>
      <c r="CJ137" t="s">
        <v>417</v>
      </c>
      <c r="CK137" t="s">
        <v>417</v>
      </c>
      <c r="CL137" t="s">
        <v>417</v>
      </c>
      <c r="CM137" t="s">
        <v>417</v>
      </c>
      <c r="CN137" t="s">
        <v>417</v>
      </c>
      <c r="CO137" t="s">
        <v>417</v>
      </c>
      <c r="CP137" t="s">
        <v>417</v>
      </c>
      <c r="CQ137" t="s">
        <v>417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418</v>
      </c>
      <c r="CY137">
        <v>2</v>
      </c>
      <c r="CZ137" t="b">
        <v>1</v>
      </c>
      <c r="DA137">
        <v>1651857525.6</v>
      </c>
      <c r="DB137">
        <v>714.6929999999999</v>
      </c>
      <c r="DC137">
        <v>777.8586666666666</v>
      </c>
      <c r="DD137">
        <v>18.4408</v>
      </c>
      <c r="DE137">
        <v>8.633003333333333</v>
      </c>
      <c r="DF137">
        <v>716.514</v>
      </c>
      <c r="DG137">
        <v>18.4341</v>
      </c>
      <c r="DH137">
        <v>500.0363333333333</v>
      </c>
      <c r="DI137">
        <v>90.08389999999999</v>
      </c>
      <c r="DJ137">
        <v>0.09983540000000002</v>
      </c>
      <c r="DK137">
        <v>25.76653333333333</v>
      </c>
      <c r="DL137">
        <v>24.99273333333333</v>
      </c>
      <c r="DM137">
        <v>999.9</v>
      </c>
      <c r="DN137">
        <v>0</v>
      </c>
      <c r="DO137">
        <v>0</v>
      </c>
      <c r="DP137">
        <v>10008.73333333333</v>
      </c>
      <c r="DQ137">
        <v>0</v>
      </c>
      <c r="DR137">
        <v>3.20383</v>
      </c>
      <c r="DS137">
        <v>-63.16566666666666</v>
      </c>
      <c r="DT137">
        <v>728.1203333333333</v>
      </c>
      <c r="DU137">
        <v>784.6326666666665</v>
      </c>
      <c r="DV137">
        <v>9.807816666666668</v>
      </c>
      <c r="DW137">
        <v>777.8586666666666</v>
      </c>
      <c r="DX137">
        <v>8.633003333333333</v>
      </c>
      <c r="DY137">
        <v>1.661223333333333</v>
      </c>
      <c r="DZ137">
        <v>0.7776946666666666</v>
      </c>
      <c r="EA137">
        <v>14.53873333333333</v>
      </c>
      <c r="EB137">
        <v>3.306556666666667</v>
      </c>
      <c r="EC137">
        <v>1500.006666666666</v>
      </c>
      <c r="ED137">
        <v>0.9730053333333334</v>
      </c>
      <c r="EE137">
        <v>0.0269949</v>
      </c>
      <c r="EF137">
        <v>0</v>
      </c>
      <c r="EG137">
        <v>1042.333333333333</v>
      </c>
      <c r="EH137">
        <v>5.00097</v>
      </c>
      <c r="EI137">
        <v>15475.96666666667</v>
      </c>
      <c r="EJ137">
        <v>12491.66666666667</v>
      </c>
      <c r="EK137">
        <v>37.5</v>
      </c>
      <c r="EL137">
        <v>39</v>
      </c>
      <c r="EM137">
        <v>37.875</v>
      </c>
      <c r="EN137">
        <v>38.75</v>
      </c>
      <c r="EO137">
        <v>38.375</v>
      </c>
      <c r="EP137">
        <v>1454.646666666667</v>
      </c>
      <c r="EQ137">
        <v>40.36</v>
      </c>
      <c r="ER137">
        <v>0</v>
      </c>
      <c r="ES137">
        <v>525.6000001430511</v>
      </c>
      <c r="ET137">
        <v>0</v>
      </c>
      <c r="EU137">
        <v>1044.5252</v>
      </c>
      <c r="EV137">
        <v>-21.32538461990961</v>
      </c>
      <c r="EW137">
        <v>-313.4153847022055</v>
      </c>
      <c r="EX137">
        <v>15509.072</v>
      </c>
      <c r="EY137">
        <v>15</v>
      </c>
      <c r="EZ137">
        <v>1651857041.1</v>
      </c>
      <c r="FA137" t="s">
        <v>419</v>
      </c>
      <c r="FB137">
        <v>1651857019.6</v>
      </c>
      <c r="FC137">
        <v>1651857041.1</v>
      </c>
      <c r="FD137">
        <v>1</v>
      </c>
      <c r="FE137">
        <v>0.545</v>
      </c>
      <c r="FF137">
        <v>-0.002</v>
      </c>
      <c r="FG137">
        <v>-1.271</v>
      </c>
      <c r="FH137">
        <v>-0.09</v>
      </c>
      <c r="FI137">
        <v>400</v>
      </c>
      <c r="FJ137">
        <v>10</v>
      </c>
      <c r="FK137">
        <v>0.1</v>
      </c>
      <c r="FL137">
        <v>0.02</v>
      </c>
      <c r="FM137">
        <v>-63.27902195121952</v>
      </c>
      <c r="FN137">
        <v>0.192148432055838</v>
      </c>
      <c r="FO137">
        <v>0.06910108718284576</v>
      </c>
      <c r="FP137">
        <v>-1</v>
      </c>
      <c r="FQ137">
        <v>9.811545121951218</v>
      </c>
      <c r="FR137">
        <v>-0.006993449477344179</v>
      </c>
      <c r="FS137">
        <v>0.002291808447653918</v>
      </c>
      <c r="FT137">
        <v>-1</v>
      </c>
      <c r="FU137">
        <v>0</v>
      </c>
      <c r="FV137">
        <v>0</v>
      </c>
      <c r="FW137">
        <v>0</v>
      </c>
      <c r="FX137">
        <v>-1</v>
      </c>
      <c r="FY137">
        <v>0</v>
      </c>
      <c r="FZ137">
        <v>0</v>
      </c>
      <c r="GA137" t="s">
        <v>432</v>
      </c>
      <c r="GB137">
        <v>2.97991</v>
      </c>
      <c r="GC137">
        <v>2.70608</v>
      </c>
      <c r="GD137">
        <v>0.137534</v>
      </c>
      <c r="GE137">
        <v>0.143783</v>
      </c>
      <c r="GF137">
        <v>0.0880562</v>
      </c>
      <c r="GG137">
        <v>0.0494455</v>
      </c>
      <c r="GH137">
        <v>27212.9</v>
      </c>
      <c r="GI137">
        <v>27074.6</v>
      </c>
      <c r="GJ137">
        <v>29341.6</v>
      </c>
      <c r="GK137">
        <v>29254.9</v>
      </c>
      <c r="GL137">
        <v>35434.9</v>
      </c>
      <c r="GM137">
        <v>37036.6</v>
      </c>
      <c r="GN137">
        <v>41302.6</v>
      </c>
      <c r="GO137">
        <v>41751.7</v>
      </c>
      <c r="GP137">
        <v>1.95518</v>
      </c>
      <c r="GQ137">
        <v>1.83515</v>
      </c>
      <c r="GR137">
        <v>-0.034377</v>
      </c>
      <c r="GS137">
        <v>0</v>
      </c>
      <c r="GT137">
        <v>25.5541</v>
      </c>
      <c r="GU137">
        <v>999.9</v>
      </c>
      <c r="GV137">
        <v>38.6</v>
      </c>
      <c r="GW137">
        <v>33.9</v>
      </c>
      <c r="GX137">
        <v>22.7677</v>
      </c>
      <c r="GY137">
        <v>62.7176</v>
      </c>
      <c r="GZ137">
        <v>35.3205</v>
      </c>
      <c r="HA137">
        <v>1</v>
      </c>
      <c r="HB137">
        <v>0.137823</v>
      </c>
      <c r="HC137">
        <v>2.15431</v>
      </c>
      <c r="HD137">
        <v>20.3197</v>
      </c>
      <c r="HE137">
        <v>5.21804</v>
      </c>
      <c r="HF137">
        <v>12.0099</v>
      </c>
      <c r="HG137">
        <v>4.9889</v>
      </c>
      <c r="HH137">
        <v>3.28865</v>
      </c>
      <c r="HI137">
        <v>852.6</v>
      </c>
      <c r="HJ137">
        <v>8486.200000000001</v>
      </c>
      <c r="HK137">
        <v>5139.4</v>
      </c>
      <c r="HL137">
        <v>22.9</v>
      </c>
      <c r="HM137">
        <v>1.86752</v>
      </c>
      <c r="HN137">
        <v>1.86646</v>
      </c>
      <c r="HO137">
        <v>1.866</v>
      </c>
      <c r="HP137">
        <v>1.86588</v>
      </c>
      <c r="HQ137">
        <v>1.86771</v>
      </c>
      <c r="HR137">
        <v>1.87026</v>
      </c>
      <c r="HS137">
        <v>1.8689</v>
      </c>
      <c r="HT137">
        <v>1.87027</v>
      </c>
      <c r="HU137">
        <v>0</v>
      </c>
      <c r="HV137">
        <v>0</v>
      </c>
      <c r="HW137">
        <v>0</v>
      </c>
      <c r="HX137">
        <v>0</v>
      </c>
      <c r="HY137" t="s">
        <v>421</v>
      </c>
      <c r="HZ137" t="s">
        <v>422</v>
      </c>
      <c r="IA137" t="s">
        <v>423</v>
      </c>
      <c r="IB137" t="s">
        <v>423</v>
      </c>
      <c r="IC137" t="s">
        <v>423</v>
      </c>
      <c r="ID137" t="s">
        <v>423</v>
      </c>
      <c r="IE137">
        <v>0</v>
      </c>
      <c r="IF137">
        <v>100</v>
      </c>
      <c r="IG137">
        <v>100</v>
      </c>
      <c r="IH137">
        <v>-1.826</v>
      </c>
      <c r="II137">
        <v>0.0067</v>
      </c>
      <c r="IJ137">
        <v>-0.4995723906072</v>
      </c>
      <c r="IK137">
        <v>-0.002077099775823331</v>
      </c>
      <c r="IL137">
        <v>4.593143279902166E-07</v>
      </c>
      <c r="IM137">
        <v>-1.865383991892071E-10</v>
      </c>
      <c r="IN137">
        <v>-0.07605349583632376</v>
      </c>
      <c r="IO137">
        <v>-0.01129461987421345</v>
      </c>
      <c r="IP137">
        <v>0.00116580895745559</v>
      </c>
      <c r="IQ137">
        <v>-1.679085872906199E-05</v>
      </c>
      <c r="IR137">
        <v>2</v>
      </c>
      <c r="IS137">
        <v>2290</v>
      </c>
      <c r="IT137">
        <v>0</v>
      </c>
      <c r="IU137">
        <v>32</v>
      </c>
      <c r="IV137">
        <v>8.4</v>
      </c>
      <c r="IW137">
        <v>8.1</v>
      </c>
      <c r="IX137">
        <v>1.72485</v>
      </c>
      <c r="IY137">
        <v>2.21924</v>
      </c>
      <c r="IZ137">
        <v>1.39648</v>
      </c>
      <c r="JA137">
        <v>2.3584</v>
      </c>
      <c r="JB137">
        <v>1.49536</v>
      </c>
      <c r="JC137">
        <v>2.28882</v>
      </c>
      <c r="JD137">
        <v>38.4034</v>
      </c>
      <c r="JE137">
        <v>24.035</v>
      </c>
      <c r="JF137">
        <v>18</v>
      </c>
      <c r="JG137">
        <v>514.9349999999999</v>
      </c>
      <c r="JH137">
        <v>423.394</v>
      </c>
      <c r="JI137">
        <v>22.6751</v>
      </c>
      <c r="JJ137">
        <v>29.1135</v>
      </c>
      <c r="JK137">
        <v>29.9999</v>
      </c>
      <c r="JL137">
        <v>29.1148</v>
      </c>
      <c r="JM137">
        <v>29.0538</v>
      </c>
      <c r="JN137">
        <v>34.5124</v>
      </c>
      <c r="JO137">
        <v>56.5973</v>
      </c>
      <c r="JP137">
        <v>0</v>
      </c>
      <c r="JQ137">
        <v>22.6802</v>
      </c>
      <c r="JR137">
        <v>801.564</v>
      </c>
      <c r="JS137">
        <v>8.59295</v>
      </c>
      <c r="JT137">
        <v>100.3</v>
      </c>
      <c r="JU137">
        <v>100.211</v>
      </c>
    </row>
    <row r="138" spans="1:281">
      <c r="A138">
        <v>122</v>
      </c>
      <c r="B138">
        <v>1651857528.6</v>
      </c>
      <c r="C138">
        <v>528</v>
      </c>
      <c r="D138" t="s">
        <v>671</v>
      </c>
      <c r="E138" t="s">
        <v>672</v>
      </c>
      <c r="F138">
        <v>2</v>
      </c>
      <c r="G138" t="s">
        <v>413</v>
      </c>
      <c r="H138" t="s">
        <v>414</v>
      </c>
      <c r="I138">
        <v>1651857527.225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785.4030475983965</v>
      </c>
      <c r="AK138">
        <v>736.6962242424244</v>
      </c>
      <c r="AL138">
        <v>3.427266925285473</v>
      </c>
      <c r="AM138">
        <v>66.38384787954378</v>
      </c>
      <c r="AN138">
        <f>(AP138 - AO138 + DI138*1E3/(8.314*(DK138+273.15)) * AR138/DH138 * AQ138) * DH138/(100*CV138) * 1000/(1000 - AP138)</f>
        <v>0</v>
      </c>
      <c r="AO138">
        <v>8.633116382602005</v>
      </c>
      <c r="AP138">
        <v>18.43699735294117</v>
      </c>
      <c r="AQ138">
        <v>-1.33066325536483E-05</v>
      </c>
      <c r="AR138">
        <v>80.44866334591464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417</v>
      </c>
      <c r="AY138" t="s">
        <v>417</v>
      </c>
      <c r="AZ138">
        <v>0</v>
      </c>
      <c r="BA138">
        <v>0</v>
      </c>
      <c r="BB138">
        <f>1-AZ138/BA138</f>
        <v>0</v>
      </c>
      <c r="BC138">
        <v>0</v>
      </c>
      <c r="BD138" t="s">
        <v>417</v>
      </c>
      <c r="BE138" t="s">
        <v>417</v>
      </c>
      <c r="BF138">
        <v>0</v>
      </c>
      <c r="BG138">
        <v>0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1238</v>
      </c>
      <c r="CA138">
        <v>300</v>
      </c>
      <c r="CB138">
        <v>300</v>
      </c>
      <c r="CC138">
        <v>300</v>
      </c>
      <c r="CD138">
        <v>10440.5</v>
      </c>
      <c r="CE138">
        <v>1411.69</v>
      </c>
      <c r="CF138">
        <v>-0.00735121</v>
      </c>
      <c r="CG138">
        <v>-0.77</v>
      </c>
      <c r="CH138" t="s">
        <v>417</v>
      </c>
      <c r="CI138" t="s">
        <v>417</v>
      </c>
      <c r="CJ138" t="s">
        <v>417</v>
      </c>
      <c r="CK138" t="s">
        <v>417</v>
      </c>
      <c r="CL138" t="s">
        <v>417</v>
      </c>
      <c r="CM138" t="s">
        <v>417</v>
      </c>
      <c r="CN138" t="s">
        <v>417</v>
      </c>
      <c r="CO138" t="s">
        <v>417</v>
      </c>
      <c r="CP138" t="s">
        <v>417</v>
      </c>
      <c r="CQ138" t="s">
        <v>417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418</v>
      </c>
      <c r="CY138">
        <v>2</v>
      </c>
      <c r="CZ138" t="b">
        <v>1</v>
      </c>
      <c r="DA138">
        <v>1651857527.225</v>
      </c>
      <c r="DB138">
        <v>720.1622500000001</v>
      </c>
      <c r="DC138">
        <v>783.31825</v>
      </c>
      <c r="DD138">
        <v>18.438025</v>
      </c>
      <c r="DE138">
        <v>8.63293</v>
      </c>
      <c r="DF138">
        <v>721.99225</v>
      </c>
      <c r="DG138">
        <v>18.43135</v>
      </c>
      <c r="DH138">
        <v>500.01225</v>
      </c>
      <c r="DI138">
        <v>90.0838</v>
      </c>
      <c r="DJ138">
        <v>0.1001273</v>
      </c>
      <c r="DK138">
        <v>25.767425</v>
      </c>
      <c r="DL138">
        <v>24.99335</v>
      </c>
      <c r="DM138">
        <v>999.9</v>
      </c>
      <c r="DN138">
        <v>0</v>
      </c>
      <c r="DO138">
        <v>0</v>
      </c>
      <c r="DP138">
        <v>9981.549999999999</v>
      </c>
      <c r="DQ138">
        <v>0</v>
      </c>
      <c r="DR138">
        <v>3.20383</v>
      </c>
      <c r="DS138">
        <v>-63.156225</v>
      </c>
      <c r="DT138">
        <v>733.68975</v>
      </c>
      <c r="DU138">
        <v>790.1395</v>
      </c>
      <c r="DV138">
        <v>9.805095</v>
      </c>
      <c r="DW138">
        <v>783.31825</v>
      </c>
      <c r="DX138">
        <v>8.63293</v>
      </c>
      <c r="DY138">
        <v>1.6609675</v>
      </c>
      <c r="DZ138">
        <v>0.777687</v>
      </c>
      <c r="EA138">
        <v>14.53635</v>
      </c>
      <c r="EB138">
        <v>3.30642</v>
      </c>
      <c r="EC138">
        <v>1500.0275</v>
      </c>
      <c r="ED138">
        <v>0.97300575</v>
      </c>
      <c r="EE138">
        <v>0.02699445</v>
      </c>
      <c r="EF138">
        <v>0</v>
      </c>
      <c r="EG138">
        <v>1041.3975</v>
      </c>
      <c r="EH138">
        <v>5.00097</v>
      </c>
      <c r="EI138">
        <v>15464.3</v>
      </c>
      <c r="EJ138">
        <v>12491.875</v>
      </c>
      <c r="EK138">
        <v>37.5</v>
      </c>
      <c r="EL138">
        <v>39</v>
      </c>
      <c r="EM138">
        <v>37.875</v>
      </c>
      <c r="EN138">
        <v>38.75</v>
      </c>
      <c r="EO138">
        <v>38.375</v>
      </c>
      <c r="EP138">
        <v>1454.6675</v>
      </c>
      <c r="EQ138">
        <v>40.36</v>
      </c>
      <c r="ER138">
        <v>0</v>
      </c>
      <c r="ES138">
        <v>527.4000000953674</v>
      </c>
      <c r="ET138">
        <v>0</v>
      </c>
      <c r="EU138">
        <v>1043.971153846154</v>
      </c>
      <c r="EV138">
        <v>-22.27726492683793</v>
      </c>
      <c r="EW138">
        <v>-334.0991449054168</v>
      </c>
      <c r="EX138">
        <v>15500.93846153846</v>
      </c>
      <c r="EY138">
        <v>15</v>
      </c>
      <c r="EZ138">
        <v>1651857041.1</v>
      </c>
      <c r="FA138" t="s">
        <v>419</v>
      </c>
      <c r="FB138">
        <v>1651857019.6</v>
      </c>
      <c r="FC138">
        <v>1651857041.1</v>
      </c>
      <c r="FD138">
        <v>1</v>
      </c>
      <c r="FE138">
        <v>0.545</v>
      </c>
      <c r="FF138">
        <v>-0.002</v>
      </c>
      <c r="FG138">
        <v>-1.271</v>
      </c>
      <c r="FH138">
        <v>-0.09</v>
      </c>
      <c r="FI138">
        <v>400</v>
      </c>
      <c r="FJ138">
        <v>10</v>
      </c>
      <c r="FK138">
        <v>0.1</v>
      </c>
      <c r="FL138">
        <v>0.02</v>
      </c>
      <c r="FM138">
        <v>-63.26729499999999</v>
      </c>
      <c r="FN138">
        <v>0.5120712945592252</v>
      </c>
      <c r="FO138">
        <v>0.08065528485474456</v>
      </c>
      <c r="FP138">
        <v>-1</v>
      </c>
      <c r="FQ138">
        <v>9.810907499999999</v>
      </c>
      <c r="FR138">
        <v>-0.0224665666041382</v>
      </c>
      <c r="FS138">
        <v>0.003153172806872481</v>
      </c>
      <c r="FT138">
        <v>-1</v>
      </c>
      <c r="FU138">
        <v>0</v>
      </c>
      <c r="FV138">
        <v>0</v>
      </c>
      <c r="FW138">
        <v>0</v>
      </c>
      <c r="FX138">
        <v>-1</v>
      </c>
      <c r="FY138">
        <v>0</v>
      </c>
      <c r="FZ138">
        <v>0</v>
      </c>
      <c r="GA138" t="s">
        <v>432</v>
      </c>
      <c r="GB138">
        <v>2.97991</v>
      </c>
      <c r="GC138">
        <v>2.70619</v>
      </c>
      <c r="GD138">
        <v>0.138412</v>
      </c>
      <c r="GE138">
        <v>0.14461</v>
      </c>
      <c r="GF138">
        <v>0.0880367</v>
      </c>
      <c r="GG138">
        <v>0.049445</v>
      </c>
      <c r="GH138">
        <v>27185.4</v>
      </c>
      <c r="GI138">
        <v>27048.3</v>
      </c>
      <c r="GJ138">
        <v>29341.8</v>
      </c>
      <c r="GK138">
        <v>29254.7</v>
      </c>
      <c r="GL138">
        <v>35435.9</v>
      </c>
      <c r="GM138">
        <v>37036.3</v>
      </c>
      <c r="GN138">
        <v>41302.9</v>
      </c>
      <c r="GO138">
        <v>41751.2</v>
      </c>
      <c r="GP138">
        <v>1.95527</v>
      </c>
      <c r="GQ138">
        <v>1.835</v>
      </c>
      <c r="GR138">
        <v>-0.0338033</v>
      </c>
      <c r="GS138">
        <v>0</v>
      </c>
      <c r="GT138">
        <v>25.5541</v>
      </c>
      <c r="GU138">
        <v>999.9</v>
      </c>
      <c r="GV138">
        <v>38.6</v>
      </c>
      <c r="GW138">
        <v>33.9</v>
      </c>
      <c r="GX138">
        <v>22.7675</v>
      </c>
      <c r="GY138">
        <v>62.6076</v>
      </c>
      <c r="GZ138">
        <v>35.649</v>
      </c>
      <c r="HA138">
        <v>1</v>
      </c>
      <c r="HB138">
        <v>0.13782</v>
      </c>
      <c r="HC138">
        <v>2.15828</v>
      </c>
      <c r="HD138">
        <v>20.3197</v>
      </c>
      <c r="HE138">
        <v>5.21819</v>
      </c>
      <c r="HF138">
        <v>12.0099</v>
      </c>
      <c r="HG138">
        <v>4.989</v>
      </c>
      <c r="HH138">
        <v>3.28865</v>
      </c>
      <c r="HI138">
        <v>852.6</v>
      </c>
      <c r="HJ138">
        <v>8486.200000000001</v>
      </c>
      <c r="HK138">
        <v>5139.4</v>
      </c>
      <c r="HL138">
        <v>22.9</v>
      </c>
      <c r="HM138">
        <v>1.86752</v>
      </c>
      <c r="HN138">
        <v>1.86646</v>
      </c>
      <c r="HO138">
        <v>1.866</v>
      </c>
      <c r="HP138">
        <v>1.86588</v>
      </c>
      <c r="HQ138">
        <v>1.86773</v>
      </c>
      <c r="HR138">
        <v>1.87025</v>
      </c>
      <c r="HS138">
        <v>1.8689</v>
      </c>
      <c r="HT138">
        <v>1.87027</v>
      </c>
      <c r="HU138">
        <v>0</v>
      </c>
      <c r="HV138">
        <v>0</v>
      </c>
      <c r="HW138">
        <v>0</v>
      </c>
      <c r="HX138">
        <v>0</v>
      </c>
      <c r="HY138" t="s">
        <v>421</v>
      </c>
      <c r="HZ138" t="s">
        <v>422</v>
      </c>
      <c r="IA138" t="s">
        <v>423</v>
      </c>
      <c r="IB138" t="s">
        <v>423</v>
      </c>
      <c r="IC138" t="s">
        <v>423</v>
      </c>
      <c r="ID138" t="s">
        <v>423</v>
      </c>
      <c r="IE138">
        <v>0</v>
      </c>
      <c r="IF138">
        <v>100</v>
      </c>
      <c r="IG138">
        <v>100</v>
      </c>
      <c r="IH138">
        <v>-1.838</v>
      </c>
      <c r="II138">
        <v>0.0066</v>
      </c>
      <c r="IJ138">
        <v>-0.4995723906072</v>
      </c>
      <c r="IK138">
        <v>-0.002077099775823331</v>
      </c>
      <c r="IL138">
        <v>4.593143279902166E-07</v>
      </c>
      <c r="IM138">
        <v>-1.865383991892071E-10</v>
      </c>
      <c r="IN138">
        <v>-0.07605349583632376</v>
      </c>
      <c r="IO138">
        <v>-0.01129461987421345</v>
      </c>
      <c r="IP138">
        <v>0.00116580895745559</v>
      </c>
      <c r="IQ138">
        <v>-1.679085872906199E-05</v>
      </c>
      <c r="IR138">
        <v>2</v>
      </c>
      <c r="IS138">
        <v>2290</v>
      </c>
      <c r="IT138">
        <v>0</v>
      </c>
      <c r="IU138">
        <v>32</v>
      </c>
      <c r="IV138">
        <v>8.5</v>
      </c>
      <c r="IW138">
        <v>8.1</v>
      </c>
      <c r="IX138">
        <v>1.73584</v>
      </c>
      <c r="IY138">
        <v>2.21558</v>
      </c>
      <c r="IZ138">
        <v>1.39648</v>
      </c>
      <c r="JA138">
        <v>2.35962</v>
      </c>
      <c r="JB138">
        <v>1.49536</v>
      </c>
      <c r="JC138">
        <v>2.3584</v>
      </c>
      <c r="JD138">
        <v>38.4034</v>
      </c>
      <c r="JE138">
        <v>24.0437</v>
      </c>
      <c r="JF138">
        <v>18</v>
      </c>
      <c r="JG138">
        <v>515.001</v>
      </c>
      <c r="JH138">
        <v>423.305</v>
      </c>
      <c r="JI138">
        <v>22.6787</v>
      </c>
      <c r="JJ138">
        <v>29.1122</v>
      </c>
      <c r="JK138">
        <v>29.9999</v>
      </c>
      <c r="JL138">
        <v>29.1148</v>
      </c>
      <c r="JM138">
        <v>29.0538</v>
      </c>
      <c r="JN138">
        <v>34.7457</v>
      </c>
      <c r="JO138">
        <v>56.5973</v>
      </c>
      <c r="JP138">
        <v>0</v>
      </c>
      <c r="JQ138">
        <v>22.6841</v>
      </c>
      <c r="JR138">
        <v>808.242</v>
      </c>
      <c r="JS138">
        <v>8.59177</v>
      </c>
      <c r="JT138">
        <v>100.301</v>
      </c>
      <c r="JU138">
        <v>100.21</v>
      </c>
    </row>
    <row r="139" spans="1:281">
      <c r="A139">
        <v>123</v>
      </c>
      <c r="B139">
        <v>1651857530.6</v>
      </c>
      <c r="C139">
        <v>530</v>
      </c>
      <c r="D139" t="s">
        <v>673</v>
      </c>
      <c r="E139" t="s">
        <v>674</v>
      </c>
      <c r="F139">
        <v>2</v>
      </c>
      <c r="G139" t="s">
        <v>413</v>
      </c>
      <c r="H139" t="s">
        <v>414</v>
      </c>
      <c r="I139">
        <v>1651857529.6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792.192094660496</v>
      </c>
      <c r="AK139">
        <v>743.573006060606</v>
      </c>
      <c r="AL139">
        <v>3.437247745786828</v>
      </c>
      <c r="AM139">
        <v>66.38384787954378</v>
      </c>
      <c r="AN139">
        <f>(AP139 - AO139 + DI139*1E3/(8.314*(DK139+273.15)) * AR139/DH139 * AQ139) * DH139/(100*CV139) * 1000/(1000 - AP139)</f>
        <v>0</v>
      </c>
      <c r="AO139">
        <v>8.632915191029999</v>
      </c>
      <c r="AP139">
        <v>18.43131235294117</v>
      </c>
      <c r="AQ139">
        <v>4.541661704522098E-06</v>
      </c>
      <c r="AR139">
        <v>80.44866334591464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417</v>
      </c>
      <c r="AY139" t="s">
        <v>417</v>
      </c>
      <c r="AZ139">
        <v>0</v>
      </c>
      <c r="BA139">
        <v>0</v>
      </c>
      <c r="BB139">
        <f>1-AZ139/BA139</f>
        <v>0</v>
      </c>
      <c r="BC139">
        <v>0</v>
      </c>
      <c r="BD139" t="s">
        <v>417</v>
      </c>
      <c r="BE139" t="s">
        <v>417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1238</v>
      </c>
      <c r="CA139">
        <v>300</v>
      </c>
      <c r="CB139">
        <v>300</v>
      </c>
      <c r="CC139">
        <v>300</v>
      </c>
      <c r="CD139">
        <v>10440.5</v>
      </c>
      <c r="CE139">
        <v>1411.69</v>
      </c>
      <c r="CF139">
        <v>-0.00735121</v>
      </c>
      <c r="CG139">
        <v>-0.77</v>
      </c>
      <c r="CH139" t="s">
        <v>417</v>
      </c>
      <c r="CI139" t="s">
        <v>417</v>
      </c>
      <c r="CJ139" t="s">
        <v>417</v>
      </c>
      <c r="CK139" t="s">
        <v>417</v>
      </c>
      <c r="CL139" t="s">
        <v>417</v>
      </c>
      <c r="CM139" t="s">
        <v>417</v>
      </c>
      <c r="CN139" t="s">
        <v>417</v>
      </c>
      <c r="CO139" t="s">
        <v>417</v>
      </c>
      <c r="CP139" t="s">
        <v>417</v>
      </c>
      <c r="CQ139" t="s">
        <v>417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418</v>
      </c>
      <c r="CY139">
        <v>2</v>
      </c>
      <c r="CZ139" t="b">
        <v>1</v>
      </c>
      <c r="DA139">
        <v>1651857529.6</v>
      </c>
      <c r="DB139">
        <v>728.1813333333333</v>
      </c>
      <c r="DC139">
        <v>791.2716666666666</v>
      </c>
      <c r="DD139">
        <v>18.43316666666667</v>
      </c>
      <c r="DE139">
        <v>8.633303333333332</v>
      </c>
      <c r="DF139">
        <v>730.0253333333334</v>
      </c>
      <c r="DG139">
        <v>18.42656666666667</v>
      </c>
      <c r="DH139">
        <v>500.0516666666667</v>
      </c>
      <c r="DI139">
        <v>90.08433333333333</v>
      </c>
      <c r="DJ139">
        <v>0.09996556666666667</v>
      </c>
      <c r="DK139">
        <v>25.76793333333334</v>
      </c>
      <c r="DL139">
        <v>25.0045</v>
      </c>
      <c r="DM139">
        <v>999.9</v>
      </c>
      <c r="DN139">
        <v>0</v>
      </c>
      <c r="DO139">
        <v>0</v>
      </c>
      <c r="DP139">
        <v>10002.5</v>
      </c>
      <c r="DQ139">
        <v>0</v>
      </c>
      <c r="DR139">
        <v>3.20383</v>
      </c>
      <c r="DS139">
        <v>-63.08993333333333</v>
      </c>
      <c r="DT139">
        <v>741.8563333333333</v>
      </c>
      <c r="DU139">
        <v>798.1623333333333</v>
      </c>
      <c r="DV139">
        <v>9.79988</v>
      </c>
      <c r="DW139">
        <v>791.2716666666666</v>
      </c>
      <c r="DX139">
        <v>8.633303333333332</v>
      </c>
      <c r="DY139">
        <v>1.66054</v>
      </c>
      <c r="DZ139">
        <v>0.7777253333333333</v>
      </c>
      <c r="EA139">
        <v>14.53236666666667</v>
      </c>
      <c r="EB139">
        <v>3.307113333333334</v>
      </c>
      <c r="EC139">
        <v>1500.093333333333</v>
      </c>
      <c r="ED139">
        <v>0.9730053333333334</v>
      </c>
      <c r="EE139">
        <v>0.0269949</v>
      </c>
      <c r="EF139">
        <v>0</v>
      </c>
      <c r="EG139">
        <v>1040.516666666667</v>
      </c>
      <c r="EH139">
        <v>5.00097</v>
      </c>
      <c r="EI139">
        <v>15448.3</v>
      </c>
      <c r="EJ139">
        <v>12492.4</v>
      </c>
      <c r="EK139">
        <v>37.5</v>
      </c>
      <c r="EL139">
        <v>39</v>
      </c>
      <c r="EM139">
        <v>37.875</v>
      </c>
      <c r="EN139">
        <v>38.75</v>
      </c>
      <c r="EO139">
        <v>38.375</v>
      </c>
      <c r="EP139">
        <v>1454.73</v>
      </c>
      <c r="EQ139">
        <v>40.36333333333333</v>
      </c>
      <c r="ER139">
        <v>0</v>
      </c>
      <c r="ES139">
        <v>529.2000000476837</v>
      </c>
      <c r="ET139">
        <v>0</v>
      </c>
      <c r="EU139">
        <v>1043.1624</v>
      </c>
      <c r="EV139">
        <v>-22.82538464517461</v>
      </c>
      <c r="EW139">
        <v>-355.2461544508549</v>
      </c>
      <c r="EX139">
        <v>15489.124</v>
      </c>
      <c r="EY139">
        <v>15</v>
      </c>
      <c r="EZ139">
        <v>1651857041.1</v>
      </c>
      <c r="FA139" t="s">
        <v>419</v>
      </c>
      <c r="FB139">
        <v>1651857019.6</v>
      </c>
      <c r="FC139">
        <v>1651857041.1</v>
      </c>
      <c r="FD139">
        <v>1</v>
      </c>
      <c r="FE139">
        <v>0.545</v>
      </c>
      <c r="FF139">
        <v>-0.002</v>
      </c>
      <c r="FG139">
        <v>-1.271</v>
      </c>
      <c r="FH139">
        <v>-0.09</v>
      </c>
      <c r="FI139">
        <v>400</v>
      </c>
      <c r="FJ139">
        <v>10</v>
      </c>
      <c r="FK139">
        <v>0.1</v>
      </c>
      <c r="FL139">
        <v>0.02</v>
      </c>
      <c r="FM139">
        <v>-63.25449512195121</v>
      </c>
      <c r="FN139">
        <v>0.6552961672472819</v>
      </c>
      <c r="FO139">
        <v>0.09029045259529452</v>
      </c>
      <c r="FP139">
        <v>-1</v>
      </c>
      <c r="FQ139">
        <v>9.810123902439024</v>
      </c>
      <c r="FR139">
        <v>-0.03240480836235068</v>
      </c>
      <c r="FS139">
        <v>0.004089555332765444</v>
      </c>
      <c r="FT139">
        <v>-1</v>
      </c>
      <c r="FU139">
        <v>0</v>
      </c>
      <c r="FV139">
        <v>0</v>
      </c>
      <c r="FW139">
        <v>0</v>
      </c>
      <c r="FX139">
        <v>-1</v>
      </c>
      <c r="FY139">
        <v>0</v>
      </c>
      <c r="FZ139">
        <v>0</v>
      </c>
      <c r="GA139" t="s">
        <v>432</v>
      </c>
      <c r="GB139">
        <v>2.97993</v>
      </c>
      <c r="GC139">
        <v>2.7062</v>
      </c>
      <c r="GD139">
        <v>0.139283</v>
      </c>
      <c r="GE139">
        <v>0.145429</v>
      </c>
      <c r="GF139">
        <v>0.0880315</v>
      </c>
      <c r="GG139">
        <v>0.049449</v>
      </c>
      <c r="GH139">
        <v>27157.9</v>
      </c>
      <c r="GI139">
        <v>27022.2</v>
      </c>
      <c r="GJ139">
        <v>29341.8</v>
      </c>
      <c r="GK139">
        <v>29254.5</v>
      </c>
      <c r="GL139">
        <v>35436.1</v>
      </c>
      <c r="GM139">
        <v>37035.9</v>
      </c>
      <c r="GN139">
        <v>41302.9</v>
      </c>
      <c r="GO139">
        <v>41751</v>
      </c>
      <c r="GP139">
        <v>1.95545</v>
      </c>
      <c r="GQ139">
        <v>1.835</v>
      </c>
      <c r="GR139">
        <v>-0.0336394</v>
      </c>
      <c r="GS139">
        <v>0</v>
      </c>
      <c r="GT139">
        <v>25.5541</v>
      </c>
      <c r="GU139">
        <v>999.9</v>
      </c>
      <c r="GV139">
        <v>38.6</v>
      </c>
      <c r="GW139">
        <v>33.9</v>
      </c>
      <c r="GX139">
        <v>22.7668</v>
      </c>
      <c r="GY139">
        <v>62.4976</v>
      </c>
      <c r="GZ139">
        <v>35.2404</v>
      </c>
      <c r="HA139">
        <v>1</v>
      </c>
      <c r="HB139">
        <v>0.137571</v>
      </c>
      <c r="HC139">
        <v>2.15801</v>
      </c>
      <c r="HD139">
        <v>20.32</v>
      </c>
      <c r="HE139">
        <v>5.21789</v>
      </c>
      <c r="HF139">
        <v>12.0099</v>
      </c>
      <c r="HG139">
        <v>4.98905</v>
      </c>
      <c r="HH139">
        <v>3.28865</v>
      </c>
      <c r="HI139">
        <v>852.8</v>
      </c>
      <c r="HJ139">
        <v>8488.4</v>
      </c>
      <c r="HK139">
        <v>5139.4</v>
      </c>
      <c r="HL139">
        <v>22.9</v>
      </c>
      <c r="HM139">
        <v>1.86752</v>
      </c>
      <c r="HN139">
        <v>1.86647</v>
      </c>
      <c r="HO139">
        <v>1.866</v>
      </c>
      <c r="HP139">
        <v>1.86588</v>
      </c>
      <c r="HQ139">
        <v>1.86773</v>
      </c>
      <c r="HR139">
        <v>1.87025</v>
      </c>
      <c r="HS139">
        <v>1.8689</v>
      </c>
      <c r="HT139">
        <v>1.87027</v>
      </c>
      <c r="HU139">
        <v>0</v>
      </c>
      <c r="HV139">
        <v>0</v>
      </c>
      <c r="HW139">
        <v>0</v>
      </c>
      <c r="HX139">
        <v>0</v>
      </c>
      <c r="HY139" t="s">
        <v>421</v>
      </c>
      <c r="HZ139" t="s">
        <v>422</v>
      </c>
      <c r="IA139" t="s">
        <v>423</v>
      </c>
      <c r="IB139" t="s">
        <v>423</v>
      </c>
      <c r="IC139" t="s">
        <v>423</v>
      </c>
      <c r="ID139" t="s">
        <v>423</v>
      </c>
      <c r="IE139">
        <v>0</v>
      </c>
      <c r="IF139">
        <v>100</v>
      </c>
      <c r="IG139">
        <v>100</v>
      </c>
      <c r="IH139">
        <v>-1.85</v>
      </c>
      <c r="II139">
        <v>0.0066</v>
      </c>
      <c r="IJ139">
        <v>-0.4995723906072</v>
      </c>
      <c r="IK139">
        <v>-0.002077099775823331</v>
      </c>
      <c r="IL139">
        <v>4.593143279902166E-07</v>
      </c>
      <c r="IM139">
        <v>-1.865383991892071E-10</v>
      </c>
      <c r="IN139">
        <v>-0.07605349583632376</v>
      </c>
      <c r="IO139">
        <v>-0.01129461987421345</v>
      </c>
      <c r="IP139">
        <v>0.00116580895745559</v>
      </c>
      <c r="IQ139">
        <v>-1.679085872906199E-05</v>
      </c>
      <c r="IR139">
        <v>2</v>
      </c>
      <c r="IS139">
        <v>2290</v>
      </c>
      <c r="IT139">
        <v>0</v>
      </c>
      <c r="IU139">
        <v>32</v>
      </c>
      <c r="IV139">
        <v>8.5</v>
      </c>
      <c r="IW139">
        <v>8.199999999999999</v>
      </c>
      <c r="IX139">
        <v>1.74805</v>
      </c>
      <c r="IY139">
        <v>2.21802</v>
      </c>
      <c r="IZ139">
        <v>1.39648</v>
      </c>
      <c r="JA139">
        <v>2.35962</v>
      </c>
      <c r="JB139">
        <v>1.49536</v>
      </c>
      <c r="JC139">
        <v>2.30347</v>
      </c>
      <c r="JD139">
        <v>38.4279</v>
      </c>
      <c r="JE139">
        <v>24.0437</v>
      </c>
      <c r="JF139">
        <v>18</v>
      </c>
      <c r="JG139">
        <v>515.116</v>
      </c>
      <c r="JH139">
        <v>423.305</v>
      </c>
      <c r="JI139">
        <v>22.6812</v>
      </c>
      <c r="JJ139">
        <v>29.1111</v>
      </c>
      <c r="JK139">
        <v>29.9999</v>
      </c>
      <c r="JL139">
        <v>29.1147</v>
      </c>
      <c r="JM139">
        <v>29.0538</v>
      </c>
      <c r="JN139">
        <v>34.9803</v>
      </c>
      <c r="JO139">
        <v>56.5973</v>
      </c>
      <c r="JP139">
        <v>0</v>
      </c>
      <c r="JQ139">
        <v>22.6841</v>
      </c>
      <c r="JR139">
        <v>814.921</v>
      </c>
      <c r="JS139">
        <v>8.59327</v>
      </c>
      <c r="JT139">
        <v>100.301</v>
      </c>
      <c r="JU139">
        <v>100.21</v>
      </c>
    </row>
    <row r="140" spans="1:281">
      <c r="A140">
        <v>124</v>
      </c>
      <c r="B140">
        <v>1651857532.6</v>
      </c>
      <c r="C140">
        <v>532</v>
      </c>
      <c r="D140" t="s">
        <v>675</v>
      </c>
      <c r="E140" t="s">
        <v>676</v>
      </c>
      <c r="F140">
        <v>2</v>
      </c>
      <c r="G140" t="s">
        <v>413</v>
      </c>
      <c r="H140" t="s">
        <v>414</v>
      </c>
      <c r="I140">
        <v>1651857531.225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798.9400684414244</v>
      </c>
      <c r="AK140">
        <v>750.456</v>
      </c>
      <c r="AL140">
        <v>3.438469067376895</v>
      </c>
      <c r="AM140">
        <v>66.38384787954378</v>
      </c>
      <c r="AN140">
        <f>(AP140 - AO140 + DI140*1E3/(8.314*(DK140+273.15)) * AR140/DH140 * AQ140) * DH140/(100*CV140) * 1000/(1000 - AP140)</f>
        <v>0</v>
      </c>
      <c r="AO140">
        <v>8.632976115176183</v>
      </c>
      <c r="AP140">
        <v>18.43194882352941</v>
      </c>
      <c r="AQ140">
        <v>-5.36739187402044E-05</v>
      </c>
      <c r="AR140">
        <v>80.44866334591464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417</v>
      </c>
      <c r="AY140" t="s">
        <v>417</v>
      </c>
      <c r="AZ140">
        <v>0</v>
      </c>
      <c r="BA140">
        <v>0</v>
      </c>
      <c r="BB140">
        <f>1-AZ140/BA140</f>
        <v>0</v>
      </c>
      <c r="BC140">
        <v>0</v>
      </c>
      <c r="BD140" t="s">
        <v>417</v>
      </c>
      <c r="BE140" t="s">
        <v>417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1238</v>
      </c>
      <c r="CA140">
        <v>300</v>
      </c>
      <c r="CB140">
        <v>300</v>
      </c>
      <c r="CC140">
        <v>300</v>
      </c>
      <c r="CD140">
        <v>10440.5</v>
      </c>
      <c r="CE140">
        <v>1411.69</v>
      </c>
      <c r="CF140">
        <v>-0.00735121</v>
      </c>
      <c r="CG140">
        <v>-0.77</v>
      </c>
      <c r="CH140" t="s">
        <v>417</v>
      </c>
      <c r="CI140" t="s">
        <v>417</v>
      </c>
      <c r="CJ140" t="s">
        <v>417</v>
      </c>
      <c r="CK140" t="s">
        <v>417</v>
      </c>
      <c r="CL140" t="s">
        <v>417</v>
      </c>
      <c r="CM140" t="s">
        <v>417</v>
      </c>
      <c r="CN140" t="s">
        <v>417</v>
      </c>
      <c r="CO140" t="s">
        <v>417</v>
      </c>
      <c r="CP140" t="s">
        <v>417</v>
      </c>
      <c r="CQ140" t="s">
        <v>417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418</v>
      </c>
      <c r="CY140">
        <v>2</v>
      </c>
      <c r="CZ140" t="b">
        <v>1</v>
      </c>
      <c r="DA140">
        <v>1651857531.225</v>
      </c>
      <c r="DB140">
        <v>733.66425</v>
      </c>
      <c r="DC140">
        <v>796.711</v>
      </c>
      <c r="DD140">
        <v>18.432425</v>
      </c>
      <c r="DE140">
        <v>8.633677499999999</v>
      </c>
      <c r="DF140">
        <v>735.5175</v>
      </c>
      <c r="DG140">
        <v>18.425825</v>
      </c>
      <c r="DH140">
        <v>500.0264999999999</v>
      </c>
      <c r="DI140">
        <v>90.08455000000001</v>
      </c>
      <c r="DJ140">
        <v>0.09974735</v>
      </c>
      <c r="DK140">
        <v>25.76745</v>
      </c>
      <c r="DL140">
        <v>25.001475</v>
      </c>
      <c r="DM140">
        <v>999.9</v>
      </c>
      <c r="DN140">
        <v>0</v>
      </c>
      <c r="DO140">
        <v>0</v>
      </c>
      <c r="DP140">
        <v>10033.15</v>
      </c>
      <c r="DQ140">
        <v>0</v>
      </c>
      <c r="DR140">
        <v>3.20383</v>
      </c>
      <c r="DS140">
        <v>-63.04695</v>
      </c>
      <c r="DT140">
        <v>747.4415</v>
      </c>
      <c r="DU140">
        <v>803.6499999999999</v>
      </c>
      <c r="DV140">
        <v>9.798739999999999</v>
      </c>
      <c r="DW140">
        <v>796.711</v>
      </c>
      <c r="DX140">
        <v>8.633677499999999</v>
      </c>
      <c r="DY140">
        <v>1.660475</v>
      </c>
      <c r="DZ140">
        <v>0.77776075</v>
      </c>
      <c r="EA140">
        <v>14.5318</v>
      </c>
      <c r="EB140">
        <v>3.3077625</v>
      </c>
      <c r="EC140">
        <v>1500.025</v>
      </c>
      <c r="ED140">
        <v>0.9730045</v>
      </c>
      <c r="EE140">
        <v>0.0269958</v>
      </c>
      <c r="EF140">
        <v>0</v>
      </c>
      <c r="EG140">
        <v>1039.7775</v>
      </c>
      <c r="EH140">
        <v>5.00097</v>
      </c>
      <c r="EI140">
        <v>15436.65</v>
      </c>
      <c r="EJ140">
        <v>12491.8</v>
      </c>
      <c r="EK140">
        <v>37.5</v>
      </c>
      <c r="EL140">
        <v>39</v>
      </c>
      <c r="EM140">
        <v>37.875</v>
      </c>
      <c r="EN140">
        <v>38.75</v>
      </c>
      <c r="EO140">
        <v>38.375</v>
      </c>
      <c r="EP140">
        <v>1454.6625</v>
      </c>
      <c r="EQ140">
        <v>40.3625</v>
      </c>
      <c r="ER140">
        <v>0</v>
      </c>
      <c r="ES140">
        <v>531.6000001430511</v>
      </c>
      <c r="ET140">
        <v>0</v>
      </c>
      <c r="EU140">
        <v>1042.2236</v>
      </c>
      <c r="EV140">
        <v>-24.26769229968688</v>
      </c>
      <c r="EW140">
        <v>-379.7615385177696</v>
      </c>
      <c r="EX140">
        <v>15474.324</v>
      </c>
      <c r="EY140">
        <v>15</v>
      </c>
      <c r="EZ140">
        <v>1651857041.1</v>
      </c>
      <c r="FA140" t="s">
        <v>419</v>
      </c>
      <c r="FB140">
        <v>1651857019.6</v>
      </c>
      <c r="FC140">
        <v>1651857041.1</v>
      </c>
      <c r="FD140">
        <v>1</v>
      </c>
      <c r="FE140">
        <v>0.545</v>
      </c>
      <c r="FF140">
        <v>-0.002</v>
      </c>
      <c r="FG140">
        <v>-1.271</v>
      </c>
      <c r="FH140">
        <v>-0.09</v>
      </c>
      <c r="FI140">
        <v>400</v>
      </c>
      <c r="FJ140">
        <v>10</v>
      </c>
      <c r="FK140">
        <v>0.1</v>
      </c>
      <c r="FL140">
        <v>0.02</v>
      </c>
      <c r="FM140">
        <v>-63.21812</v>
      </c>
      <c r="FN140">
        <v>0.8914919324578932</v>
      </c>
      <c r="FO140">
        <v>0.1059975877083998</v>
      </c>
      <c r="FP140">
        <v>-1</v>
      </c>
      <c r="FQ140">
        <v>9.80825025</v>
      </c>
      <c r="FR140">
        <v>-0.0479156848030237</v>
      </c>
      <c r="FS140">
        <v>0.005330191594821002</v>
      </c>
      <c r="FT140">
        <v>-1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0</v>
      </c>
      <c r="GA140" t="s">
        <v>432</v>
      </c>
      <c r="GB140">
        <v>2.97984</v>
      </c>
      <c r="GC140">
        <v>2.70623</v>
      </c>
      <c r="GD140">
        <v>0.140155</v>
      </c>
      <c r="GE140">
        <v>0.146249</v>
      </c>
      <c r="GF140">
        <v>0.08803179999999999</v>
      </c>
      <c r="GG140">
        <v>0.0494538</v>
      </c>
      <c r="GH140">
        <v>27130.4</v>
      </c>
      <c r="GI140">
        <v>26996.1</v>
      </c>
      <c r="GJ140">
        <v>29341.9</v>
      </c>
      <c r="GK140">
        <v>29254.4</v>
      </c>
      <c r="GL140">
        <v>35435.9</v>
      </c>
      <c r="GM140">
        <v>37035.6</v>
      </c>
      <c r="GN140">
        <v>41302.7</v>
      </c>
      <c r="GO140">
        <v>41750.8</v>
      </c>
      <c r="GP140">
        <v>1.95543</v>
      </c>
      <c r="GQ140">
        <v>1.8352</v>
      </c>
      <c r="GR140">
        <v>-0.0336841</v>
      </c>
      <c r="GS140">
        <v>0</v>
      </c>
      <c r="GT140">
        <v>25.5541</v>
      </c>
      <c r="GU140">
        <v>999.9</v>
      </c>
      <c r="GV140">
        <v>38.6</v>
      </c>
      <c r="GW140">
        <v>33.9</v>
      </c>
      <c r="GX140">
        <v>22.7669</v>
      </c>
      <c r="GY140">
        <v>62.6276</v>
      </c>
      <c r="GZ140">
        <v>35.7011</v>
      </c>
      <c r="HA140">
        <v>1</v>
      </c>
      <c r="HB140">
        <v>0.137337</v>
      </c>
      <c r="HC140">
        <v>2.15975</v>
      </c>
      <c r="HD140">
        <v>20.3197</v>
      </c>
      <c r="HE140">
        <v>5.21774</v>
      </c>
      <c r="HF140">
        <v>12.0099</v>
      </c>
      <c r="HG140">
        <v>4.989</v>
      </c>
      <c r="HH140">
        <v>3.28865</v>
      </c>
      <c r="HI140">
        <v>852.8</v>
      </c>
      <c r="HJ140">
        <v>8488.4</v>
      </c>
      <c r="HK140">
        <v>5139.4</v>
      </c>
      <c r="HL140">
        <v>22.9</v>
      </c>
      <c r="HM140">
        <v>1.86752</v>
      </c>
      <c r="HN140">
        <v>1.86647</v>
      </c>
      <c r="HO140">
        <v>1.866</v>
      </c>
      <c r="HP140">
        <v>1.86588</v>
      </c>
      <c r="HQ140">
        <v>1.86773</v>
      </c>
      <c r="HR140">
        <v>1.87026</v>
      </c>
      <c r="HS140">
        <v>1.8689</v>
      </c>
      <c r="HT140">
        <v>1.87027</v>
      </c>
      <c r="HU140">
        <v>0</v>
      </c>
      <c r="HV140">
        <v>0</v>
      </c>
      <c r="HW140">
        <v>0</v>
      </c>
      <c r="HX140">
        <v>0</v>
      </c>
      <c r="HY140" t="s">
        <v>421</v>
      </c>
      <c r="HZ140" t="s">
        <v>422</v>
      </c>
      <c r="IA140" t="s">
        <v>423</v>
      </c>
      <c r="IB140" t="s">
        <v>423</v>
      </c>
      <c r="IC140" t="s">
        <v>423</v>
      </c>
      <c r="ID140" t="s">
        <v>423</v>
      </c>
      <c r="IE140">
        <v>0</v>
      </c>
      <c r="IF140">
        <v>100</v>
      </c>
      <c r="IG140">
        <v>100</v>
      </c>
      <c r="IH140">
        <v>-1.861</v>
      </c>
      <c r="II140">
        <v>0.0066</v>
      </c>
      <c r="IJ140">
        <v>-0.4995723906072</v>
      </c>
      <c r="IK140">
        <v>-0.002077099775823331</v>
      </c>
      <c r="IL140">
        <v>4.593143279902166E-07</v>
      </c>
      <c r="IM140">
        <v>-1.865383991892071E-10</v>
      </c>
      <c r="IN140">
        <v>-0.07605349583632376</v>
      </c>
      <c r="IO140">
        <v>-0.01129461987421345</v>
      </c>
      <c r="IP140">
        <v>0.00116580895745559</v>
      </c>
      <c r="IQ140">
        <v>-1.679085872906199E-05</v>
      </c>
      <c r="IR140">
        <v>2</v>
      </c>
      <c r="IS140">
        <v>2290</v>
      </c>
      <c r="IT140">
        <v>0</v>
      </c>
      <c r="IU140">
        <v>32</v>
      </c>
      <c r="IV140">
        <v>8.6</v>
      </c>
      <c r="IW140">
        <v>8.199999999999999</v>
      </c>
      <c r="IX140">
        <v>1.75903</v>
      </c>
      <c r="IY140">
        <v>2.21924</v>
      </c>
      <c r="IZ140">
        <v>1.39648</v>
      </c>
      <c r="JA140">
        <v>2.35962</v>
      </c>
      <c r="JB140">
        <v>1.49536</v>
      </c>
      <c r="JC140">
        <v>2.34497</v>
      </c>
      <c r="JD140">
        <v>38.4279</v>
      </c>
      <c r="JE140">
        <v>24.0437</v>
      </c>
      <c r="JF140">
        <v>18</v>
      </c>
      <c r="JG140">
        <v>515.0890000000001</v>
      </c>
      <c r="JH140">
        <v>423.416</v>
      </c>
      <c r="JI140">
        <v>22.6834</v>
      </c>
      <c r="JJ140">
        <v>29.1111</v>
      </c>
      <c r="JK140">
        <v>30</v>
      </c>
      <c r="JL140">
        <v>29.1135</v>
      </c>
      <c r="JM140">
        <v>29.0526</v>
      </c>
      <c r="JN140">
        <v>35.212</v>
      </c>
      <c r="JO140">
        <v>56.5973</v>
      </c>
      <c r="JP140">
        <v>0</v>
      </c>
      <c r="JQ140">
        <v>22.6841</v>
      </c>
      <c r="JR140">
        <v>821.6079999999999</v>
      </c>
      <c r="JS140">
        <v>8.58874</v>
      </c>
      <c r="JT140">
        <v>100.3</v>
      </c>
      <c r="JU140">
        <v>100.209</v>
      </c>
    </row>
    <row r="141" spans="1:281">
      <c r="A141">
        <v>125</v>
      </c>
      <c r="B141">
        <v>1651857534.6</v>
      </c>
      <c r="C141">
        <v>534</v>
      </c>
      <c r="D141" t="s">
        <v>677</v>
      </c>
      <c r="E141" t="s">
        <v>678</v>
      </c>
      <c r="F141">
        <v>2</v>
      </c>
      <c r="G141" t="s">
        <v>413</v>
      </c>
      <c r="H141" t="s">
        <v>414</v>
      </c>
      <c r="I141">
        <v>1651857533.6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805.698895139926</v>
      </c>
      <c r="AK141">
        <v>757.3721878787877</v>
      </c>
      <c r="AL141">
        <v>3.452904181056545</v>
      </c>
      <c r="AM141">
        <v>66.38384787954378</v>
      </c>
      <c r="AN141">
        <f>(AP141 - AO141 + DI141*1E3/(8.314*(DK141+273.15)) * AR141/DH141 * AQ141) * DH141/(100*CV141) * 1000/(1000 - AP141)</f>
        <v>0</v>
      </c>
      <c r="AO141">
        <v>8.633433370575938</v>
      </c>
      <c r="AP141">
        <v>18.43269529411764</v>
      </c>
      <c r="AQ141">
        <v>-4.477636834075919E-05</v>
      </c>
      <c r="AR141">
        <v>80.44866334591464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417</v>
      </c>
      <c r="AY141" t="s">
        <v>417</v>
      </c>
      <c r="AZ141">
        <v>0</v>
      </c>
      <c r="BA141">
        <v>0</v>
      </c>
      <c r="BB141">
        <f>1-AZ141/BA141</f>
        <v>0</v>
      </c>
      <c r="BC141">
        <v>0</v>
      </c>
      <c r="BD141" t="s">
        <v>417</v>
      </c>
      <c r="BE141" t="s">
        <v>417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1238</v>
      </c>
      <c r="CA141">
        <v>300</v>
      </c>
      <c r="CB141">
        <v>300</v>
      </c>
      <c r="CC141">
        <v>300</v>
      </c>
      <c r="CD141">
        <v>10440.5</v>
      </c>
      <c r="CE141">
        <v>1411.69</v>
      </c>
      <c r="CF141">
        <v>-0.00735121</v>
      </c>
      <c r="CG141">
        <v>-0.77</v>
      </c>
      <c r="CH141" t="s">
        <v>417</v>
      </c>
      <c r="CI141" t="s">
        <v>417</v>
      </c>
      <c r="CJ141" t="s">
        <v>417</v>
      </c>
      <c r="CK141" t="s">
        <v>417</v>
      </c>
      <c r="CL141" t="s">
        <v>417</v>
      </c>
      <c r="CM141" t="s">
        <v>417</v>
      </c>
      <c r="CN141" t="s">
        <v>417</v>
      </c>
      <c r="CO141" t="s">
        <v>417</v>
      </c>
      <c r="CP141" t="s">
        <v>417</v>
      </c>
      <c r="CQ141" t="s">
        <v>417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418</v>
      </c>
      <c r="CY141">
        <v>2</v>
      </c>
      <c r="CZ141" t="b">
        <v>1</v>
      </c>
      <c r="DA141">
        <v>1651857533.6</v>
      </c>
      <c r="DB141">
        <v>741.716</v>
      </c>
      <c r="DC141">
        <v>804.7383333333333</v>
      </c>
      <c r="DD141">
        <v>18.43206666666667</v>
      </c>
      <c r="DE141">
        <v>8.634653333333333</v>
      </c>
      <c r="DF141">
        <v>743.5830000000001</v>
      </c>
      <c r="DG141">
        <v>18.42546666666667</v>
      </c>
      <c r="DH141">
        <v>500.0293333333333</v>
      </c>
      <c r="DI141">
        <v>90.08273333333334</v>
      </c>
      <c r="DJ141">
        <v>0.1000549666666667</v>
      </c>
      <c r="DK141">
        <v>25.76763333333333</v>
      </c>
      <c r="DL141">
        <v>25.00343333333333</v>
      </c>
      <c r="DM141">
        <v>999.9</v>
      </c>
      <c r="DN141">
        <v>0</v>
      </c>
      <c r="DO141">
        <v>0</v>
      </c>
      <c r="DP141">
        <v>10007.68333333333</v>
      </c>
      <c r="DQ141">
        <v>0</v>
      </c>
      <c r="DR141">
        <v>3.20383</v>
      </c>
      <c r="DS141">
        <v>-63.02236666666666</v>
      </c>
      <c r="DT141">
        <v>755.6443333333333</v>
      </c>
      <c r="DU141">
        <v>811.7473333333334</v>
      </c>
      <c r="DV141">
        <v>9.797423333333333</v>
      </c>
      <c r="DW141">
        <v>804.7383333333333</v>
      </c>
      <c r="DX141">
        <v>8.634653333333333</v>
      </c>
      <c r="DY141">
        <v>1.66041</v>
      </c>
      <c r="DZ141">
        <v>0.7778329999999999</v>
      </c>
      <c r="EA141">
        <v>14.53116666666667</v>
      </c>
      <c r="EB141">
        <v>3.309076666666666</v>
      </c>
      <c r="EC141">
        <v>1499.993333333333</v>
      </c>
      <c r="ED141">
        <v>0.973002</v>
      </c>
      <c r="EE141">
        <v>0.0269985</v>
      </c>
      <c r="EF141">
        <v>0</v>
      </c>
      <c r="EG141">
        <v>1038.263333333333</v>
      </c>
      <c r="EH141">
        <v>5.00097</v>
      </c>
      <c r="EI141">
        <v>15417.96666666667</v>
      </c>
      <c r="EJ141">
        <v>12491.5</v>
      </c>
      <c r="EK141">
        <v>37.5</v>
      </c>
      <c r="EL141">
        <v>39</v>
      </c>
      <c r="EM141">
        <v>37.875</v>
      </c>
      <c r="EN141">
        <v>38.75</v>
      </c>
      <c r="EO141">
        <v>38.375</v>
      </c>
      <c r="EP141">
        <v>1454.626666666667</v>
      </c>
      <c r="EQ141">
        <v>40.36666666666667</v>
      </c>
      <c r="ER141">
        <v>0</v>
      </c>
      <c r="ES141">
        <v>533.4000000953674</v>
      </c>
      <c r="ET141">
        <v>0</v>
      </c>
      <c r="EU141">
        <v>1041.559615384615</v>
      </c>
      <c r="EV141">
        <v>-27.1347008060226</v>
      </c>
      <c r="EW141">
        <v>-396.9709396117809</v>
      </c>
      <c r="EX141">
        <v>15464.56923076923</v>
      </c>
      <c r="EY141">
        <v>15</v>
      </c>
      <c r="EZ141">
        <v>1651857041.1</v>
      </c>
      <c r="FA141" t="s">
        <v>419</v>
      </c>
      <c r="FB141">
        <v>1651857019.6</v>
      </c>
      <c r="FC141">
        <v>1651857041.1</v>
      </c>
      <c r="FD141">
        <v>1</v>
      </c>
      <c r="FE141">
        <v>0.545</v>
      </c>
      <c r="FF141">
        <v>-0.002</v>
      </c>
      <c r="FG141">
        <v>-1.271</v>
      </c>
      <c r="FH141">
        <v>-0.09</v>
      </c>
      <c r="FI141">
        <v>400</v>
      </c>
      <c r="FJ141">
        <v>10</v>
      </c>
      <c r="FK141">
        <v>0.1</v>
      </c>
      <c r="FL141">
        <v>0.02</v>
      </c>
      <c r="FM141">
        <v>-63.19755365853658</v>
      </c>
      <c r="FN141">
        <v>0.9510898954702677</v>
      </c>
      <c r="FO141">
        <v>0.1125137890683515</v>
      </c>
      <c r="FP141">
        <v>-1</v>
      </c>
      <c r="FQ141">
        <v>9.807302682926828</v>
      </c>
      <c r="FR141">
        <v>-0.05422034843207914</v>
      </c>
      <c r="FS141">
        <v>0.005885702819540998</v>
      </c>
      <c r="FT141">
        <v>-1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0</v>
      </c>
      <c r="GA141" t="s">
        <v>432</v>
      </c>
      <c r="GB141">
        <v>2.97998</v>
      </c>
      <c r="GC141">
        <v>2.70628</v>
      </c>
      <c r="GD141">
        <v>0.141017</v>
      </c>
      <c r="GE141">
        <v>0.147065</v>
      </c>
      <c r="GF141">
        <v>0.08802069999999999</v>
      </c>
      <c r="GG141">
        <v>0.0494497</v>
      </c>
      <c r="GH141">
        <v>27103.4</v>
      </c>
      <c r="GI141">
        <v>26970.4</v>
      </c>
      <c r="GJ141">
        <v>29342.1</v>
      </c>
      <c r="GK141">
        <v>29254.5</v>
      </c>
      <c r="GL141">
        <v>35436.6</v>
      </c>
      <c r="GM141">
        <v>37035.9</v>
      </c>
      <c r="GN141">
        <v>41303</v>
      </c>
      <c r="GO141">
        <v>41750.9</v>
      </c>
      <c r="GP141">
        <v>1.95557</v>
      </c>
      <c r="GQ141">
        <v>1.8351</v>
      </c>
      <c r="GR141">
        <v>-0.0334978</v>
      </c>
      <c r="GS141">
        <v>0</v>
      </c>
      <c r="GT141">
        <v>25.5541</v>
      </c>
      <c r="GU141">
        <v>999.9</v>
      </c>
      <c r="GV141">
        <v>38.6</v>
      </c>
      <c r="GW141">
        <v>33.9</v>
      </c>
      <c r="GX141">
        <v>22.7666</v>
      </c>
      <c r="GY141">
        <v>62.3976</v>
      </c>
      <c r="GZ141">
        <v>35.3165</v>
      </c>
      <c r="HA141">
        <v>1</v>
      </c>
      <c r="HB141">
        <v>0.137381</v>
      </c>
      <c r="HC141">
        <v>2.1899</v>
      </c>
      <c r="HD141">
        <v>20.3191</v>
      </c>
      <c r="HE141">
        <v>5.21714</v>
      </c>
      <c r="HF141">
        <v>12.0099</v>
      </c>
      <c r="HG141">
        <v>4.98885</v>
      </c>
      <c r="HH141">
        <v>3.28855</v>
      </c>
      <c r="HI141">
        <v>852.8</v>
      </c>
      <c r="HJ141">
        <v>8488.4</v>
      </c>
      <c r="HK141">
        <v>5139.4</v>
      </c>
      <c r="HL141">
        <v>22.9</v>
      </c>
      <c r="HM141">
        <v>1.86752</v>
      </c>
      <c r="HN141">
        <v>1.86646</v>
      </c>
      <c r="HO141">
        <v>1.866</v>
      </c>
      <c r="HP141">
        <v>1.86588</v>
      </c>
      <c r="HQ141">
        <v>1.86774</v>
      </c>
      <c r="HR141">
        <v>1.87027</v>
      </c>
      <c r="HS141">
        <v>1.8689</v>
      </c>
      <c r="HT141">
        <v>1.87027</v>
      </c>
      <c r="HU141">
        <v>0</v>
      </c>
      <c r="HV141">
        <v>0</v>
      </c>
      <c r="HW141">
        <v>0</v>
      </c>
      <c r="HX141">
        <v>0</v>
      </c>
      <c r="HY141" t="s">
        <v>421</v>
      </c>
      <c r="HZ141" t="s">
        <v>422</v>
      </c>
      <c r="IA141" t="s">
        <v>423</v>
      </c>
      <c r="IB141" t="s">
        <v>423</v>
      </c>
      <c r="IC141" t="s">
        <v>423</v>
      </c>
      <c r="ID141" t="s">
        <v>423</v>
      </c>
      <c r="IE141">
        <v>0</v>
      </c>
      <c r="IF141">
        <v>100</v>
      </c>
      <c r="IG141">
        <v>100</v>
      </c>
      <c r="IH141">
        <v>-1.873</v>
      </c>
      <c r="II141">
        <v>0.0066</v>
      </c>
      <c r="IJ141">
        <v>-0.4995723906072</v>
      </c>
      <c r="IK141">
        <v>-0.002077099775823331</v>
      </c>
      <c r="IL141">
        <v>4.593143279902166E-07</v>
      </c>
      <c r="IM141">
        <v>-1.865383991892071E-10</v>
      </c>
      <c r="IN141">
        <v>-0.07605349583632376</v>
      </c>
      <c r="IO141">
        <v>-0.01129461987421345</v>
      </c>
      <c r="IP141">
        <v>0.00116580895745559</v>
      </c>
      <c r="IQ141">
        <v>-1.679085872906199E-05</v>
      </c>
      <c r="IR141">
        <v>2</v>
      </c>
      <c r="IS141">
        <v>2290</v>
      </c>
      <c r="IT141">
        <v>0</v>
      </c>
      <c r="IU141">
        <v>32</v>
      </c>
      <c r="IV141">
        <v>8.6</v>
      </c>
      <c r="IW141">
        <v>8.199999999999999</v>
      </c>
      <c r="IX141">
        <v>1.77124</v>
      </c>
      <c r="IY141">
        <v>2.21191</v>
      </c>
      <c r="IZ141">
        <v>1.39648</v>
      </c>
      <c r="JA141">
        <v>2.35962</v>
      </c>
      <c r="JB141">
        <v>1.49536</v>
      </c>
      <c r="JC141">
        <v>2.33398</v>
      </c>
      <c r="JD141">
        <v>38.4279</v>
      </c>
      <c r="JE141">
        <v>24.0437</v>
      </c>
      <c r="JF141">
        <v>18</v>
      </c>
      <c r="JG141">
        <v>515.178</v>
      </c>
      <c r="JH141">
        <v>423.348</v>
      </c>
      <c r="JI141">
        <v>22.6849</v>
      </c>
      <c r="JJ141">
        <v>29.1111</v>
      </c>
      <c r="JK141">
        <v>30.0001</v>
      </c>
      <c r="JL141">
        <v>29.1124</v>
      </c>
      <c r="JM141">
        <v>29.0514</v>
      </c>
      <c r="JN141">
        <v>35.445</v>
      </c>
      <c r="JO141">
        <v>56.5973</v>
      </c>
      <c r="JP141">
        <v>0</v>
      </c>
      <c r="JQ141">
        <v>22.673</v>
      </c>
      <c r="JR141">
        <v>828.322</v>
      </c>
      <c r="JS141">
        <v>8.594340000000001</v>
      </c>
      <c r="JT141">
        <v>100.301</v>
      </c>
      <c r="JU141">
        <v>100.21</v>
      </c>
    </row>
    <row r="142" spans="1:281">
      <c r="A142">
        <v>126</v>
      </c>
      <c r="B142">
        <v>1651857536.6</v>
      </c>
      <c r="C142">
        <v>536</v>
      </c>
      <c r="D142" t="s">
        <v>679</v>
      </c>
      <c r="E142" t="s">
        <v>680</v>
      </c>
      <c r="F142">
        <v>2</v>
      </c>
      <c r="G142" t="s">
        <v>413</v>
      </c>
      <c r="H142" t="s">
        <v>414</v>
      </c>
      <c r="I142">
        <v>1651857535.225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812.5350771631812</v>
      </c>
      <c r="AK142">
        <v>764.1689454545455</v>
      </c>
      <c r="AL142">
        <v>3.418081250996981</v>
      </c>
      <c r="AM142">
        <v>66.38384787954378</v>
      </c>
      <c r="AN142">
        <f>(AP142 - AO142 + DI142*1E3/(8.314*(DK142+273.15)) * AR142/DH142 * AQ142) * DH142/(100*CV142) * 1000/(1000 - AP142)</f>
        <v>0</v>
      </c>
      <c r="AO142">
        <v>8.634184267320014</v>
      </c>
      <c r="AP142">
        <v>18.42923941176469</v>
      </c>
      <c r="AQ142">
        <v>-2.613670349272311E-06</v>
      </c>
      <c r="AR142">
        <v>80.44866334591464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417</v>
      </c>
      <c r="AY142" t="s">
        <v>417</v>
      </c>
      <c r="AZ142">
        <v>0</v>
      </c>
      <c r="BA142">
        <v>0</v>
      </c>
      <c r="BB142">
        <f>1-AZ142/BA142</f>
        <v>0</v>
      </c>
      <c r="BC142">
        <v>0</v>
      </c>
      <c r="BD142" t="s">
        <v>417</v>
      </c>
      <c r="BE142" t="s">
        <v>417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1238</v>
      </c>
      <c r="CA142">
        <v>300</v>
      </c>
      <c r="CB142">
        <v>300</v>
      </c>
      <c r="CC142">
        <v>300</v>
      </c>
      <c r="CD142">
        <v>10440.5</v>
      </c>
      <c r="CE142">
        <v>1411.69</v>
      </c>
      <c r="CF142">
        <v>-0.00735121</v>
      </c>
      <c r="CG142">
        <v>-0.77</v>
      </c>
      <c r="CH142" t="s">
        <v>417</v>
      </c>
      <c r="CI142" t="s">
        <v>417</v>
      </c>
      <c r="CJ142" t="s">
        <v>417</v>
      </c>
      <c r="CK142" t="s">
        <v>417</v>
      </c>
      <c r="CL142" t="s">
        <v>417</v>
      </c>
      <c r="CM142" t="s">
        <v>417</v>
      </c>
      <c r="CN142" t="s">
        <v>417</v>
      </c>
      <c r="CO142" t="s">
        <v>417</v>
      </c>
      <c r="CP142" t="s">
        <v>417</v>
      </c>
      <c r="CQ142" t="s">
        <v>417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418</v>
      </c>
      <c r="CY142">
        <v>2</v>
      </c>
      <c r="CZ142" t="b">
        <v>1</v>
      </c>
      <c r="DA142">
        <v>1651857535.225</v>
      </c>
      <c r="DB142">
        <v>747.1704999999999</v>
      </c>
      <c r="DC142">
        <v>810.1732500000001</v>
      </c>
      <c r="DD142">
        <v>18.4301</v>
      </c>
      <c r="DE142">
        <v>8.634025000000001</v>
      </c>
      <c r="DF142">
        <v>749.0467500000001</v>
      </c>
      <c r="DG142">
        <v>18.423575</v>
      </c>
      <c r="DH142">
        <v>500.039</v>
      </c>
      <c r="DI142">
        <v>90.08184999999999</v>
      </c>
      <c r="DJ142">
        <v>0.1001485</v>
      </c>
      <c r="DK142">
        <v>25.769</v>
      </c>
      <c r="DL142">
        <v>25.006975</v>
      </c>
      <c r="DM142">
        <v>999.9</v>
      </c>
      <c r="DN142">
        <v>0</v>
      </c>
      <c r="DO142">
        <v>0</v>
      </c>
      <c r="DP142">
        <v>9992.810000000001</v>
      </c>
      <c r="DQ142">
        <v>0</v>
      </c>
      <c r="DR142">
        <v>3.20383</v>
      </c>
      <c r="DS142">
        <v>-63.0027</v>
      </c>
      <c r="DT142">
        <v>761.19975</v>
      </c>
      <c r="DU142">
        <v>817.22925</v>
      </c>
      <c r="DV142">
        <v>9.796095000000001</v>
      </c>
      <c r="DW142">
        <v>810.1732500000001</v>
      </c>
      <c r="DX142">
        <v>8.634025000000001</v>
      </c>
      <c r="DY142">
        <v>1.6602175</v>
      </c>
      <c r="DZ142">
        <v>0.7777689999999999</v>
      </c>
      <c r="EA142">
        <v>14.5294</v>
      </c>
      <c r="EB142">
        <v>3.30791</v>
      </c>
      <c r="EC142">
        <v>1500.015</v>
      </c>
      <c r="ED142">
        <v>0.9730032500000001</v>
      </c>
      <c r="EE142">
        <v>0.02699715</v>
      </c>
      <c r="EF142">
        <v>0</v>
      </c>
      <c r="EG142">
        <v>1037.5025</v>
      </c>
      <c r="EH142">
        <v>5.00097</v>
      </c>
      <c r="EI142">
        <v>15406.4</v>
      </c>
      <c r="EJ142">
        <v>12491.725</v>
      </c>
      <c r="EK142">
        <v>37.5</v>
      </c>
      <c r="EL142">
        <v>39</v>
      </c>
      <c r="EM142">
        <v>37.875</v>
      </c>
      <c r="EN142">
        <v>38.75</v>
      </c>
      <c r="EO142">
        <v>38.375</v>
      </c>
      <c r="EP142">
        <v>1454.65</v>
      </c>
      <c r="EQ142">
        <v>40.3625</v>
      </c>
      <c r="ER142">
        <v>0</v>
      </c>
      <c r="ES142">
        <v>535.2000000476837</v>
      </c>
      <c r="ET142">
        <v>0</v>
      </c>
      <c r="EU142">
        <v>1040.5956</v>
      </c>
      <c r="EV142">
        <v>-28.91769234454397</v>
      </c>
      <c r="EW142">
        <v>-417.7538468255647</v>
      </c>
      <c r="EX142">
        <v>15450.492</v>
      </c>
      <c r="EY142">
        <v>15</v>
      </c>
      <c r="EZ142">
        <v>1651857041.1</v>
      </c>
      <c r="FA142" t="s">
        <v>419</v>
      </c>
      <c r="FB142">
        <v>1651857019.6</v>
      </c>
      <c r="FC142">
        <v>1651857041.1</v>
      </c>
      <c r="FD142">
        <v>1</v>
      </c>
      <c r="FE142">
        <v>0.545</v>
      </c>
      <c r="FF142">
        <v>-0.002</v>
      </c>
      <c r="FG142">
        <v>-1.271</v>
      </c>
      <c r="FH142">
        <v>-0.09</v>
      </c>
      <c r="FI142">
        <v>400</v>
      </c>
      <c r="FJ142">
        <v>10</v>
      </c>
      <c r="FK142">
        <v>0.1</v>
      </c>
      <c r="FL142">
        <v>0.02</v>
      </c>
      <c r="FM142">
        <v>-63.1601625</v>
      </c>
      <c r="FN142">
        <v>1.141727954971993</v>
      </c>
      <c r="FO142">
        <v>0.123140819161438</v>
      </c>
      <c r="FP142">
        <v>-1</v>
      </c>
      <c r="FQ142">
        <v>9.8052835</v>
      </c>
      <c r="FR142">
        <v>-0.0681001125703791</v>
      </c>
      <c r="FS142">
        <v>0.006691502279010311</v>
      </c>
      <c r="FT142">
        <v>-1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0</v>
      </c>
      <c r="GA142" t="s">
        <v>432</v>
      </c>
      <c r="GB142">
        <v>2.98005</v>
      </c>
      <c r="GC142">
        <v>2.70626</v>
      </c>
      <c r="GD142">
        <v>0.141862</v>
      </c>
      <c r="GE142">
        <v>0.147863</v>
      </c>
      <c r="GF142">
        <v>0.0880194</v>
      </c>
      <c r="GG142">
        <v>0.0494443</v>
      </c>
      <c r="GH142">
        <v>27076.6</v>
      </c>
      <c r="GI142">
        <v>26945.2</v>
      </c>
      <c r="GJ142">
        <v>29341.9</v>
      </c>
      <c r="GK142">
        <v>29254.5</v>
      </c>
      <c r="GL142">
        <v>35436.6</v>
      </c>
      <c r="GM142">
        <v>37036.2</v>
      </c>
      <c r="GN142">
        <v>41302.9</v>
      </c>
      <c r="GO142">
        <v>41751</v>
      </c>
      <c r="GP142">
        <v>1.95553</v>
      </c>
      <c r="GQ142">
        <v>1.83503</v>
      </c>
      <c r="GR142">
        <v>-0.0333935</v>
      </c>
      <c r="GS142">
        <v>0</v>
      </c>
      <c r="GT142">
        <v>25.5541</v>
      </c>
      <c r="GU142">
        <v>999.9</v>
      </c>
      <c r="GV142">
        <v>38.6</v>
      </c>
      <c r="GW142">
        <v>33.9</v>
      </c>
      <c r="GX142">
        <v>22.7675</v>
      </c>
      <c r="GY142">
        <v>62.6476</v>
      </c>
      <c r="GZ142">
        <v>35.5369</v>
      </c>
      <c r="HA142">
        <v>1</v>
      </c>
      <c r="HB142">
        <v>0.137492</v>
      </c>
      <c r="HC142">
        <v>2.21763</v>
      </c>
      <c r="HD142">
        <v>20.3189</v>
      </c>
      <c r="HE142">
        <v>5.21684</v>
      </c>
      <c r="HF142">
        <v>12.0099</v>
      </c>
      <c r="HG142">
        <v>4.9889</v>
      </c>
      <c r="HH142">
        <v>3.28848</v>
      </c>
      <c r="HI142">
        <v>852.8</v>
      </c>
      <c r="HJ142">
        <v>8488.4</v>
      </c>
      <c r="HK142">
        <v>5139.4</v>
      </c>
      <c r="HL142">
        <v>22.9</v>
      </c>
      <c r="HM142">
        <v>1.86752</v>
      </c>
      <c r="HN142">
        <v>1.86646</v>
      </c>
      <c r="HO142">
        <v>1.866</v>
      </c>
      <c r="HP142">
        <v>1.86589</v>
      </c>
      <c r="HQ142">
        <v>1.86772</v>
      </c>
      <c r="HR142">
        <v>1.87027</v>
      </c>
      <c r="HS142">
        <v>1.8689</v>
      </c>
      <c r="HT142">
        <v>1.87027</v>
      </c>
      <c r="HU142">
        <v>0</v>
      </c>
      <c r="HV142">
        <v>0</v>
      </c>
      <c r="HW142">
        <v>0</v>
      </c>
      <c r="HX142">
        <v>0</v>
      </c>
      <c r="HY142" t="s">
        <v>421</v>
      </c>
      <c r="HZ142" t="s">
        <v>422</v>
      </c>
      <c r="IA142" t="s">
        <v>423</v>
      </c>
      <c r="IB142" t="s">
        <v>423</v>
      </c>
      <c r="IC142" t="s">
        <v>423</v>
      </c>
      <c r="ID142" t="s">
        <v>423</v>
      </c>
      <c r="IE142">
        <v>0</v>
      </c>
      <c r="IF142">
        <v>100</v>
      </c>
      <c r="IG142">
        <v>100</v>
      </c>
      <c r="IH142">
        <v>-1.883</v>
      </c>
      <c r="II142">
        <v>0.0066</v>
      </c>
      <c r="IJ142">
        <v>-0.4995723906072</v>
      </c>
      <c r="IK142">
        <v>-0.002077099775823331</v>
      </c>
      <c r="IL142">
        <v>4.593143279902166E-07</v>
      </c>
      <c r="IM142">
        <v>-1.865383991892071E-10</v>
      </c>
      <c r="IN142">
        <v>-0.07605349583632376</v>
      </c>
      <c r="IO142">
        <v>-0.01129461987421345</v>
      </c>
      <c r="IP142">
        <v>0.00116580895745559</v>
      </c>
      <c r="IQ142">
        <v>-1.679085872906199E-05</v>
      </c>
      <c r="IR142">
        <v>2</v>
      </c>
      <c r="IS142">
        <v>2290</v>
      </c>
      <c r="IT142">
        <v>0</v>
      </c>
      <c r="IU142">
        <v>32</v>
      </c>
      <c r="IV142">
        <v>8.6</v>
      </c>
      <c r="IW142">
        <v>8.300000000000001</v>
      </c>
      <c r="IX142">
        <v>1.78345</v>
      </c>
      <c r="IY142">
        <v>2.22534</v>
      </c>
      <c r="IZ142">
        <v>1.39648</v>
      </c>
      <c r="JA142">
        <v>2.3584</v>
      </c>
      <c r="JB142">
        <v>1.49536</v>
      </c>
      <c r="JC142">
        <v>2.29858</v>
      </c>
      <c r="JD142">
        <v>38.4279</v>
      </c>
      <c r="JE142">
        <v>24.035</v>
      </c>
      <c r="JF142">
        <v>18</v>
      </c>
      <c r="JG142">
        <v>515.145</v>
      </c>
      <c r="JH142">
        <v>423.302</v>
      </c>
      <c r="JI142">
        <v>22.6825</v>
      </c>
      <c r="JJ142">
        <v>29.111</v>
      </c>
      <c r="JK142">
        <v>30.0001</v>
      </c>
      <c r="JL142">
        <v>29.1124</v>
      </c>
      <c r="JM142">
        <v>29.0514</v>
      </c>
      <c r="JN142">
        <v>35.6849</v>
      </c>
      <c r="JO142">
        <v>56.5973</v>
      </c>
      <c r="JP142">
        <v>0</v>
      </c>
      <c r="JQ142">
        <v>22.673</v>
      </c>
      <c r="JR142">
        <v>835.033</v>
      </c>
      <c r="JS142">
        <v>8.59356</v>
      </c>
      <c r="JT142">
        <v>100.301</v>
      </c>
      <c r="JU142">
        <v>100.21</v>
      </c>
    </row>
    <row r="143" spans="1:281">
      <c r="A143">
        <v>127</v>
      </c>
      <c r="B143">
        <v>1651857538.6</v>
      </c>
      <c r="C143">
        <v>538</v>
      </c>
      <c r="D143" t="s">
        <v>681</v>
      </c>
      <c r="E143" t="s">
        <v>682</v>
      </c>
      <c r="F143">
        <v>2</v>
      </c>
      <c r="G143" t="s">
        <v>413</v>
      </c>
      <c r="H143" t="s">
        <v>414</v>
      </c>
      <c r="I143">
        <v>1651857537.6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819.2416646818153</v>
      </c>
      <c r="AK143">
        <v>770.9479575757573</v>
      </c>
      <c r="AL143">
        <v>3.391262505796172</v>
      </c>
      <c r="AM143">
        <v>66.38384787954378</v>
      </c>
      <c r="AN143">
        <f>(AP143 - AO143 + DI143*1E3/(8.314*(DK143+273.15)) * AR143/DH143 * AQ143) * DH143/(100*CV143) * 1000/(1000 - AP143)</f>
        <v>0</v>
      </c>
      <c r="AO143">
        <v>8.634441900813076</v>
      </c>
      <c r="AP143">
        <v>18.42827970588234</v>
      </c>
      <c r="AQ143">
        <v>-1.153017049973415E-05</v>
      </c>
      <c r="AR143">
        <v>80.44866334591464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417</v>
      </c>
      <c r="AY143" t="s">
        <v>417</v>
      </c>
      <c r="AZ143">
        <v>0</v>
      </c>
      <c r="BA143">
        <v>0</v>
      </c>
      <c r="BB143">
        <f>1-AZ143/BA143</f>
        <v>0</v>
      </c>
      <c r="BC143">
        <v>0</v>
      </c>
      <c r="BD143" t="s">
        <v>417</v>
      </c>
      <c r="BE143" t="s">
        <v>417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1238</v>
      </c>
      <c r="CA143">
        <v>300</v>
      </c>
      <c r="CB143">
        <v>300</v>
      </c>
      <c r="CC143">
        <v>300</v>
      </c>
      <c r="CD143">
        <v>10440.5</v>
      </c>
      <c r="CE143">
        <v>1411.69</v>
      </c>
      <c r="CF143">
        <v>-0.00735121</v>
      </c>
      <c r="CG143">
        <v>-0.77</v>
      </c>
      <c r="CH143" t="s">
        <v>417</v>
      </c>
      <c r="CI143" t="s">
        <v>417</v>
      </c>
      <c r="CJ143" t="s">
        <v>417</v>
      </c>
      <c r="CK143" t="s">
        <v>417</v>
      </c>
      <c r="CL143" t="s">
        <v>417</v>
      </c>
      <c r="CM143" t="s">
        <v>417</v>
      </c>
      <c r="CN143" t="s">
        <v>417</v>
      </c>
      <c r="CO143" t="s">
        <v>417</v>
      </c>
      <c r="CP143" t="s">
        <v>417</v>
      </c>
      <c r="CQ143" t="s">
        <v>417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418</v>
      </c>
      <c r="CY143">
        <v>2</v>
      </c>
      <c r="CZ143" t="b">
        <v>1</v>
      </c>
      <c r="DA143">
        <v>1651857537.6</v>
      </c>
      <c r="DB143">
        <v>755.0736666666667</v>
      </c>
      <c r="DC143">
        <v>817.9920000000001</v>
      </c>
      <c r="DD143">
        <v>18.42876666666666</v>
      </c>
      <c r="DE143">
        <v>8.6326</v>
      </c>
      <c r="DF143">
        <v>756.9636666666665</v>
      </c>
      <c r="DG143">
        <v>18.4222</v>
      </c>
      <c r="DH143">
        <v>500.049</v>
      </c>
      <c r="DI143">
        <v>90.08246666666668</v>
      </c>
      <c r="DJ143">
        <v>0.09994296666666667</v>
      </c>
      <c r="DK143">
        <v>25.76893333333334</v>
      </c>
      <c r="DL143">
        <v>25.00493333333334</v>
      </c>
      <c r="DM143">
        <v>999.9</v>
      </c>
      <c r="DN143">
        <v>0</v>
      </c>
      <c r="DO143">
        <v>0</v>
      </c>
      <c r="DP143">
        <v>10019.16666666667</v>
      </c>
      <c r="DQ143">
        <v>0</v>
      </c>
      <c r="DR143">
        <v>3.20383</v>
      </c>
      <c r="DS143">
        <v>-62.91806666666667</v>
      </c>
      <c r="DT143">
        <v>769.25</v>
      </c>
      <c r="DU143">
        <v>825.1146666666667</v>
      </c>
      <c r="DV143">
        <v>9.796150000000001</v>
      </c>
      <c r="DW143">
        <v>817.9920000000001</v>
      </c>
      <c r="DX143">
        <v>8.6326</v>
      </c>
      <c r="DY143">
        <v>1.660106666666667</v>
      </c>
      <c r="DZ143">
        <v>0.7776459999999999</v>
      </c>
      <c r="EA143">
        <v>14.52836666666667</v>
      </c>
      <c r="EB143">
        <v>3.305673333333333</v>
      </c>
      <c r="EC143">
        <v>1499.883333333333</v>
      </c>
      <c r="ED143">
        <v>0.9730036666666667</v>
      </c>
      <c r="EE143">
        <v>0.0269967</v>
      </c>
      <c r="EF143">
        <v>0</v>
      </c>
      <c r="EG143">
        <v>1036.3</v>
      </c>
      <c r="EH143">
        <v>5.00097</v>
      </c>
      <c r="EI143">
        <v>15385.73333333333</v>
      </c>
      <c r="EJ143">
        <v>12490.63333333333</v>
      </c>
      <c r="EK143">
        <v>37.5</v>
      </c>
      <c r="EL143">
        <v>39</v>
      </c>
      <c r="EM143">
        <v>37.875</v>
      </c>
      <c r="EN143">
        <v>38.75</v>
      </c>
      <c r="EO143">
        <v>38.375</v>
      </c>
      <c r="EP143">
        <v>1454.523333333333</v>
      </c>
      <c r="EQ143">
        <v>40.36</v>
      </c>
      <c r="ER143">
        <v>0</v>
      </c>
      <c r="ES143">
        <v>537.6000001430511</v>
      </c>
      <c r="ET143">
        <v>0</v>
      </c>
      <c r="EU143">
        <v>1039.4376</v>
      </c>
      <c r="EV143">
        <v>-30.2884615268448</v>
      </c>
      <c r="EW143">
        <v>-438.3076922618359</v>
      </c>
      <c r="EX143">
        <v>15433.568</v>
      </c>
      <c r="EY143">
        <v>15</v>
      </c>
      <c r="EZ143">
        <v>1651857041.1</v>
      </c>
      <c r="FA143" t="s">
        <v>419</v>
      </c>
      <c r="FB143">
        <v>1651857019.6</v>
      </c>
      <c r="FC143">
        <v>1651857041.1</v>
      </c>
      <c r="FD143">
        <v>1</v>
      </c>
      <c r="FE143">
        <v>0.545</v>
      </c>
      <c r="FF143">
        <v>-0.002</v>
      </c>
      <c r="FG143">
        <v>-1.271</v>
      </c>
      <c r="FH143">
        <v>-0.09</v>
      </c>
      <c r="FI143">
        <v>400</v>
      </c>
      <c r="FJ143">
        <v>10</v>
      </c>
      <c r="FK143">
        <v>0.1</v>
      </c>
      <c r="FL143">
        <v>0.02</v>
      </c>
      <c r="FM143">
        <v>-63.14156097560976</v>
      </c>
      <c r="FN143">
        <v>1.27760696864112</v>
      </c>
      <c r="FO143">
        <v>0.1337493704166605</v>
      </c>
      <c r="FP143">
        <v>-1</v>
      </c>
      <c r="FQ143">
        <v>9.804220975609757</v>
      </c>
      <c r="FR143">
        <v>-0.06646745644598064</v>
      </c>
      <c r="FS143">
        <v>0.006713393894653453</v>
      </c>
      <c r="FT143">
        <v>-1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0</v>
      </c>
      <c r="GA143" t="s">
        <v>432</v>
      </c>
      <c r="GB143">
        <v>2.97999</v>
      </c>
      <c r="GC143">
        <v>2.70622</v>
      </c>
      <c r="GD143">
        <v>0.142709</v>
      </c>
      <c r="GE143">
        <v>0.148665</v>
      </c>
      <c r="GF143">
        <v>0.0880211</v>
      </c>
      <c r="GG143">
        <v>0.0494439</v>
      </c>
      <c r="GH143">
        <v>27049.8</v>
      </c>
      <c r="GI143">
        <v>26919.5</v>
      </c>
      <c r="GJ143">
        <v>29341.9</v>
      </c>
      <c r="GK143">
        <v>29254.2</v>
      </c>
      <c r="GL143">
        <v>35436.3</v>
      </c>
      <c r="GM143">
        <v>37036</v>
      </c>
      <c r="GN143">
        <v>41302.6</v>
      </c>
      <c r="GO143">
        <v>41750.8</v>
      </c>
      <c r="GP143">
        <v>1.9553</v>
      </c>
      <c r="GQ143">
        <v>1.83512</v>
      </c>
      <c r="GR143">
        <v>-0.0333562</v>
      </c>
      <c r="GS143">
        <v>0</v>
      </c>
      <c r="GT143">
        <v>25.5541</v>
      </c>
      <c r="GU143">
        <v>999.9</v>
      </c>
      <c r="GV143">
        <v>38.6</v>
      </c>
      <c r="GW143">
        <v>33.9</v>
      </c>
      <c r="GX143">
        <v>22.7676</v>
      </c>
      <c r="GY143">
        <v>62.4476</v>
      </c>
      <c r="GZ143">
        <v>35.3486</v>
      </c>
      <c r="HA143">
        <v>1</v>
      </c>
      <c r="HB143">
        <v>0.137652</v>
      </c>
      <c r="HC143">
        <v>2.21908</v>
      </c>
      <c r="HD143">
        <v>20.3188</v>
      </c>
      <c r="HE143">
        <v>5.21699</v>
      </c>
      <c r="HF143">
        <v>12.0099</v>
      </c>
      <c r="HG143">
        <v>4.98895</v>
      </c>
      <c r="HH143">
        <v>3.2885</v>
      </c>
      <c r="HI143">
        <v>852.8</v>
      </c>
      <c r="HJ143">
        <v>8488.4</v>
      </c>
      <c r="HK143">
        <v>5139.4</v>
      </c>
      <c r="HL143">
        <v>22.9</v>
      </c>
      <c r="HM143">
        <v>1.86752</v>
      </c>
      <c r="HN143">
        <v>1.86646</v>
      </c>
      <c r="HO143">
        <v>1.866</v>
      </c>
      <c r="HP143">
        <v>1.86588</v>
      </c>
      <c r="HQ143">
        <v>1.86771</v>
      </c>
      <c r="HR143">
        <v>1.87027</v>
      </c>
      <c r="HS143">
        <v>1.8689</v>
      </c>
      <c r="HT143">
        <v>1.87027</v>
      </c>
      <c r="HU143">
        <v>0</v>
      </c>
      <c r="HV143">
        <v>0</v>
      </c>
      <c r="HW143">
        <v>0</v>
      </c>
      <c r="HX143">
        <v>0</v>
      </c>
      <c r="HY143" t="s">
        <v>421</v>
      </c>
      <c r="HZ143" t="s">
        <v>422</v>
      </c>
      <c r="IA143" t="s">
        <v>423</v>
      </c>
      <c r="IB143" t="s">
        <v>423</v>
      </c>
      <c r="IC143" t="s">
        <v>423</v>
      </c>
      <c r="ID143" t="s">
        <v>423</v>
      </c>
      <c r="IE143">
        <v>0</v>
      </c>
      <c r="IF143">
        <v>100</v>
      </c>
      <c r="IG143">
        <v>100</v>
      </c>
      <c r="IH143">
        <v>-1.896</v>
      </c>
      <c r="II143">
        <v>0.0065</v>
      </c>
      <c r="IJ143">
        <v>-0.4995723906072</v>
      </c>
      <c r="IK143">
        <v>-0.002077099775823331</v>
      </c>
      <c r="IL143">
        <v>4.593143279902166E-07</v>
      </c>
      <c r="IM143">
        <v>-1.865383991892071E-10</v>
      </c>
      <c r="IN143">
        <v>-0.07605349583632376</v>
      </c>
      <c r="IO143">
        <v>-0.01129461987421345</v>
      </c>
      <c r="IP143">
        <v>0.00116580895745559</v>
      </c>
      <c r="IQ143">
        <v>-1.679085872906199E-05</v>
      </c>
      <c r="IR143">
        <v>2</v>
      </c>
      <c r="IS143">
        <v>2290</v>
      </c>
      <c r="IT143">
        <v>0</v>
      </c>
      <c r="IU143">
        <v>32</v>
      </c>
      <c r="IV143">
        <v>8.699999999999999</v>
      </c>
      <c r="IW143">
        <v>8.300000000000001</v>
      </c>
      <c r="IX143">
        <v>1.79443</v>
      </c>
      <c r="IY143">
        <v>2.21069</v>
      </c>
      <c r="IZ143">
        <v>1.39648</v>
      </c>
      <c r="JA143">
        <v>2.35962</v>
      </c>
      <c r="JB143">
        <v>1.49536</v>
      </c>
      <c r="JC143">
        <v>2.35107</v>
      </c>
      <c r="JD143">
        <v>38.4279</v>
      </c>
      <c r="JE143">
        <v>24.0437</v>
      </c>
      <c r="JF143">
        <v>18</v>
      </c>
      <c r="JG143">
        <v>514.996</v>
      </c>
      <c r="JH143">
        <v>423.362</v>
      </c>
      <c r="JI143">
        <v>22.6778</v>
      </c>
      <c r="JJ143">
        <v>29.1097</v>
      </c>
      <c r="JK143">
        <v>30.0002</v>
      </c>
      <c r="JL143">
        <v>29.1124</v>
      </c>
      <c r="JM143">
        <v>29.0514</v>
      </c>
      <c r="JN143">
        <v>35.9161</v>
      </c>
      <c r="JO143">
        <v>56.5973</v>
      </c>
      <c r="JP143">
        <v>0</v>
      </c>
      <c r="JQ143">
        <v>22.6672</v>
      </c>
      <c r="JR143">
        <v>841.729</v>
      </c>
      <c r="JS143">
        <v>8.59385</v>
      </c>
      <c r="JT143">
        <v>100.3</v>
      </c>
      <c r="JU143">
        <v>100.209</v>
      </c>
    </row>
    <row r="144" spans="1:281">
      <c r="A144">
        <v>128</v>
      </c>
      <c r="B144">
        <v>1651857540.6</v>
      </c>
      <c r="C144">
        <v>540</v>
      </c>
      <c r="D144" t="s">
        <v>683</v>
      </c>
      <c r="E144" t="s">
        <v>684</v>
      </c>
      <c r="F144">
        <v>2</v>
      </c>
      <c r="G144" t="s">
        <v>413</v>
      </c>
      <c r="H144" t="s">
        <v>414</v>
      </c>
      <c r="I144">
        <v>1651857539.225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825.8805035103693</v>
      </c>
      <c r="AK144">
        <v>777.7952242424243</v>
      </c>
      <c r="AL144">
        <v>3.415069871611706</v>
      </c>
      <c r="AM144">
        <v>66.38384787954378</v>
      </c>
      <c r="AN144">
        <f>(AP144 - AO144 + DI144*1E3/(8.314*(DK144+273.15)) * AR144/DH144 * AQ144) * DH144/(100*CV144) * 1000/(1000 - AP144)</f>
        <v>0</v>
      </c>
      <c r="AO144">
        <v>8.633381597305984</v>
      </c>
      <c r="AP144">
        <v>18.42931176470588</v>
      </c>
      <c r="AQ144">
        <v>-2.142887028522596E-05</v>
      </c>
      <c r="AR144">
        <v>80.44866334591464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417</v>
      </c>
      <c r="AY144" t="s">
        <v>417</v>
      </c>
      <c r="AZ144">
        <v>0</v>
      </c>
      <c r="BA144">
        <v>0</v>
      </c>
      <c r="BB144">
        <f>1-AZ144/BA144</f>
        <v>0</v>
      </c>
      <c r="BC144">
        <v>0</v>
      </c>
      <c r="BD144" t="s">
        <v>417</v>
      </c>
      <c r="BE144" t="s">
        <v>417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1238</v>
      </c>
      <c r="CA144">
        <v>300</v>
      </c>
      <c r="CB144">
        <v>300</v>
      </c>
      <c r="CC144">
        <v>300</v>
      </c>
      <c r="CD144">
        <v>10440.5</v>
      </c>
      <c r="CE144">
        <v>1411.69</v>
      </c>
      <c r="CF144">
        <v>-0.00735121</v>
      </c>
      <c r="CG144">
        <v>-0.77</v>
      </c>
      <c r="CH144" t="s">
        <v>417</v>
      </c>
      <c r="CI144" t="s">
        <v>417</v>
      </c>
      <c r="CJ144" t="s">
        <v>417</v>
      </c>
      <c r="CK144" t="s">
        <v>417</v>
      </c>
      <c r="CL144" t="s">
        <v>417</v>
      </c>
      <c r="CM144" t="s">
        <v>417</v>
      </c>
      <c r="CN144" t="s">
        <v>417</v>
      </c>
      <c r="CO144" t="s">
        <v>417</v>
      </c>
      <c r="CP144" t="s">
        <v>417</v>
      </c>
      <c r="CQ144" t="s">
        <v>417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418</v>
      </c>
      <c r="CY144">
        <v>2</v>
      </c>
      <c r="CZ144" t="b">
        <v>1</v>
      </c>
      <c r="DA144">
        <v>1651857539.225</v>
      </c>
      <c r="DB144">
        <v>760.5195000000001</v>
      </c>
      <c r="DC144">
        <v>823.4902499999999</v>
      </c>
      <c r="DD144">
        <v>18.42915</v>
      </c>
      <c r="DE144">
        <v>8.6327075</v>
      </c>
      <c r="DF144">
        <v>762.4185</v>
      </c>
      <c r="DG144">
        <v>18.4226</v>
      </c>
      <c r="DH144">
        <v>500.03275</v>
      </c>
      <c r="DI144">
        <v>90.081025</v>
      </c>
      <c r="DJ144">
        <v>0.099918725</v>
      </c>
      <c r="DK144">
        <v>25.7696</v>
      </c>
      <c r="DL144">
        <v>25.004175</v>
      </c>
      <c r="DM144">
        <v>999.9</v>
      </c>
      <c r="DN144">
        <v>0</v>
      </c>
      <c r="DO144">
        <v>0</v>
      </c>
      <c r="DP144">
        <v>10017.975</v>
      </c>
      <c r="DQ144">
        <v>0</v>
      </c>
      <c r="DR144">
        <v>3.20383</v>
      </c>
      <c r="DS144">
        <v>-62.97085</v>
      </c>
      <c r="DT144">
        <v>774.7982500000001</v>
      </c>
      <c r="DU144">
        <v>830.6610000000001</v>
      </c>
      <c r="DV144">
        <v>9.796445</v>
      </c>
      <c r="DW144">
        <v>823.4902499999999</v>
      </c>
      <c r="DX144">
        <v>8.6327075</v>
      </c>
      <c r="DY144">
        <v>1.6601175</v>
      </c>
      <c r="DZ144">
        <v>0.777643</v>
      </c>
      <c r="EA144">
        <v>14.528425</v>
      </c>
      <c r="EB144">
        <v>3.3056225</v>
      </c>
      <c r="EC144">
        <v>1500.01</v>
      </c>
      <c r="ED144">
        <v>0.97300575</v>
      </c>
      <c r="EE144">
        <v>0.02699445</v>
      </c>
      <c r="EF144">
        <v>0</v>
      </c>
      <c r="EG144">
        <v>1035.3275</v>
      </c>
      <c r="EH144">
        <v>5.00097</v>
      </c>
      <c r="EI144">
        <v>15374.3</v>
      </c>
      <c r="EJ144">
        <v>12491.725</v>
      </c>
      <c r="EK144">
        <v>37.5</v>
      </c>
      <c r="EL144">
        <v>39</v>
      </c>
      <c r="EM144">
        <v>37.875</v>
      </c>
      <c r="EN144">
        <v>38.75</v>
      </c>
      <c r="EO144">
        <v>38.375</v>
      </c>
      <c r="EP144">
        <v>1454.65</v>
      </c>
      <c r="EQ144">
        <v>40.36</v>
      </c>
      <c r="ER144">
        <v>0</v>
      </c>
      <c r="ES144">
        <v>539.4000000953674</v>
      </c>
      <c r="ET144">
        <v>0</v>
      </c>
      <c r="EU144">
        <v>1038.664230769231</v>
      </c>
      <c r="EV144">
        <v>-30.71145294435798</v>
      </c>
      <c r="EW144">
        <v>-445.1589737150856</v>
      </c>
      <c r="EX144">
        <v>15422.48846153846</v>
      </c>
      <c r="EY144">
        <v>15</v>
      </c>
      <c r="EZ144">
        <v>1651857041.1</v>
      </c>
      <c r="FA144" t="s">
        <v>419</v>
      </c>
      <c r="FB144">
        <v>1651857019.6</v>
      </c>
      <c r="FC144">
        <v>1651857041.1</v>
      </c>
      <c r="FD144">
        <v>1</v>
      </c>
      <c r="FE144">
        <v>0.545</v>
      </c>
      <c r="FF144">
        <v>-0.002</v>
      </c>
      <c r="FG144">
        <v>-1.271</v>
      </c>
      <c r="FH144">
        <v>-0.09</v>
      </c>
      <c r="FI144">
        <v>400</v>
      </c>
      <c r="FJ144">
        <v>10</v>
      </c>
      <c r="FK144">
        <v>0.1</v>
      </c>
      <c r="FL144">
        <v>0.02</v>
      </c>
      <c r="FM144">
        <v>-63.110465</v>
      </c>
      <c r="FN144">
        <v>1.33521050656688</v>
      </c>
      <c r="FO144">
        <v>0.1349029124036986</v>
      </c>
      <c r="FP144">
        <v>-1</v>
      </c>
      <c r="FQ144">
        <v>9.8026</v>
      </c>
      <c r="FR144">
        <v>-0.05911429643529723</v>
      </c>
      <c r="FS144">
        <v>0.005983925968793277</v>
      </c>
      <c r="FT144">
        <v>-1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0</v>
      </c>
      <c r="GA144" t="s">
        <v>432</v>
      </c>
      <c r="GB144">
        <v>2.98001</v>
      </c>
      <c r="GC144">
        <v>2.70623</v>
      </c>
      <c r="GD144">
        <v>0.14356</v>
      </c>
      <c r="GE144">
        <v>0.149488</v>
      </c>
      <c r="GF144">
        <v>0.0880049</v>
      </c>
      <c r="GG144">
        <v>0.0494428</v>
      </c>
      <c r="GH144">
        <v>27023</v>
      </c>
      <c r="GI144">
        <v>26893.6</v>
      </c>
      <c r="GJ144">
        <v>29341.9</v>
      </c>
      <c r="GK144">
        <v>29254.3</v>
      </c>
      <c r="GL144">
        <v>35437</v>
      </c>
      <c r="GM144">
        <v>37036.1</v>
      </c>
      <c r="GN144">
        <v>41302.7</v>
      </c>
      <c r="GO144">
        <v>41750.9</v>
      </c>
      <c r="GP144">
        <v>1.95538</v>
      </c>
      <c r="GQ144">
        <v>1.8352</v>
      </c>
      <c r="GR144">
        <v>-0.0336841</v>
      </c>
      <c r="GS144">
        <v>0</v>
      </c>
      <c r="GT144">
        <v>25.5541</v>
      </c>
      <c r="GU144">
        <v>999.9</v>
      </c>
      <c r="GV144">
        <v>38.6</v>
      </c>
      <c r="GW144">
        <v>33.9</v>
      </c>
      <c r="GX144">
        <v>22.7698</v>
      </c>
      <c r="GY144">
        <v>62.2776</v>
      </c>
      <c r="GZ144">
        <v>35.4127</v>
      </c>
      <c r="HA144">
        <v>1</v>
      </c>
      <c r="HB144">
        <v>0.137597</v>
      </c>
      <c r="HC144">
        <v>2.22611</v>
      </c>
      <c r="HD144">
        <v>20.3187</v>
      </c>
      <c r="HE144">
        <v>5.21684</v>
      </c>
      <c r="HF144">
        <v>12.0099</v>
      </c>
      <c r="HG144">
        <v>4.98885</v>
      </c>
      <c r="HH144">
        <v>3.2885</v>
      </c>
      <c r="HI144">
        <v>853</v>
      </c>
      <c r="HJ144">
        <v>8490.700000000001</v>
      </c>
      <c r="HK144">
        <v>5139.4</v>
      </c>
      <c r="HL144">
        <v>22.9</v>
      </c>
      <c r="HM144">
        <v>1.86752</v>
      </c>
      <c r="HN144">
        <v>1.86646</v>
      </c>
      <c r="HO144">
        <v>1.866</v>
      </c>
      <c r="HP144">
        <v>1.86588</v>
      </c>
      <c r="HQ144">
        <v>1.86771</v>
      </c>
      <c r="HR144">
        <v>1.87027</v>
      </c>
      <c r="HS144">
        <v>1.8689</v>
      </c>
      <c r="HT144">
        <v>1.87027</v>
      </c>
      <c r="HU144">
        <v>0</v>
      </c>
      <c r="HV144">
        <v>0</v>
      </c>
      <c r="HW144">
        <v>0</v>
      </c>
      <c r="HX144">
        <v>0</v>
      </c>
      <c r="HY144" t="s">
        <v>421</v>
      </c>
      <c r="HZ144" t="s">
        <v>422</v>
      </c>
      <c r="IA144" t="s">
        <v>423</v>
      </c>
      <c r="IB144" t="s">
        <v>423</v>
      </c>
      <c r="IC144" t="s">
        <v>423</v>
      </c>
      <c r="ID144" t="s">
        <v>423</v>
      </c>
      <c r="IE144">
        <v>0</v>
      </c>
      <c r="IF144">
        <v>100</v>
      </c>
      <c r="IG144">
        <v>100</v>
      </c>
      <c r="IH144">
        <v>-1.907</v>
      </c>
      <c r="II144">
        <v>0.0065</v>
      </c>
      <c r="IJ144">
        <v>-0.4995723906072</v>
      </c>
      <c r="IK144">
        <v>-0.002077099775823331</v>
      </c>
      <c r="IL144">
        <v>4.593143279902166E-07</v>
      </c>
      <c r="IM144">
        <v>-1.865383991892071E-10</v>
      </c>
      <c r="IN144">
        <v>-0.07605349583632376</v>
      </c>
      <c r="IO144">
        <v>-0.01129461987421345</v>
      </c>
      <c r="IP144">
        <v>0.00116580895745559</v>
      </c>
      <c r="IQ144">
        <v>-1.679085872906199E-05</v>
      </c>
      <c r="IR144">
        <v>2</v>
      </c>
      <c r="IS144">
        <v>2290</v>
      </c>
      <c r="IT144">
        <v>0</v>
      </c>
      <c r="IU144">
        <v>32</v>
      </c>
      <c r="IV144">
        <v>8.699999999999999</v>
      </c>
      <c r="IW144">
        <v>8.300000000000001</v>
      </c>
      <c r="IX144">
        <v>1.80542</v>
      </c>
      <c r="IY144">
        <v>2.22412</v>
      </c>
      <c r="IZ144">
        <v>1.39648</v>
      </c>
      <c r="JA144">
        <v>2.35962</v>
      </c>
      <c r="JB144">
        <v>1.49536</v>
      </c>
      <c r="JC144">
        <v>2.27783</v>
      </c>
      <c r="JD144">
        <v>38.4279</v>
      </c>
      <c r="JE144">
        <v>24.035</v>
      </c>
      <c r="JF144">
        <v>18</v>
      </c>
      <c r="JG144">
        <v>515.045</v>
      </c>
      <c r="JH144">
        <v>423.407</v>
      </c>
      <c r="JI144">
        <v>22.6743</v>
      </c>
      <c r="JJ144">
        <v>29.1086</v>
      </c>
      <c r="JK144">
        <v>30.0001</v>
      </c>
      <c r="JL144">
        <v>29.1122</v>
      </c>
      <c r="JM144">
        <v>29.0514</v>
      </c>
      <c r="JN144">
        <v>36.1454</v>
      </c>
      <c r="JO144">
        <v>56.5973</v>
      </c>
      <c r="JP144">
        <v>0</v>
      </c>
      <c r="JQ144">
        <v>22.6672</v>
      </c>
      <c r="JR144">
        <v>848.408</v>
      </c>
      <c r="JS144">
        <v>8.593719999999999</v>
      </c>
      <c r="JT144">
        <v>100.3</v>
      </c>
      <c r="JU144">
        <v>100.209</v>
      </c>
    </row>
    <row r="145" spans="1:281">
      <c r="A145">
        <v>129</v>
      </c>
      <c r="B145">
        <v>1651857542.6</v>
      </c>
      <c r="C145">
        <v>542</v>
      </c>
      <c r="D145" t="s">
        <v>685</v>
      </c>
      <c r="E145" t="s">
        <v>686</v>
      </c>
      <c r="F145">
        <v>2</v>
      </c>
      <c r="G145" t="s">
        <v>413</v>
      </c>
      <c r="H145" t="s">
        <v>414</v>
      </c>
      <c r="I145">
        <v>1651857541.6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832.760218384891</v>
      </c>
      <c r="AK145">
        <v>784.6740121212121</v>
      </c>
      <c r="AL145">
        <v>3.434632589657154</v>
      </c>
      <c r="AM145">
        <v>66.38384787954378</v>
      </c>
      <c r="AN145">
        <f>(AP145 - AO145 + DI145*1E3/(8.314*(DK145+273.15)) * AR145/DH145 * AQ145) * DH145/(100*CV145) * 1000/(1000 - AP145)</f>
        <v>0</v>
      </c>
      <c r="AO145">
        <v>8.632580509834392</v>
      </c>
      <c r="AP145">
        <v>18.422375</v>
      </c>
      <c r="AQ145">
        <v>1.878140836105024E-05</v>
      </c>
      <c r="AR145">
        <v>80.44866334591464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417</v>
      </c>
      <c r="AY145" t="s">
        <v>417</v>
      </c>
      <c r="AZ145">
        <v>0</v>
      </c>
      <c r="BA145">
        <v>0</v>
      </c>
      <c r="BB145">
        <f>1-AZ145/BA145</f>
        <v>0</v>
      </c>
      <c r="BC145">
        <v>0</v>
      </c>
      <c r="BD145" t="s">
        <v>417</v>
      </c>
      <c r="BE145" t="s">
        <v>417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1238</v>
      </c>
      <c r="CA145">
        <v>300</v>
      </c>
      <c r="CB145">
        <v>300</v>
      </c>
      <c r="CC145">
        <v>300</v>
      </c>
      <c r="CD145">
        <v>10440.5</v>
      </c>
      <c r="CE145">
        <v>1411.69</v>
      </c>
      <c r="CF145">
        <v>-0.00735121</v>
      </c>
      <c r="CG145">
        <v>-0.77</v>
      </c>
      <c r="CH145" t="s">
        <v>417</v>
      </c>
      <c r="CI145" t="s">
        <v>417</v>
      </c>
      <c r="CJ145" t="s">
        <v>417</v>
      </c>
      <c r="CK145" t="s">
        <v>417</v>
      </c>
      <c r="CL145" t="s">
        <v>417</v>
      </c>
      <c r="CM145" t="s">
        <v>417</v>
      </c>
      <c r="CN145" t="s">
        <v>417</v>
      </c>
      <c r="CO145" t="s">
        <v>417</v>
      </c>
      <c r="CP145" t="s">
        <v>417</v>
      </c>
      <c r="CQ145" t="s">
        <v>417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418</v>
      </c>
      <c r="CY145">
        <v>2</v>
      </c>
      <c r="CZ145" t="b">
        <v>1</v>
      </c>
      <c r="DA145">
        <v>1651857541.6</v>
      </c>
      <c r="DB145">
        <v>768.5309999999999</v>
      </c>
      <c r="DC145">
        <v>831.6066666666666</v>
      </c>
      <c r="DD145">
        <v>18.42356666666667</v>
      </c>
      <c r="DE145">
        <v>8.633603333333333</v>
      </c>
      <c r="DF145">
        <v>770.4433333333333</v>
      </c>
      <c r="DG145">
        <v>18.41706666666667</v>
      </c>
      <c r="DH145">
        <v>500.031</v>
      </c>
      <c r="DI145">
        <v>90.07846666666667</v>
      </c>
      <c r="DJ145">
        <v>0.1000726666666667</v>
      </c>
      <c r="DK145">
        <v>25.77156666666667</v>
      </c>
      <c r="DL145">
        <v>25.00396666666667</v>
      </c>
      <c r="DM145">
        <v>999.9</v>
      </c>
      <c r="DN145">
        <v>0</v>
      </c>
      <c r="DO145">
        <v>0</v>
      </c>
      <c r="DP145">
        <v>10000</v>
      </c>
      <c r="DQ145">
        <v>0</v>
      </c>
      <c r="DR145">
        <v>3.20383</v>
      </c>
      <c r="DS145">
        <v>-63.07579999999999</v>
      </c>
      <c r="DT145">
        <v>782.956</v>
      </c>
      <c r="DU145">
        <v>838.849</v>
      </c>
      <c r="DV145">
        <v>9.789946666666667</v>
      </c>
      <c r="DW145">
        <v>831.6066666666666</v>
      </c>
      <c r="DX145">
        <v>8.633603333333333</v>
      </c>
      <c r="DY145">
        <v>1.659563333333334</v>
      </c>
      <c r="DZ145">
        <v>0.7777013333333334</v>
      </c>
      <c r="EA145">
        <v>14.5233</v>
      </c>
      <c r="EB145">
        <v>3.306683333333333</v>
      </c>
      <c r="EC145">
        <v>1499.89</v>
      </c>
      <c r="ED145">
        <v>0.9730036666666667</v>
      </c>
      <c r="EE145">
        <v>0.0269967</v>
      </c>
      <c r="EF145">
        <v>0</v>
      </c>
      <c r="EG145">
        <v>1034.213333333333</v>
      </c>
      <c r="EH145">
        <v>5.00097</v>
      </c>
      <c r="EI145">
        <v>15352.66666666667</v>
      </c>
      <c r="EJ145">
        <v>12490.63333333333</v>
      </c>
      <c r="EK145">
        <v>37.5</v>
      </c>
      <c r="EL145">
        <v>39</v>
      </c>
      <c r="EM145">
        <v>37.875</v>
      </c>
      <c r="EN145">
        <v>38.75</v>
      </c>
      <c r="EO145">
        <v>38.375</v>
      </c>
      <c r="EP145">
        <v>1454.53</v>
      </c>
      <c r="EQ145">
        <v>40.36</v>
      </c>
      <c r="ER145">
        <v>0</v>
      </c>
      <c r="ES145">
        <v>541.8000001907349</v>
      </c>
      <c r="ET145">
        <v>0</v>
      </c>
      <c r="EU145">
        <v>1037.463461538462</v>
      </c>
      <c r="EV145">
        <v>-32.16649573033332</v>
      </c>
      <c r="EW145">
        <v>-464.5059829031038</v>
      </c>
      <c r="EX145">
        <v>15404.08461538462</v>
      </c>
      <c r="EY145">
        <v>15</v>
      </c>
      <c r="EZ145">
        <v>1651857041.1</v>
      </c>
      <c r="FA145" t="s">
        <v>419</v>
      </c>
      <c r="FB145">
        <v>1651857019.6</v>
      </c>
      <c r="FC145">
        <v>1651857041.1</v>
      </c>
      <c r="FD145">
        <v>1</v>
      </c>
      <c r="FE145">
        <v>0.545</v>
      </c>
      <c r="FF145">
        <v>-0.002</v>
      </c>
      <c r="FG145">
        <v>-1.271</v>
      </c>
      <c r="FH145">
        <v>-0.09</v>
      </c>
      <c r="FI145">
        <v>400</v>
      </c>
      <c r="FJ145">
        <v>10</v>
      </c>
      <c r="FK145">
        <v>0.1</v>
      </c>
      <c r="FL145">
        <v>0.02</v>
      </c>
      <c r="FM145">
        <v>-63.07618292682927</v>
      </c>
      <c r="FN145">
        <v>0.8524264808360824</v>
      </c>
      <c r="FO145">
        <v>0.100594748208062</v>
      </c>
      <c r="FP145">
        <v>-1</v>
      </c>
      <c r="FQ145">
        <v>9.800400243902439</v>
      </c>
      <c r="FR145">
        <v>-0.05203003484321579</v>
      </c>
      <c r="FS145">
        <v>0.005432161447277777</v>
      </c>
      <c r="FT145">
        <v>-1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0</v>
      </c>
      <c r="GA145" t="s">
        <v>432</v>
      </c>
      <c r="GB145">
        <v>2.97991</v>
      </c>
      <c r="GC145">
        <v>2.70626</v>
      </c>
      <c r="GD145">
        <v>0.144404</v>
      </c>
      <c r="GE145">
        <v>0.150291</v>
      </c>
      <c r="GF145">
        <v>0.0879814</v>
      </c>
      <c r="GG145">
        <v>0.0494461</v>
      </c>
      <c r="GH145">
        <v>26996.1</v>
      </c>
      <c r="GI145">
        <v>26868.5</v>
      </c>
      <c r="GJ145">
        <v>29341.6</v>
      </c>
      <c r="GK145">
        <v>29254.6</v>
      </c>
      <c r="GL145">
        <v>35437.7</v>
      </c>
      <c r="GM145">
        <v>37036.4</v>
      </c>
      <c r="GN145">
        <v>41302.4</v>
      </c>
      <c r="GO145">
        <v>41751.3</v>
      </c>
      <c r="GP145">
        <v>1.95557</v>
      </c>
      <c r="GQ145">
        <v>1.8354</v>
      </c>
      <c r="GR145">
        <v>-0.0336021</v>
      </c>
      <c r="GS145">
        <v>0</v>
      </c>
      <c r="GT145">
        <v>25.5552</v>
      </c>
      <c r="GU145">
        <v>999.9</v>
      </c>
      <c r="GV145">
        <v>38.6</v>
      </c>
      <c r="GW145">
        <v>33.9</v>
      </c>
      <c r="GX145">
        <v>22.7682</v>
      </c>
      <c r="GY145">
        <v>62.1676</v>
      </c>
      <c r="GZ145">
        <v>35.5849</v>
      </c>
      <c r="HA145">
        <v>1</v>
      </c>
      <c r="HB145">
        <v>0.137713</v>
      </c>
      <c r="HC145">
        <v>2.22871</v>
      </c>
      <c r="HD145">
        <v>20.319</v>
      </c>
      <c r="HE145">
        <v>5.21684</v>
      </c>
      <c r="HF145">
        <v>12.0099</v>
      </c>
      <c r="HG145">
        <v>4.98875</v>
      </c>
      <c r="HH145">
        <v>3.2885</v>
      </c>
      <c r="HI145">
        <v>853</v>
      </c>
      <c r="HJ145">
        <v>8490.700000000001</v>
      </c>
      <c r="HK145">
        <v>5139.4</v>
      </c>
      <c r="HL145">
        <v>22.9</v>
      </c>
      <c r="HM145">
        <v>1.86752</v>
      </c>
      <c r="HN145">
        <v>1.86647</v>
      </c>
      <c r="HO145">
        <v>1.86601</v>
      </c>
      <c r="HP145">
        <v>1.86588</v>
      </c>
      <c r="HQ145">
        <v>1.86771</v>
      </c>
      <c r="HR145">
        <v>1.87027</v>
      </c>
      <c r="HS145">
        <v>1.8689</v>
      </c>
      <c r="HT145">
        <v>1.87027</v>
      </c>
      <c r="HU145">
        <v>0</v>
      </c>
      <c r="HV145">
        <v>0</v>
      </c>
      <c r="HW145">
        <v>0</v>
      </c>
      <c r="HX145">
        <v>0</v>
      </c>
      <c r="HY145" t="s">
        <v>421</v>
      </c>
      <c r="HZ145" t="s">
        <v>422</v>
      </c>
      <c r="IA145" t="s">
        <v>423</v>
      </c>
      <c r="IB145" t="s">
        <v>423</v>
      </c>
      <c r="IC145" t="s">
        <v>423</v>
      </c>
      <c r="ID145" t="s">
        <v>423</v>
      </c>
      <c r="IE145">
        <v>0</v>
      </c>
      <c r="IF145">
        <v>100</v>
      </c>
      <c r="IG145">
        <v>100</v>
      </c>
      <c r="IH145">
        <v>-1.918</v>
      </c>
      <c r="II145">
        <v>0.0064</v>
      </c>
      <c r="IJ145">
        <v>-0.4995723906072</v>
      </c>
      <c r="IK145">
        <v>-0.002077099775823331</v>
      </c>
      <c r="IL145">
        <v>4.593143279902166E-07</v>
      </c>
      <c r="IM145">
        <v>-1.865383991892071E-10</v>
      </c>
      <c r="IN145">
        <v>-0.07605349583632376</v>
      </c>
      <c r="IO145">
        <v>-0.01129461987421345</v>
      </c>
      <c r="IP145">
        <v>0.00116580895745559</v>
      </c>
      <c r="IQ145">
        <v>-1.679085872906199E-05</v>
      </c>
      <c r="IR145">
        <v>2</v>
      </c>
      <c r="IS145">
        <v>2290</v>
      </c>
      <c r="IT145">
        <v>0</v>
      </c>
      <c r="IU145">
        <v>32</v>
      </c>
      <c r="IV145">
        <v>8.699999999999999</v>
      </c>
      <c r="IW145">
        <v>8.4</v>
      </c>
      <c r="IX145">
        <v>1.81763</v>
      </c>
      <c r="IY145">
        <v>2.2168</v>
      </c>
      <c r="IZ145">
        <v>1.39648</v>
      </c>
      <c r="JA145">
        <v>2.35962</v>
      </c>
      <c r="JB145">
        <v>1.49536</v>
      </c>
      <c r="JC145">
        <v>2.35474</v>
      </c>
      <c r="JD145">
        <v>38.4279</v>
      </c>
      <c r="JE145">
        <v>24.0437</v>
      </c>
      <c r="JF145">
        <v>18</v>
      </c>
      <c r="JG145">
        <v>515.1660000000001</v>
      </c>
      <c r="JH145">
        <v>423.526</v>
      </c>
      <c r="JI145">
        <v>22.6708</v>
      </c>
      <c r="JJ145">
        <v>29.1086</v>
      </c>
      <c r="JK145">
        <v>30.0001</v>
      </c>
      <c r="JL145">
        <v>29.111</v>
      </c>
      <c r="JM145">
        <v>29.0514</v>
      </c>
      <c r="JN145">
        <v>36.3771</v>
      </c>
      <c r="JO145">
        <v>56.5973</v>
      </c>
      <c r="JP145">
        <v>0</v>
      </c>
      <c r="JQ145">
        <v>22.6672</v>
      </c>
      <c r="JR145">
        <v>855.085</v>
      </c>
      <c r="JS145">
        <v>8.593719999999999</v>
      </c>
      <c r="JT145">
        <v>100.3</v>
      </c>
      <c r="JU145">
        <v>100.21</v>
      </c>
    </row>
    <row r="146" spans="1:281">
      <c r="A146">
        <v>130</v>
      </c>
      <c r="B146">
        <v>1651857544.6</v>
      </c>
      <c r="C146">
        <v>544</v>
      </c>
      <c r="D146" t="s">
        <v>687</v>
      </c>
      <c r="E146" t="s">
        <v>688</v>
      </c>
      <c r="F146">
        <v>2</v>
      </c>
      <c r="G146" t="s">
        <v>413</v>
      </c>
      <c r="H146" t="s">
        <v>414</v>
      </c>
      <c r="I146">
        <v>1651857543.225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839.6325997466118</v>
      </c>
      <c r="AK146">
        <v>791.5391636363637</v>
      </c>
      <c r="AL146">
        <v>3.433174844908926</v>
      </c>
      <c r="AM146">
        <v>66.38384787954378</v>
      </c>
      <c r="AN146">
        <f>(AP146 - AO146 + DI146*1E3/(8.314*(DK146+273.15)) * AR146/DH146 * AQ146) * DH146/(100*CV146) * 1000/(1000 - AP146)</f>
        <v>0</v>
      </c>
      <c r="AO146">
        <v>8.632951364836726</v>
      </c>
      <c r="AP146">
        <v>18.41502764705881</v>
      </c>
      <c r="AQ146">
        <v>-7.978928699079149E-07</v>
      </c>
      <c r="AR146">
        <v>80.44866334591464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417</v>
      </c>
      <c r="AY146" t="s">
        <v>417</v>
      </c>
      <c r="AZ146">
        <v>0</v>
      </c>
      <c r="BA146">
        <v>0</v>
      </c>
      <c r="BB146">
        <f>1-AZ146/BA146</f>
        <v>0</v>
      </c>
      <c r="BC146">
        <v>0</v>
      </c>
      <c r="BD146" t="s">
        <v>417</v>
      </c>
      <c r="BE146" t="s">
        <v>417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1238</v>
      </c>
      <c r="CA146">
        <v>300</v>
      </c>
      <c r="CB146">
        <v>300</v>
      </c>
      <c r="CC146">
        <v>300</v>
      </c>
      <c r="CD146">
        <v>10440.5</v>
      </c>
      <c r="CE146">
        <v>1411.69</v>
      </c>
      <c r="CF146">
        <v>-0.00735121</v>
      </c>
      <c r="CG146">
        <v>-0.77</v>
      </c>
      <c r="CH146" t="s">
        <v>417</v>
      </c>
      <c r="CI146" t="s">
        <v>417</v>
      </c>
      <c r="CJ146" t="s">
        <v>417</v>
      </c>
      <c r="CK146" t="s">
        <v>417</v>
      </c>
      <c r="CL146" t="s">
        <v>417</v>
      </c>
      <c r="CM146" t="s">
        <v>417</v>
      </c>
      <c r="CN146" t="s">
        <v>417</v>
      </c>
      <c r="CO146" t="s">
        <v>417</v>
      </c>
      <c r="CP146" t="s">
        <v>417</v>
      </c>
      <c r="CQ146" t="s">
        <v>417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418</v>
      </c>
      <c r="CY146">
        <v>2</v>
      </c>
      <c r="CZ146" t="b">
        <v>1</v>
      </c>
      <c r="DA146">
        <v>1651857543.225</v>
      </c>
      <c r="DB146">
        <v>774.0097499999999</v>
      </c>
      <c r="DC146">
        <v>837.0694999999999</v>
      </c>
      <c r="DD146">
        <v>18.418525</v>
      </c>
      <c r="DE146">
        <v>8.633775</v>
      </c>
      <c r="DF146">
        <v>775.9314999999999</v>
      </c>
      <c r="DG146">
        <v>18.4121</v>
      </c>
      <c r="DH146">
        <v>500.0527499999999</v>
      </c>
      <c r="DI146">
        <v>90.076925</v>
      </c>
      <c r="DJ146">
        <v>0.1001435</v>
      </c>
      <c r="DK146">
        <v>25.771025</v>
      </c>
      <c r="DL146">
        <v>25.0037</v>
      </c>
      <c r="DM146">
        <v>999.9</v>
      </c>
      <c r="DN146">
        <v>0</v>
      </c>
      <c r="DO146">
        <v>0</v>
      </c>
      <c r="DP146">
        <v>9989.842500000001</v>
      </c>
      <c r="DQ146">
        <v>0</v>
      </c>
      <c r="DR146">
        <v>3.20383</v>
      </c>
      <c r="DS146">
        <v>-63.05992499999999</v>
      </c>
      <c r="DT146">
        <v>788.5335</v>
      </c>
      <c r="DU146">
        <v>844.3595</v>
      </c>
      <c r="DV146">
        <v>9.784744999999999</v>
      </c>
      <c r="DW146">
        <v>837.0694999999999</v>
      </c>
      <c r="DX146">
        <v>8.633775</v>
      </c>
      <c r="DY146">
        <v>1.6590825</v>
      </c>
      <c r="DZ146">
        <v>0.77770375</v>
      </c>
      <c r="EA146">
        <v>14.5188</v>
      </c>
      <c r="EB146">
        <v>3.3067225</v>
      </c>
      <c r="EC146">
        <v>1499.9425</v>
      </c>
      <c r="ED146">
        <v>0.9730045</v>
      </c>
      <c r="EE146">
        <v>0.0269958</v>
      </c>
      <c r="EF146">
        <v>0</v>
      </c>
      <c r="EG146">
        <v>1033.0575</v>
      </c>
      <c r="EH146">
        <v>5.00097</v>
      </c>
      <c r="EI146">
        <v>15338.95</v>
      </c>
      <c r="EJ146">
        <v>12491.1</v>
      </c>
      <c r="EK146">
        <v>37.5</v>
      </c>
      <c r="EL146">
        <v>39</v>
      </c>
      <c r="EM146">
        <v>37.875</v>
      </c>
      <c r="EN146">
        <v>38.75</v>
      </c>
      <c r="EO146">
        <v>38.375</v>
      </c>
      <c r="EP146">
        <v>1454.5825</v>
      </c>
      <c r="EQ146">
        <v>40.36</v>
      </c>
      <c r="ER146">
        <v>0</v>
      </c>
      <c r="ES146">
        <v>543.6000001430511</v>
      </c>
      <c r="ET146">
        <v>0</v>
      </c>
      <c r="EU146">
        <v>1036.3112</v>
      </c>
      <c r="EV146">
        <v>-32.72307691940553</v>
      </c>
      <c r="EW146">
        <v>-483.9692307007717</v>
      </c>
      <c r="EX146">
        <v>15387.416</v>
      </c>
      <c r="EY146">
        <v>15</v>
      </c>
      <c r="EZ146">
        <v>1651857041.1</v>
      </c>
      <c r="FA146" t="s">
        <v>419</v>
      </c>
      <c r="FB146">
        <v>1651857019.6</v>
      </c>
      <c r="FC146">
        <v>1651857041.1</v>
      </c>
      <c r="FD146">
        <v>1</v>
      </c>
      <c r="FE146">
        <v>0.545</v>
      </c>
      <c r="FF146">
        <v>-0.002</v>
      </c>
      <c r="FG146">
        <v>-1.271</v>
      </c>
      <c r="FH146">
        <v>-0.09</v>
      </c>
      <c r="FI146">
        <v>400</v>
      </c>
      <c r="FJ146">
        <v>10</v>
      </c>
      <c r="FK146">
        <v>0.1</v>
      </c>
      <c r="FL146">
        <v>0.02</v>
      </c>
      <c r="FM146">
        <v>-63.0556175</v>
      </c>
      <c r="FN146">
        <v>0.5255043151970906</v>
      </c>
      <c r="FO146">
        <v>0.07576383664882591</v>
      </c>
      <c r="FP146">
        <v>-1</v>
      </c>
      <c r="FQ146">
        <v>9.798507749999999</v>
      </c>
      <c r="FR146">
        <v>-0.05751748592871843</v>
      </c>
      <c r="FS146">
        <v>0.005928089695466796</v>
      </c>
      <c r="FT146">
        <v>-1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0</v>
      </c>
      <c r="GA146" t="s">
        <v>432</v>
      </c>
      <c r="GB146">
        <v>2.97998</v>
      </c>
      <c r="GC146">
        <v>2.70615</v>
      </c>
      <c r="GD146">
        <v>0.145247</v>
      </c>
      <c r="GE146">
        <v>0.151085</v>
      </c>
      <c r="GF146">
        <v>0.0879732</v>
      </c>
      <c r="GG146">
        <v>0.0494454</v>
      </c>
      <c r="GH146">
        <v>26969.4</v>
      </c>
      <c r="GI146">
        <v>26843.7</v>
      </c>
      <c r="GJ146">
        <v>29341.5</v>
      </c>
      <c r="GK146">
        <v>29255</v>
      </c>
      <c r="GL146">
        <v>35437.8</v>
      </c>
      <c r="GM146">
        <v>37037</v>
      </c>
      <c r="GN146">
        <v>41302.1</v>
      </c>
      <c r="GO146">
        <v>41751.9</v>
      </c>
      <c r="GP146">
        <v>1.95543</v>
      </c>
      <c r="GQ146">
        <v>1.83545</v>
      </c>
      <c r="GR146">
        <v>-0.0335276</v>
      </c>
      <c r="GS146">
        <v>0</v>
      </c>
      <c r="GT146">
        <v>25.5562</v>
      </c>
      <c r="GU146">
        <v>999.9</v>
      </c>
      <c r="GV146">
        <v>38.6</v>
      </c>
      <c r="GW146">
        <v>33.9</v>
      </c>
      <c r="GX146">
        <v>22.7697</v>
      </c>
      <c r="GY146">
        <v>62.5376</v>
      </c>
      <c r="GZ146">
        <v>35.2324</v>
      </c>
      <c r="HA146">
        <v>1</v>
      </c>
      <c r="HB146">
        <v>0.137673</v>
      </c>
      <c r="HC146">
        <v>2.22592</v>
      </c>
      <c r="HD146">
        <v>20.3191</v>
      </c>
      <c r="HE146">
        <v>5.21684</v>
      </c>
      <c r="HF146">
        <v>12.0099</v>
      </c>
      <c r="HG146">
        <v>4.9885</v>
      </c>
      <c r="HH146">
        <v>3.28848</v>
      </c>
      <c r="HI146">
        <v>853</v>
      </c>
      <c r="HJ146">
        <v>8490.700000000001</v>
      </c>
      <c r="HK146">
        <v>5139.4</v>
      </c>
      <c r="HL146">
        <v>22.9</v>
      </c>
      <c r="HM146">
        <v>1.86752</v>
      </c>
      <c r="HN146">
        <v>1.86648</v>
      </c>
      <c r="HO146">
        <v>1.86601</v>
      </c>
      <c r="HP146">
        <v>1.86588</v>
      </c>
      <c r="HQ146">
        <v>1.86773</v>
      </c>
      <c r="HR146">
        <v>1.87027</v>
      </c>
      <c r="HS146">
        <v>1.8689</v>
      </c>
      <c r="HT146">
        <v>1.87027</v>
      </c>
      <c r="HU146">
        <v>0</v>
      </c>
      <c r="HV146">
        <v>0</v>
      </c>
      <c r="HW146">
        <v>0</v>
      </c>
      <c r="HX146">
        <v>0</v>
      </c>
      <c r="HY146" t="s">
        <v>421</v>
      </c>
      <c r="HZ146" t="s">
        <v>422</v>
      </c>
      <c r="IA146" t="s">
        <v>423</v>
      </c>
      <c r="IB146" t="s">
        <v>423</v>
      </c>
      <c r="IC146" t="s">
        <v>423</v>
      </c>
      <c r="ID146" t="s">
        <v>423</v>
      </c>
      <c r="IE146">
        <v>0</v>
      </c>
      <c r="IF146">
        <v>100</v>
      </c>
      <c r="IG146">
        <v>100</v>
      </c>
      <c r="IH146">
        <v>-1.929</v>
      </c>
      <c r="II146">
        <v>0.0064</v>
      </c>
      <c r="IJ146">
        <v>-0.4995723906072</v>
      </c>
      <c r="IK146">
        <v>-0.002077099775823331</v>
      </c>
      <c r="IL146">
        <v>4.593143279902166E-07</v>
      </c>
      <c r="IM146">
        <v>-1.865383991892071E-10</v>
      </c>
      <c r="IN146">
        <v>-0.07605349583632376</v>
      </c>
      <c r="IO146">
        <v>-0.01129461987421345</v>
      </c>
      <c r="IP146">
        <v>0.00116580895745559</v>
      </c>
      <c r="IQ146">
        <v>-1.679085872906199E-05</v>
      </c>
      <c r="IR146">
        <v>2</v>
      </c>
      <c r="IS146">
        <v>2290</v>
      </c>
      <c r="IT146">
        <v>0</v>
      </c>
      <c r="IU146">
        <v>32</v>
      </c>
      <c r="IV146">
        <v>8.800000000000001</v>
      </c>
      <c r="IW146">
        <v>8.4</v>
      </c>
      <c r="IX146">
        <v>1.82861</v>
      </c>
      <c r="IY146">
        <v>2.21558</v>
      </c>
      <c r="IZ146">
        <v>1.39648</v>
      </c>
      <c r="JA146">
        <v>2.35962</v>
      </c>
      <c r="JB146">
        <v>1.49536</v>
      </c>
      <c r="JC146">
        <v>2.29614</v>
      </c>
      <c r="JD146">
        <v>38.4279</v>
      </c>
      <c r="JE146">
        <v>24.0437</v>
      </c>
      <c r="JF146">
        <v>18</v>
      </c>
      <c r="JG146">
        <v>515.057</v>
      </c>
      <c r="JH146">
        <v>423.547</v>
      </c>
      <c r="JI146">
        <v>22.6678</v>
      </c>
      <c r="JJ146">
        <v>29.1086</v>
      </c>
      <c r="JK146">
        <v>30</v>
      </c>
      <c r="JL146">
        <v>29.1099</v>
      </c>
      <c r="JM146">
        <v>29.0501</v>
      </c>
      <c r="JN146">
        <v>36.607</v>
      </c>
      <c r="JO146">
        <v>56.5973</v>
      </c>
      <c r="JP146">
        <v>0</v>
      </c>
      <c r="JQ146">
        <v>22.6634</v>
      </c>
      <c r="JR146">
        <v>861.764</v>
      </c>
      <c r="JS146">
        <v>8.593719999999999</v>
      </c>
      <c r="JT146">
        <v>100.299</v>
      </c>
      <c r="JU146">
        <v>100.212</v>
      </c>
    </row>
    <row r="147" spans="1:281">
      <c r="A147">
        <v>131</v>
      </c>
      <c r="B147">
        <v>1651857546.6</v>
      </c>
      <c r="C147">
        <v>546</v>
      </c>
      <c r="D147" t="s">
        <v>689</v>
      </c>
      <c r="E147" t="s">
        <v>690</v>
      </c>
      <c r="F147">
        <v>2</v>
      </c>
      <c r="G147" t="s">
        <v>413</v>
      </c>
      <c r="H147" t="s">
        <v>414</v>
      </c>
      <c r="I147">
        <v>1651857545.6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846.4032790444597</v>
      </c>
      <c r="AK147">
        <v>798.4136727272722</v>
      </c>
      <c r="AL147">
        <v>3.435711084195993</v>
      </c>
      <c r="AM147">
        <v>66.38384787954378</v>
      </c>
      <c r="AN147">
        <f>(AP147 - AO147 + DI147*1E3/(8.314*(DK147+273.15)) * AR147/DH147 * AQ147) * DH147/(100*CV147) * 1000/(1000 - AP147)</f>
        <v>0</v>
      </c>
      <c r="AO147">
        <v>8.633800037047045</v>
      </c>
      <c r="AP147">
        <v>18.41648794117646</v>
      </c>
      <c r="AQ147">
        <v>-7.342811311299159E-05</v>
      </c>
      <c r="AR147">
        <v>80.44866334591464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417</v>
      </c>
      <c r="AY147" t="s">
        <v>417</v>
      </c>
      <c r="AZ147">
        <v>0</v>
      </c>
      <c r="BA147">
        <v>0</v>
      </c>
      <c r="BB147">
        <f>1-AZ147/BA147</f>
        <v>0</v>
      </c>
      <c r="BC147">
        <v>0</v>
      </c>
      <c r="BD147" t="s">
        <v>417</v>
      </c>
      <c r="BE147" t="s">
        <v>417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1238</v>
      </c>
      <c r="CA147">
        <v>300</v>
      </c>
      <c r="CB147">
        <v>300</v>
      </c>
      <c r="CC147">
        <v>300</v>
      </c>
      <c r="CD147">
        <v>10440.5</v>
      </c>
      <c r="CE147">
        <v>1411.69</v>
      </c>
      <c r="CF147">
        <v>-0.00735121</v>
      </c>
      <c r="CG147">
        <v>-0.77</v>
      </c>
      <c r="CH147" t="s">
        <v>417</v>
      </c>
      <c r="CI147" t="s">
        <v>417</v>
      </c>
      <c r="CJ147" t="s">
        <v>417</v>
      </c>
      <c r="CK147" t="s">
        <v>417</v>
      </c>
      <c r="CL147" t="s">
        <v>417</v>
      </c>
      <c r="CM147" t="s">
        <v>417</v>
      </c>
      <c r="CN147" t="s">
        <v>417</v>
      </c>
      <c r="CO147" t="s">
        <v>417</v>
      </c>
      <c r="CP147" t="s">
        <v>417</v>
      </c>
      <c r="CQ147" t="s">
        <v>417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418</v>
      </c>
      <c r="CY147">
        <v>2</v>
      </c>
      <c r="CZ147" t="b">
        <v>1</v>
      </c>
      <c r="DA147">
        <v>1651857545.6</v>
      </c>
      <c r="DB147">
        <v>782.0303333333335</v>
      </c>
      <c r="DC147">
        <v>845.0333333333334</v>
      </c>
      <c r="DD147">
        <v>18.41686666666667</v>
      </c>
      <c r="DE147">
        <v>8.63252</v>
      </c>
      <c r="DF147">
        <v>783.9656666666666</v>
      </c>
      <c r="DG147">
        <v>18.4105</v>
      </c>
      <c r="DH147">
        <v>500.0416666666667</v>
      </c>
      <c r="DI147">
        <v>90.0749</v>
      </c>
      <c r="DJ147">
        <v>0.09992993333333333</v>
      </c>
      <c r="DK147">
        <v>25.7708</v>
      </c>
      <c r="DL147">
        <v>25.00543333333333</v>
      </c>
      <c r="DM147">
        <v>999.9</v>
      </c>
      <c r="DN147">
        <v>0</v>
      </c>
      <c r="DO147">
        <v>0</v>
      </c>
      <c r="DP147">
        <v>10003.75</v>
      </c>
      <c r="DQ147">
        <v>0</v>
      </c>
      <c r="DR147">
        <v>3.20383</v>
      </c>
      <c r="DS147">
        <v>-63.00313333333333</v>
      </c>
      <c r="DT147">
        <v>796.7033333333334</v>
      </c>
      <c r="DU147">
        <v>852.3916666666665</v>
      </c>
      <c r="DV147">
        <v>9.784350000000002</v>
      </c>
      <c r="DW147">
        <v>845.0333333333334</v>
      </c>
      <c r="DX147">
        <v>8.63252</v>
      </c>
      <c r="DY147">
        <v>1.658896666666667</v>
      </c>
      <c r="DZ147">
        <v>0.7775733333333332</v>
      </c>
      <c r="EA147">
        <v>14.51703333333334</v>
      </c>
      <c r="EB147">
        <v>3.30435</v>
      </c>
      <c r="EC147">
        <v>1499.903333333333</v>
      </c>
      <c r="ED147">
        <v>0.9730036666666667</v>
      </c>
      <c r="EE147">
        <v>0.0269967</v>
      </c>
      <c r="EF147">
        <v>0</v>
      </c>
      <c r="EG147">
        <v>1031.46</v>
      </c>
      <c r="EH147">
        <v>5.00097</v>
      </c>
      <c r="EI147">
        <v>15317.4</v>
      </c>
      <c r="EJ147">
        <v>12490.8</v>
      </c>
      <c r="EK147">
        <v>37.5</v>
      </c>
      <c r="EL147">
        <v>39</v>
      </c>
      <c r="EM147">
        <v>37.875</v>
      </c>
      <c r="EN147">
        <v>38.75</v>
      </c>
      <c r="EO147">
        <v>38.375</v>
      </c>
      <c r="EP147">
        <v>1454.543333333333</v>
      </c>
      <c r="EQ147">
        <v>40.36</v>
      </c>
      <c r="ER147">
        <v>0</v>
      </c>
      <c r="ES147">
        <v>545.4000000953674</v>
      </c>
      <c r="ET147">
        <v>0</v>
      </c>
      <c r="EU147">
        <v>1035.454230769231</v>
      </c>
      <c r="EV147">
        <v>-33.26940166638838</v>
      </c>
      <c r="EW147">
        <v>-499.4598283048396</v>
      </c>
      <c r="EX147">
        <v>15375.1</v>
      </c>
      <c r="EY147">
        <v>15</v>
      </c>
      <c r="EZ147">
        <v>1651857041.1</v>
      </c>
      <c r="FA147" t="s">
        <v>419</v>
      </c>
      <c r="FB147">
        <v>1651857019.6</v>
      </c>
      <c r="FC147">
        <v>1651857041.1</v>
      </c>
      <c r="FD147">
        <v>1</v>
      </c>
      <c r="FE147">
        <v>0.545</v>
      </c>
      <c r="FF147">
        <v>-0.002</v>
      </c>
      <c r="FG147">
        <v>-1.271</v>
      </c>
      <c r="FH147">
        <v>-0.09</v>
      </c>
      <c r="FI147">
        <v>400</v>
      </c>
      <c r="FJ147">
        <v>10</v>
      </c>
      <c r="FK147">
        <v>0.1</v>
      </c>
      <c r="FL147">
        <v>0.02</v>
      </c>
      <c r="FM147">
        <v>-63.0419731707317</v>
      </c>
      <c r="FN147">
        <v>0.3868452961672748</v>
      </c>
      <c r="FO147">
        <v>0.06925805412136656</v>
      </c>
      <c r="FP147">
        <v>-1</v>
      </c>
      <c r="FQ147">
        <v>9.795784146341465</v>
      </c>
      <c r="FR147">
        <v>-0.063403693379773</v>
      </c>
      <c r="FS147">
        <v>0.006697558701791994</v>
      </c>
      <c r="FT147">
        <v>-1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0</v>
      </c>
      <c r="GA147" t="s">
        <v>432</v>
      </c>
      <c r="GB147">
        <v>2.97986</v>
      </c>
      <c r="GC147">
        <v>2.70619</v>
      </c>
      <c r="GD147">
        <v>0.146085</v>
      </c>
      <c r="GE147">
        <v>0.151885</v>
      </c>
      <c r="GF147">
        <v>0.0879701</v>
      </c>
      <c r="GG147">
        <v>0.0494386</v>
      </c>
      <c r="GH147">
        <v>26943.1</v>
      </c>
      <c r="GI147">
        <v>26818.5</v>
      </c>
      <c r="GJ147">
        <v>29341.8</v>
      </c>
      <c r="GK147">
        <v>29255.1</v>
      </c>
      <c r="GL147">
        <v>35438.1</v>
      </c>
      <c r="GM147">
        <v>37037.3</v>
      </c>
      <c r="GN147">
        <v>41302.3</v>
      </c>
      <c r="GO147">
        <v>41752</v>
      </c>
      <c r="GP147">
        <v>1.95532</v>
      </c>
      <c r="GQ147">
        <v>1.83533</v>
      </c>
      <c r="GR147">
        <v>-0.0339299</v>
      </c>
      <c r="GS147">
        <v>0</v>
      </c>
      <c r="GT147">
        <v>25.5562</v>
      </c>
      <c r="GU147">
        <v>999.9</v>
      </c>
      <c r="GV147">
        <v>38.6</v>
      </c>
      <c r="GW147">
        <v>33.9</v>
      </c>
      <c r="GX147">
        <v>22.7694</v>
      </c>
      <c r="GY147">
        <v>62.0676</v>
      </c>
      <c r="GZ147">
        <v>35.6931</v>
      </c>
      <c r="HA147">
        <v>1</v>
      </c>
      <c r="HB147">
        <v>0.137358</v>
      </c>
      <c r="HC147">
        <v>2.2266</v>
      </c>
      <c r="HD147">
        <v>20.3186</v>
      </c>
      <c r="HE147">
        <v>5.21684</v>
      </c>
      <c r="HF147">
        <v>12.0099</v>
      </c>
      <c r="HG147">
        <v>4.9886</v>
      </c>
      <c r="HH147">
        <v>3.28845</v>
      </c>
      <c r="HI147">
        <v>853</v>
      </c>
      <c r="HJ147">
        <v>8490.700000000001</v>
      </c>
      <c r="HK147">
        <v>5139.4</v>
      </c>
      <c r="HL147">
        <v>22.9</v>
      </c>
      <c r="HM147">
        <v>1.86752</v>
      </c>
      <c r="HN147">
        <v>1.86649</v>
      </c>
      <c r="HO147">
        <v>1.86602</v>
      </c>
      <c r="HP147">
        <v>1.86588</v>
      </c>
      <c r="HQ147">
        <v>1.86772</v>
      </c>
      <c r="HR147">
        <v>1.87025</v>
      </c>
      <c r="HS147">
        <v>1.8689</v>
      </c>
      <c r="HT147">
        <v>1.87027</v>
      </c>
      <c r="HU147">
        <v>0</v>
      </c>
      <c r="HV147">
        <v>0</v>
      </c>
      <c r="HW147">
        <v>0</v>
      </c>
      <c r="HX147">
        <v>0</v>
      </c>
      <c r="HY147" t="s">
        <v>421</v>
      </c>
      <c r="HZ147" t="s">
        <v>422</v>
      </c>
      <c r="IA147" t="s">
        <v>423</v>
      </c>
      <c r="IB147" t="s">
        <v>423</v>
      </c>
      <c r="IC147" t="s">
        <v>423</v>
      </c>
      <c r="ID147" t="s">
        <v>423</v>
      </c>
      <c r="IE147">
        <v>0</v>
      </c>
      <c r="IF147">
        <v>100</v>
      </c>
      <c r="IG147">
        <v>100</v>
      </c>
      <c r="IH147">
        <v>-1.941</v>
      </c>
      <c r="II147">
        <v>0.0063</v>
      </c>
      <c r="IJ147">
        <v>-0.4995723906072</v>
      </c>
      <c r="IK147">
        <v>-0.002077099775823331</v>
      </c>
      <c r="IL147">
        <v>4.593143279902166E-07</v>
      </c>
      <c r="IM147">
        <v>-1.865383991892071E-10</v>
      </c>
      <c r="IN147">
        <v>-0.07605349583632376</v>
      </c>
      <c r="IO147">
        <v>-0.01129461987421345</v>
      </c>
      <c r="IP147">
        <v>0.00116580895745559</v>
      </c>
      <c r="IQ147">
        <v>-1.679085872906199E-05</v>
      </c>
      <c r="IR147">
        <v>2</v>
      </c>
      <c r="IS147">
        <v>2290</v>
      </c>
      <c r="IT147">
        <v>0</v>
      </c>
      <c r="IU147">
        <v>32</v>
      </c>
      <c r="IV147">
        <v>8.800000000000001</v>
      </c>
      <c r="IW147">
        <v>8.4</v>
      </c>
      <c r="IX147">
        <v>1.84082</v>
      </c>
      <c r="IY147">
        <v>2.21558</v>
      </c>
      <c r="IZ147">
        <v>1.39648</v>
      </c>
      <c r="JA147">
        <v>2.3584</v>
      </c>
      <c r="JB147">
        <v>1.49536</v>
      </c>
      <c r="JC147">
        <v>2.33154</v>
      </c>
      <c r="JD147">
        <v>38.4279</v>
      </c>
      <c r="JE147">
        <v>24.0437</v>
      </c>
      <c r="JF147">
        <v>18</v>
      </c>
      <c r="JG147">
        <v>514.992</v>
      </c>
      <c r="JH147">
        <v>423.464</v>
      </c>
      <c r="JI147">
        <v>22.6653</v>
      </c>
      <c r="JJ147">
        <v>29.1086</v>
      </c>
      <c r="JK147">
        <v>30</v>
      </c>
      <c r="JL147">
        <v>29.1099</v>
      </c>
      <c r="JM147">
        <v>29.0489</v>
      </c>
      <c r="JN147">
        <v>36.8357</v>
      </c>
      <c r="JO147">
        <v>56.5973</v>
      </c>
      <c r="JP147">
        <v>0</v>
      </c>
      <c r="JQ147">
        <v>22.6634</v>
      </c>
      <c r="JR147">
        <v>868.443</v>
      </c>
      <c r="JS147">
        <v>8.593719999999999</v>
      </c>
      <c r="JT147">
        <v>100.3</v>
      </c>
      <c r="JU147">
        <v>100.212</v>
      </c>
    </row>
    <row r="148" spans="1:281">
      <c r="A148">
        <v>132</v>
      </c>
      <c r="B148">
        <v>1651857548.6</v>
      </c>
      <c r="C148">
        <v>548</v>
      </c>
      <c r="D148" t="s">
        <v>691</v>
      </c>
      <c r="E148" t="s">
        <v>692</v>
      </c>
      <c r="F148">
        <v>2</v>
      </c>
      <c r="G148" t="s">
        <v>413</v>
      </c>
      <c r="H148" t="s">
        <v>414</v>
      </c>
      <c r="I148">
        <v>1651857547.225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853.1790278288302</v>
      </c>
      <c r="AK148">
        <v>805.2799030303028</v>
      </c>
      <c r="AL148">
        <v>3.432156524206712</v>
      </c>
      <c r="AM148">
        <v>66.38384787954378</v>
      </c>
      <c r="AN148">
        <f>(AP148 - AO148 + DI148*1E3/(8.314*(DK148+273.15)) * AR148/DH148 * AQ148) * DH148/(100*CV148) * 1000/(1000 - AP148)</f>
        <v>0</v>
      </c>
      <c r="AO148">
        <v>8.633466743577964</v>
      </c>
      <c r="AP148">
        <v>18.41332823529411</v>
      </c>
      <c r="AQ148">
        <v>-3.90415426721802E-05</v>
      </c>
      <c r="AR148">
        <v>80.44866334591464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417</v>
      </c>
      <c r="AY148" t="s">
        <v>417</v>
      </c>
      <c r="AZ148">
        <v>0</v>
      </c>
      <c r="BA148">
        <v>0</v>
      </c>
      <c r="BB148">
        <f>1-AZ148/BA148</f>
        <v>0</v>
      </c>
      <c r="BC148">
        <v>0</v>
      </c>
      <c r="BD148" t="s">
        <v>417</v>
      </c>
      <c r="BE148" t="s">
        <v>417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1238</v>
      </c>
      <c r="CA148">
        <v>300</v>
      </c>
      <c r="CB148">
        <v>300</v>
      </c>
      <c r="CC148">
        <v>300</v>
      </c>
      <c r="CD148">
        <v>10440.5</v>
      </c>
      <c r="CE148">
        <v>1411.69</v>
      </c>
      <c r="CF148">
        <v>-0.00735121</v>
      </c>
      <c r="CG148">
        <v>-0.77</v>
      </c>
      <c r="CH148" t="s">
        <v>417</v>
      </c>
      <c r="CI148" t="s">
        <v>417</v>
      </c>
      <c r="CJ148" t="s">
        <v>417</v>
      </c>
      <c r="CK148" t="s">
        <v>417</v>
      </c>
      <c r="CL148" t="s">
        <v>417</v>
      </c>
      <c r="CM148" t="s">
        <v>417</v>
      </c>
      <c r="CN148" t="s">
        <v>417</v>
      </c>
      <c r="CO148" t="s">
        <v>417</v>
      </c>
      <c r="CP148" t="s">
        <v>417</v>
      </c>
      <c r="CQ148" t="s">
        <v>417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418</v>
      </c>
      <c r="CY148">
        <v>2</v>
      </c>
      <c r="CZ148" t="b">
        <v>1</v>
      </c>
      <c r="DA148">
        <v>1651857547.225</v>
      </c>
      <c r="DB148">
        <v>787.50425</v>
      </c>
      <c r="DC148">
        <v>850.4795</v>
      </c>
      <c r="DD148">
        <v>18.413975</v>
      </c>
      <c r="DE148">
        <v>8.632462499999999</v>
      </c>
      <c r="DF148">
        <v>789.449</v>
      </c>
      <c r="DG148">
        <v>18.40765</v>
      </c>
      <c r="DH148">
        <v>500.018</v>
      </c>
      <c r="DI148">
        <v>90.07532500000001</v>
      </c>
      <c r="DJ148">
        <v>0.09992172499999999</v>
      </c>
      <c r="DK148">
        <v>25.772375</v>
      </c>
      <c r="DL148">
        <v>25.0029</v>
      </c>
      <c r="DM148">
        <v>999.9</v>
      </c>
      <c r="DN148">
        <v>0</v>
      </c>
      <c r="DO148">
        <v>0</v>
      </c>
      <c r="DP148">
        <v>10013.425</v>
      </c>
      <c r="DQ148">
        <v>0</v>
      </c>
      <c r="DR148">
        <v>3.20383</v>
      </c>
      <c r="DS148">
        <v>-62.975425</v>
      </c>
      <c r="DT148">
        <v>802.277</v>
      </c>
      <c r="DU148">
        <v>857.88525</v>
      </c>
      <c r="DV148">
        <v>9.78153</v>
      </c>
      <c r="DW148">
        <v>850.4795</v>
      </c>
      <c r="DX148">
        <v>8.632462499999999</v>
      </c>
      <c r="DY148">
        <v>1.658645</v>
      </c>
      <c r="DZ148">
        <v>0.7775717499999999</v>
      </c>
      <c r="EA148">
        <v>14.5147</v>
      </c>
      <c r="EB148">
        <v>3.30432</v>
      </c>
      <c r="EC148">
        <v>1500.02</v>
      </c>
      <c r="ED148">
        <v>0.97300575</v>
      </c>
      <c r="EE148">
        <v>0.02699445</v>
      </c>
      <c r="EF148">
        <v>0</v>
      </c>
      <c r="EG148">
        <v>1030.6775</v>
      </c>
      <c r="EH148">
        <v>5.00097</v>
      </c>
      <c r="EI148">
        <v>15305.425</v>
      </c>
      <c r="EJ148">
        <v>12491.775</v>
      </c>
      <c r="EK148">
        <v>37.5</v>
      </c>
      <c r="EL148">
        <v>39</v>
      </c>
      <c r="EM148">
        <v>37.875</v>
      </c>
      <c r="EN148">
        <v>38.75</v>
      </c>
      <c r="EO148">
        <v>38.375</v>
      </c>
      <c r="EP148">
        <v>1454.66</v>
      </c>
      <c r="EQ148">
        <v>40.36</v>
      </c>
      <c r="ER148">
        <v>0</v>
      </c>
      <c r="ES148">
        <v>547.2000000476837</v>
      </c>
      <c r="ET148">
        <v>0</v>
      </c>
      <c r="EU148">
        <v>1034.2696</v>
      </c>
      <c r="EV148">
        <v>-33.7946154409628</v>
      </c>
      <c r="EW148">
        <v>-509.2923084384452</v>
      </c>
      <c r="EX148">
        <v>15357.92</v>
      </c>
      <c r="EY148">
        <v>15</v>
      </c>
      <c r="EZ148">
        <v>1651857041.1</v>
      </c>
      <c r="FA148" t="s">
        <v>419</v>
      </c>
      <c r="FB148">
        <v>1651857019.6</v>
      </c>
      <c r="FC148">
        <v>1651857041.1</v>
      </c>
      <c r="FD148">
        <v>1</v>
      </c>
      <c r="FE148">
        <v>0.545</v>
      </c>
      <c r="FF148">
        <v>-0.002</v>
      </c>
      <c r="FG148">
        <v>-1.271</v>
      </c>
      <c r="FH148">
        <v>-0.09</v>
      </c>
      <c r="FI148">
        <v>400</v>
      </c>
      <c r="FJ148">
        <v>10</v>
      </c>
      <c r="FK148">
        <v>0.1</v>
      </c>
      <c r="FL148">
        <v>0.02</v>
      </c>
      <c r="FM148">
        <v>-63.0281725</v>
      </c>
      <c r="FN148">
        <v>0.2244911819888333</v>
      </c>
      <c r="FO148">
        <v>0.0587766237015194</v>
      </c>
      <c r="FP148">
        <v>-1</v>
      </c>
      <c r="FQ148">
        <v>9.793747</v>
      </c>
      <c r="FR148">
        <v>-0.06090326454034915</v>
      </c>
      <c r="FS148">
        <v>0.006319549509260929</v>
      </c>
      <c r="FT148">
        <v>-1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0</v>
      </c>
      <c r="GA148" t="s">
        <v>432</v>
      </c>
      <c r="GB148">
        <v>2.97996</v>
      </c>
      <c r="GC148">
        <v>2.70626</v>
      </c>
      <c r="GD148">
        <v>0.146923</v>
      </c>
      <c r="GE148">
        <v>0.152675</v>
      </c>
      <c r="GF148">
        <v>0.0879486</v>
      </c>
      <c r="GG148">
        <v>0.0494415</v>
      </c>
      <c r="GH148">
        <v>26916.8</v>
      </c>
      <c r="GI148">
        <v>26793.3</v>
      </c>
      <c r="GJ148">
        <v>29341.9</v>
      </c>
      <c r="GK148">
        <v>29254.8</v>
      </c>
      <c r="GL148">
        <v>35439.3</v>
      </c>
      <c r="GM148">
        <v>37036.8</v>
      </c>
      <c r="GN148">
        <v>41302.8</v>
      </c>
      <c r="GO148">
        <v>41751.5</v>
      </c>
      <c r="GP148">
        <v>1.95527</v>
      </c>
      <c r="GQ148">
        <v>1.83523</v>
      </c>
      <c r="GR148">
        <v>-0.033915</v>
      </c>
      <c r="GS148">
        <v>0</v>
      </c>
      <c r="GT148">
        <v>25.5568</v>
      </c>
      <c r="GU148">
        <v>999.9</v>
      </c>
      <c r="GV148">
        <v>38.6</v>
      </c>
      <c r="GW148">
        <v>33.9</v>
      </c>
      <c r="GX148">
        <v>22.7687</v>
      </c>
      <c r="GY148">
        <v>62.5576</v>
      </c>
      <c r="GZ148">
        <v>35.2885</v>
      </c>
      <c r="HA148">
        <v>1</v>
      </c>
      <c r="HB148">
        <v>0.137447</v>
      </c>
      <c r="HC148">
        <v>2.22238</v>
      </c>
      <c r="HD148">
        <v>20.3189</v>
      </c>
      <c r="HE148">
        <v>5.21699</v>
      </c>
      <c r="HF148">
        <v>12.0099</v>
      </c>
      <c r="HG148">
        <v>4.98885</v>
      </c>
      <c r="HH148">
        <v>3.28848</v>
      </c>
      <c r="HI148">
        <v>853</v>
      </c>
      <c r="HJ148">
        <v>8490.700000000001</v>
      </c>
      <c r="HK148">
        <v>5139.4</v>
      </c>
      <c r="HL148">
        <v>22.9</v>
      </c>
      <c r="HM148">
        <v>1.86752</v>
      </c>
      <c r="HN148">
        <v>1.86649</v>
      </c>
      <c r="HO148">
        <v>1.86601</v>
      </c>
      <c r="HP148">
        <v>1.86586</v>
      </c>
      <c r="HQ148">
        <v>1.8677</v>
      </c>
      <c r="HR148">
        <v>1.87024</v>
      </c>
      <c r="HS148">
        <v>1.8689</v>
      </c>
      <c r="HT148">
        <v>1.87027</v>
      </c>
      <c r="HU148">
        <v>0</v>
      </c>
      <c r="HV148">
        <v>0</v>
      </c>
      <c r="HW148">
        <v>0</v>
      </c>
      <c r="HX148">
        <v>0</v>
      </c>
      <c r="HY148" t="s">
        <v>421</v>
      </c>
      <c r="HZ148" t="s">
        <v>422</v>
      </c>
      <c r="IA148" t="s">
        <v>423</v>
      </c>
      <c r="IB148" t="s">
        <v>423</v>
      </c>
      <c r="IC148" t="s">
        <v>423</v>
      </c>
      <c r="ID148" t="s">
        <v>423</v>
      </c>
      <c r="IE148">
        <v>0</v>
      </c>
      <c r="IF148">
        <v>100</v>
      </c>
      <c r="IG148">
        <v>100</v>
      </c>
      <c r="IH148">
        <v>-1.953</v>
      </c>
      <c r="II148">
        <v>0.0063</v>
      </c>
      <c r="IJ148">
        <v>-0.4995723906072</v>
      </c>
      <c r="IK148">
        <v>-0.002077099775823331</v>
      </c>
      <c r="IL148">
        <v>4.593143279902166E-07</v>
      </c>
      <c r="IM148">
        <v>-1.865383991892071E-10</v>
      </c>
      <c r="IN148">
        <v>-0.07605349583632376</v>
      </c>
      <c r="IO148">
        <v>-0.01129461987421345</v>
      </c>
      <c r="IP148">
        <v>0.00116580895745559</v>
      </c>
      <c r="IQ148">
        <v>-1.679085872906199E-05</v>
      </c>
      <c r="IR148">
        <v>2</v>
      </c>
      <c r="IS148">
        <v>2290</v>
      </c>
      <c r="IT148">
        <v>0</v>
      </c>
      <c r="IU148">
        <v>32</v>
      </c>
      <c r="IV148">
        <v>8.800000000000001</v>
      </c>
      <c r="IW148">
        <v>8.5</v>
      </c>
      <c r="IX148">
        <v>1.85181</v>
      </c>
      <c r="IY148">
        <v>2.21313</v>
      </c>
      <c r="IZ148">
        <v>1.39648</v>
      </c>
      <c r="JA148">
        <v>2.35962</v>
      </c>
      <c r="JB148">
        <v>1.49536</v>
      </c>
      <c r="JC148">
        <v>2.33032</v>
      </c>
      <c r="JD148">
        <v>38.4279</v>
      </c>
      <c r="JE148">
        <v>24.0437</v>
      </c>
      <c r="JF148">
        <v>18</v>
      </c>
      <c r="JG148">
        <v>514.9589999999999</v>
      </c>
      <c r="JH148">
        <v>423.404</v>
      </c>
      <c r="JI148">
        <v>22.6631</v>
      </c>
      <c r="JJ148">
        <v>29.1078</v>
      </c>
      <c r="JK148">
        <v>30.0001</v>
      </c>
      <c r="JL148">
        <v>29.1099</v>
      </c>
      <c r="JM148">
        <v>29.0489</v>
      </c>
      <c r="JN148">
        <v>37.0657</v>
      </c>
      <c r="JO148">
        <v>56.5973</v>
      </c>
      <c r="JP148">
        <v>0</v>
      </c>
      <c r="JQ148">
        <v>22.6594</v>
      </c>
      <c r="JR148">
        <v>875.121</v>
      </c>
      <c r="JS148">
        <v>8.593719999999999</v>
      </c>
      <c r="JT148">
        <v>100.301</v>
      </c>
      <c r="JU148">
        <v>100.211</v>
      </c>
    </row>
    <row r="149" spans="1:281">
      <c r="A149">
        <v>133</v>
      </c>
      <c r="B149">
        <v>1651857550.6</v>
      </c>
      <c r="C149">
        <v>550</v>
      </c>
      <c r="D149" t="s">
        <v>693</v>
      </c>
      <c r="E149" t="s">
        <v>694</v>
      </c>
      <c r="F149">
        <v>2</v>
      </c>
      <c r="G149" t="s">
        <v>413</v>
      </c>
      <c r="H149" t="s">
        <v>414</v>
      </c>
      <c r="I149">
        <v>1651857549.6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859.9263770139218</v>
      </c>
      <c r="AK149">
        <v>812.0899272727273</v>
      </c>
      <c r="AL149">
        <v>3.416012318926531</v>
      </c>
      <c r="AM149">
        <v>66.38384787954378</v>
      </c>
      <c r="AN149">
        <f>(AP149 - AO149 + DI149*1E3/(8.314*(DK149+273.15)) * AR149/DH149 * AQ149) * DH149/(100*CV149) * 1000/(1000 - AP149)</f>
        <v>0</v>
      </c>
      <c r="AO149">
        <v>8.632449243236321</v>
      </c>
      <c r="AP149">
        <v>18.403875</v>
      </c>
      <c r="AQ149">
        <v>8.847359131092754E-06</v>
      </c>
      <c r="AR149">
        <v>80.44866334591464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417</v>
      </c>
      <c r="AY149" t="s">
        <v>417</v>
      </c>
      <c r="AZ149">
        <v>0</v>
      </c>
      <c r="BA149">
        <v>0</v>
      </c>
      <c r="BB149">
        <f>1-AZ149/BA149</f>
        <v>0</v>
      </c>
      <c r="BC149">
        <v>0</v>
      </c>
      <c r="BD149" t="s">
        <v>417</v>
      </c>
      <c r="BE149" t="s">
        <v>417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1238</v>
      </c>
      <c r="CA149">
        <v>300</v>
      </c>
      <c r="CB149">
        <v>300</v>
      </c>
      <c r="CC149">
        <v>300</v>
      </c>
      <c r="CD149">
        <v>10440.5</v>
      </c>
      <c r="CE149">
        <v>1411.69</v>
      </c>
      <c r="CF149">
        <v>-0.00735121</v>
      </c>
      <c r="CG149">
        <v>-0.77</v>
      </c>
      <c r="CH149" t="s">
        <v>417</v>
      </c>
      <c r="CI149" t="s">
        <v>417</v>
      </c>
      <c r="CJ149" t="s">
        <v>417</v>
      </c>
      <c r="CK149" t="s">
        <v>417</v>
      </c>
      <c r="CL149" t="s">
        <v>417</v>
      </c>
      <c r="CM149" t="s">
        <v>417</v>
      </c>
      <c r="CN149" t="s">
        <v>417</v>
      </c>
      <c r="CO149" t="s">
        <v>417</v>
      </c>
      <c r="CP149" t="s">
        <v>417</v>
      </c>
      <c r="CQ149" t="s">
        <v>417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418</v>
      </c>
      <c r="CY149">
        <v>2</v>
      </c>
      <c r="CZ149" t="b">
        <v>1</v>
      </c>
      <c r="DA149">
        <v>1651857549.6</v>
      </c>
      <c r="DB149">
        <v>795.4673333333334</v>
      </c>
      <c r="DC149">
        <v>858.4540000000001</v>
      </c>
      <c r="DD149">
        <v>18.4061</v>
      </c>
      <c r="DE149">
        <v>8.633330000000001</v>
      </c>
      <c r="DF149">
        <v>797.4263333333333</v>
      </c>
      <c r="DG149">
        <v>18.3999</v>
      </c>
      <c r="DH149">
        <v>500.044</v>
      </c>
      <c r="DI149">
        <v>90.07733333333334</v>
      </c>
      <c r="DJ149">
        <v>0.1001393333333333</v>
      </c>
      <c r="DK149">
        <v>25.77143333333333</v>
      </c>
      <c r="DL149">
        <v>24.9996</v>
      </c>
      <c r="DM149">
        <v>999.9</v>
      </c>
      <c r="DN149">
        <v>0</v>
      </c>
      <c r="DO149">
        <v>0</v>
      </c>
      <c r="DP149">
        <v>9985.416666666666</v>
      </c>
      <c r="DQ149">
        <v>0</v>
      </c>
      <c r="DR149">
        <v>3.20383</v>
      </c>
      <c r="DS149">
        <v>-62.9864</v>
      </c>
      <c r="DT149">
        <v>810.3836666666666</v>
      </c>
      <c r="DU149">
        <v>865.9296666666665</v>
      </c>
      <c r="DV149">
        <v>9.772779999999999</v>
      </c>
      <c r="DW149">
        <v>858.4540000000001</v>
      </c>
      <c r="DX149">
        <v>8.633330000000001</v>
      </c>
      <c r="DY149">
        <v>1.657973333333334</v>
      </c>
      <c r="DZ149">
        <v>0.7776673333333334</v>
      </c>
      <c r="EA149">
        <v>14.50843333333333</v>
      </c>
      <c r="EB149">
        <v>3.306053333333333</v>
      </c>
      <c r="EC149">
        <v>1500.09</v>
      </c>
      <c r="ED149">
        <v>0.973007</v>
      </c>
      <c r="EE149">
        <v>0.0269931</v>
      </c>
      <c r="EF149">
        <v>0</v>
      </c>
      <c r="EG149">
        <v>1029.16</v>
      </c>
      <c r="EH149">
        <v>5.00097</v>
      </c>
      <c r="EI149">
        <v>15284.6</v>
      </c>
      <c r="EJ149">
        <v>12492.36666666667</v>
      </c>
      <c r="EK149">
        <v>37.5</v>
      </c>
      <c r="EL149">
        <v>39</v>
      </c>
      <c r="EM149">
        <v>37.875</v>
      </c>
      <c r="EN149">
        <v>38.75</v>
      </c>
      <c r="EO149">
        <v>38.375</v>
      </c>
      <c r="EP149">
        <v>1454.73</v>
      </c>
      <c r="EQ149">
        <v>40.36</v>
      </c>
      <c r="ER149">
        <v>0</v>
      </c>
      <c r="ES149">
        <v>549.6000001430511</v>
      </c>
      <c r="ET149">
        <v>0</v>
      </c>
      <c r="EU149">
        <v>1032.9308</v>
      </c>
      <c r="EV149">
        <v>-35.13307691629201</v>
      </c>
      <c r="EW149">
        <v>-519.8230768625674</v>
      </c>
      <c r="EX149">
        <v>15337.536</v>
      </c>
      <c r="EY149">
        <v>15</v>
      </c>
      <c r="EZ149">
        <v>1651857041.1</v>
      </c>
      <c r="FA149" t="s">
        <v>419</v>
      </c>
      <c r="FB149">
        <v>1651857019.6</v>
      </c>
      <c r="FC149">
        <v>1651857041.1</v>
      </c>
      <c r="FD149">
        <v>1</v>
      </c>
      <c r="FE149">
        <v>0.545</v>
      </c>
      <c r="FF149">
        <v>-0.002</v>
      </c>
      <c r="FG149">
        <v>-1.271</v>
      </c>
      <c r="FH149">
        <v>-0.09</v>
      </c>
      <c r="FI149">
        <v>400</v>
      </c>
      <c r="FJ149">
        <v>10</v>
      </c>
      <c r="FK149">
        <v>0.1</v>
      </c>
      <c r="FL149">
        <v>0.02</v>
      </c>
      <c r="FM149">
        <v>-63.01005121951219</v>
      </c>
      <c r="FN149">
        <v>0.1099212543553512</v>
      </c>
      <c r="FO149">
        <v>0.04796760655901686</v>
      </c>
      <c r="FP149">
        <v>-1</v>
      </c>
      <c r="FQ149">
        <v>9.790854390243902</v>
      </c>
      <c r="FR149">
        <v>-0.07286069686409673</v>
      </c>
      <c r="FS149">
        <v>0.007713748906282442</v>
      </c>
      <c r="FT149">
        <v>-1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0</v>
      </c>
      <c r="GA149" t="s">
        <v>432</v>
      </c>
      <c r="GB149">
        <v>2.98003</v>
      </c>
      <c r="GC149">
        <v>2.70614</v>
      </c>
      <c r="GD149">
        <v>0.147756</v>
      </c>
      <c r="GE149">
        <v>0.153464</v>
      </c>
      <c r="GF149">
        <v>0.0879267</v>
      </c>
      <c r="GG149">
        <v>0.0494438</v>
      </c>
      <c r="GH149">
        <v>26890.9</v>
      </c>
      <c r="GI149">
        <v>26768.3</v>
      </c>
      <c r="GJ149">
        <v>29342.3</v>
      </c>
      <c r="GK149">
        <v>29254.8</v>
      </c>
      <c r="GL149">
        <v>35440.8</v>
      </c>
      <c r="GM149">
        <v>37036.6</v>
      </c>
      <c r="GN149">
        <v>41303.4</v>
      </c>
      <c r="GO149">
        <v>41751.4</v>
      </c>
      <c r="GP149">
        <v>1.95513</v>
      </c>
      <c r="GQ149">
        <v>1.83522</v>
      </c>
      <c r="GR149">
        <v>-0.0339448</v>
      </c>
      <c r="GS149">
        <v>0</v>
      </c>
      <c r="GT149">
        <v>25.5579</v>
      </c>
      <c r="GU149">
        <v>999.9</v>
      </c>
      <c r="GV149">
        <v>38.6</v>
      </c>
      <c r="GW149">
        <v>33.9</v>
      </c>
      <c r="GX149">
        <v>22.7706</v>
      </c>
      <c r="GY149">
        <v>62.5076</v>
      </c>
      <c r="GZ149">
        <v>35.5449</v>
      </c>
      <c r="HA149">
        <v>1</v>
      </c>
      <c r="HB149">
        <v>0.137617</v>
      </c>
      <c r="HC149">
        <v>2.22458</v>
      </c>
      <c r="HD149">
        <v>20.3195</v>
      </c>
      <c r="HE149">
        <v>5.21729</v>
      </c>
      <c r="HF149">
        <v>12.0099</v>
      </c>
      <c r="HG149">
        <v>4.98885</v>
      </c>
      <c r="HH149">
        <v>3.2885</v>
      </c>
      <c r="HI149">
        <v>853.2</v>
      </c>
      <c r="HJ149">
        <v>8492.9</v>
      </c>
      <c r="HK149">
        <v>5139.4</v>
      </c>
      <c r="HL149">
        <v>22.9</v>
      </c>
      <c r="HM149">
        <v>1.86752</v>
      </c>
      <c r="HN149">
        <v>1.86647</v>
      </c>
      <c r="HO149">
        <v>1.866</v>
      </c>
      <c r="HP149">
        <v>1.86587</v>
      </c>
      <c r="HQ149">
        <v>1.8677</v>
      </c>
      <c r="HR149">
        <v>1.87026</v>
      </c>
      <c r="HS149">
        <v>1.8689</v>
      </c>
      <c r="HT149">
        <v>1.87027</v>
      </c>
      <c r="HU149">
        <v>0</v>
      </c>
      <c r="HV149">
        <v>0</v>
      </c>
      <c r="HW149">
        <v>0</v>
      </c>
      <c r="HX149">
        <v>0</v>
      </c>
      <c r="HY149" t="s">
        <v>421</v>
      </c>
      <c r="HZ149" t="s">
        <v>422</v>
      </c>
      <c r="IA149" t="s">
        <v>423</v>
      </c>
      <c r="IB149" t="s">
        <v>423</v>
      </c>
      <c r="IC149" t="s">
        <v>423</v>
      </c>
      <c r="ID149" t="s">
        <v>423</v>
      </c>
      <c r="IE149">
        <v>0</v>
      </c>
      <c r="IF149">
        <v>100</v>
      </c>
      <c r="IG149">
        <v>100</v>
      </c>
      <c r="IH149">
        <v>-1.964</v>
      </c>
      <c r="II149">
        <v>0.0062</v>
      </c>
      <c r="IJ149">
        <v>-0.4995723906072</v>
      </c>
      <c r="IK149">
        <v>-0.002077099775823331</v>
      </c>
      <c r="IL149">
        <v>4.593143279902166E-07</v>
      </c>
      <c r="IM149">
        <v>-1.865383991892071E-10</v>
      </c>
      <c r="IN149">
        <v>-0.07605349583632376</v>
      </c>
      <c r="IO149">
        <v>-0.01129461987421345</v>
      </c>
      <c r="IP149">
        <v>0.00116580895745559</v>
      </c>
      <c r="IQ149">
        <v>-1.679085872906199E-05</v>
      </c>
      <c r="IR149">
        <v>2</v>
      </c>
      <c r="IS149">
        <v>2290</v>
      </c>
      <c r="IT149">
        <v>0</v>
      </c>
      <c r="IU149">
        <v>32</v>
      </c>
      <c r="IV149">
        <v>8.800000000000001</v>
      </c>
      <c r="IW149">
        <v>8.5</v>
      </c>
      <c r="IX149">
        <v>1.86279</v>
      </c>
      <c r="IY149">
        <v>2.21802</v>
      </c>
      <c r="IZ149">
        <v>1.39648</v>
      </c>
      <c r="JA149">
        <v>2.35962</v>
      </c>
      <c r="JB149">
        <v>1.49536</v>
      </c>
      <c r="JC149">
        <v>2.29248</v>
      </c>
      <c r="JD149">
        <v>38.4279</v>
      </c>
      <c r="JE149">
        <v>24.035</v>
      </c>
      <c r="JF149">
        <v>18</v>
      </c>
      <c r="JG149">
        <v>514.86</v>
      </c>
      <c r="JH149">
        <v>423.404</v>
      </c>
      <c r="JI149">
        <v>22.6614</v>
      </c>
      <c r="JJ149">
        <v>29.1066</v>
      </c>
      <c r="JK149">
        <v>30.0002</v>
      </c>
      <c r="JL149">
        <v>29.1099</v>
      </c>
      <c r="JM149">
        <v>29.0489</v>
      </c>
      <c r="JN149">
        <v>37.2943</v>
      </c>
      <c r="JO149">
        <v>56.5973</v>
      </c>
      <c r="JP149">
        <v>0</v>
      </c>
      <c r="JQ149">
        <v>22.6594</v>
      </c>
      <c r="JR149">
        <v>881.8</v>
      </c>
      <c r="JS149">
        <v>8.593719999999999</v>
      </c>
      <c r="JT149">
        <v>100.302</v>
      </c>
      <c r="JU149">
        <v>100.211</v>
      </c>
    </row>
    <row r="150" spans="1:281">
      <c r="A150">
        <v>134</v>
      </c>
      <c r="B150">
        <v>1651857552.6</v>
      </c>
      <c r="C150">
        <v>552</v>
      </c>
      <c r="D150" t="s">
        <v>695</v>
      </c>
      <c r="E150" t="s">
        <v>696</v>
      </c>
      <c r="F150">
        <v>2</v>
      </c>
      <c r="G150" t="s">
        <v>413</v>
      </c>
      <c r="H150" t="s">
        <v>414</v>
      </c>
      <c r="I150">
        <v>1651857551.225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866.6984597857405</v>
      </c>
      <c r="AK150">
        <v>818.9451272727268</v>
      </c>
      <c r="AL150">
        <v>3.42008656965506</v>
      </c>
      <c r="AM150">
        <v>66.38384787954378</v>
      </c>
      <c r="AN150">
        <f>(AP150 - AO150 + DI150*1E3/(8.314*(DK150+273.15)) * AR150/DH150 * AQ150) * DH150/(100*CV150) * 1000/(1000 - AP150)</f>
        <v>0</v>
      </c>
      <c r="AO150">
        <v>8.632783688273399</v>
      </c>
      <c r="AP150">
        <v>18.39911999999999</v>
      </c>
      <c r="AQ150">
        <v>-3.872172566241359E-05</v>
      </c>
      <c r="AR150">
        <v>80.44866334591464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417</v>
      </c>
      <c r="AY150" t="s">
        <v>417</v>
      </c>
      <c r="AZ150">
        <v>0</v>
      </c>
      <c r="BA150">
        <v>0</v>
      </c>
      <c r="BB150">
        <f>1-AZ150/BA150</f>
        <v>0</v>
      </c>
      <c r="BC150">
        <v>0</v>
      </c>
      <c r="BD150" t="s">
        <v>417</v>
      </c>
      <c r="BE150" t="s">
        <v>417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1238</v>
      </c>
      <c r="CA150">
        <v>300</v>
      </c>
      <c r="CB150">
        <v>300</v>
      </c>
      <c r="CC150">
        <v>300</v>
      </c>
      <c r="CD150">
        <v>10440.5</v>
      </c>
      <c r="CE150">
        <v>1411.69</v>
      </c>
      <c r="CF150">
        <v>-0.00735121</v>
      </c>
      <c r="CG150">
        <v>-0.77</v>
      </c>
      <c r="CH150" t="s">
        <v>417</v>
      </c>
      <c r="CI150" t="s">
        <v>417</v>
      </c>
      <c r="CJ150" t="s">
        <v>417</v>
      </c>
      <c r="CK150" t="s">
        <v>417</v>
      </c>
      <c r="CL150" t="s">
        <v>417</v>
      </c>
      <c r="CM150" t="s">
        <v>417</v>
      </c>
      <c r="CN150" t="s">
        <v>417</v>
      </c>
      <c r="CO150" t="s">
        <v>417</v>
      </c>
      <c r="CP150" t="s">
        <v>417</v>
      </c>
      <c r="CQ150" t="s">
        <v>417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418</v>
      </c>
      <c r="CY150">
        <v>2</v>
      </c>
      <c r="CZ150" t="b">
        <v>1</v>
      </c>
      <c r="DA150">
        <v>1651857551.225</v>
      </c>
      <c r="DB150">
        <v>800.9354999999999</v>
      </c>
      <c r="DC150">
        <v>863.8855</v>
      </c>
      <c r="DD150">
        <v>18.402</v>
      </c>
      <c r="DE150">
        <v>8.633085000000001</v>
      </c>
      <c r="DF150">
        <v>802.9035000000001</v>
      </c>
      <c r="DG150">
        <v>18.395825</v>
      </c>
      <c r="DH150">
        <v>500.068</v>
      </c>
      <c r="DI150">
        <v>90.0776</v>
      </c>
      <c r="DJ150">
        <v>0.100097525</v>
      </c>
      <c r="DK150">
        <v>25.769525</v>
      </c>
      <c r="DL150">
        <v>24.996325</v>
      </c>
      <c r="DM150">
        <v>999.9</v>
      </c>
      <c r="DN150">
        <v>0</v>
      </c>
      <c r="DO150">
        <v>0</v>
      </c>
      <c r="DP150">
        <v>9979.685000000001</v>
      </c>
      <c r="DQ150">
        <v>0</v>
      </c>
      <c r="DR150">
        <v>3.20383</v>
      </c>
      <c r="DS150">
        <v>-62.94995</v>
      </c>
      <c r="DT150">
        <v>815.9505</v>
      </c>
      <c r="DU150">
        <v>871.4085</v>
      </c>
      <c r="DV150">
        <v>9.768912500000001</v>
      </c>
      <c r="DW150">
        <v>863.8855</v>
      </c>
      <c r="DX150">
        <v>8.633085000000001</v>
      </c>
      <c r="DY150">
        <v>1.65761</v>
      </c>
      <c r="DZ150">
        <v>0.77764775</v>
      </c>
      <c r="EA150">
        <v>14.50505</v>
      </c>
      <c r="EB150">
        <v>3.305705</v>
      </c>
      <c r="EC150">
        <v>1499.9325</v>
      </c>
      <c r="ED150">
        <v>0.9730045</v>
      </c>
      <c r="EE150">
        <v>0.0269958</v>
      </c>
      <c r="EF150">
        <v>0</v>
      </c>
      <c r="EG150">
        <v>1028.2275</v>
      </c>
      <c r="EH150">
        <v>5.00097</v>
      </c>
      <c r="EI150">
        <v>15268.1</v>
      </c>
      <c r="EJ150">
        <v>12491.075</v>
      </c>
      <c r="EK150">
        <v>37.5</v>
      </c>
      <c r="EL150">
        <v>39</v>
      </c>
      <c r="EM150">
        <v>37.875</v>
      </c>
      <c r="EN150">
        <v>38.75</v>
      </c>
      <c r="EO150">
        <v>38.375</v>
      </c>
      <c r="EP150">
        <v>1454.5725</v>
      </c>
      <c r="EQ150">
        <v>40.36</v>
      </c>
      <c r="ER150">
        <v>0</v>
      </c>
      <c r="ES150">
        <v>551.4000000953674</v>
      </c>
      <c r="ET150">
        <v>0</v>
      </c>
      <c r="EU150">
        <v>1032.043461538462</v>
      </c>
      <c r="EV150">
        <v>-35.17709396944276</v>
      </c>
      <c r="EW150">
        <v>-524.8170932926348</v>
      </c>
      <c r="EX150">
        <v>15324.38076923077</v>
      </c>
      <c r="EY150">
        <v>15</v>
      </c>
      <c r="EZ150">
        <v>1651857041.1</v>
      </c>
      <c r="FA150" t="s">
        <v>419</v>
      </c>
      <c r="FB150">
        <v>1651857019.6</v>
      </c>
      <c r="FC150">
        <v>1651857041.1</v>
      </c>
      <c r="FD150">
        <v>1</v>
      </c>
      <c r="FE150">
        <v>0.545</v>
      </c>
      <c r="FF150">
        <v>-0.002</v>
      </c>
      <c r="FG150">
        <v>-1.271</v>
      </c>
      <c r="FH150">
        <v>-0.09</v>
      </c>
      <c r="FI150">
        <v>400</v>
      </c>
      <c r="FJ150">
        <v>10</v>
      </c>
      <c r="FK150">
        <v>0.1</v>
      </c>
      <c r="FL150">
        <v>0.02</v>
      </c>
      <c r="FM150">
        <v>-62.995265</v>
      </c>
      <c r="FN150">
        <v>0.09667992495334418</v>
      </c>
      <c r="FO150">
        <v>0.047607066439763</v>
      </c>
      <c r="FP150">
        <v>-1</v>
      </c>
      <c r="FQ150">
        <v>9.786928750000001</v>
      </c>
      <c r="FR150">
        <v>-0.09637114446533289</v>
      </c>
      <c r="FS150">
        <v>0.009750546186624569</v>
      </c>
      <c r="FT150">
        <v>-1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0</v>
      </c>
      <c r="GA150" t="s">
        <v>432</v>
      </c>
      <c r="GB150">
        <v>2.97996</v>
      </c>
      <c r="GC150">
        <v>2.70611</v>
      </c>
      <c r="GD150">
        <v>0.148579</v>
      </c>
      <c r="GE150">
        <v>0.154253</v>
      </c>
      <c r="GF150">
        <v>0.0879109</v>
      </c>
      <c r="GG150">
        <v>0.0494428</v>
      </c>
      <c r="GH150">
        <v>26864.9</v>
      </c>
      <c r="GI150">
        <v>26743.5</v>
      </c>
      <c r="GJ150">
        <v>29342.3</v>
      </c>
      <c r="GK150">
        <v>29255</v>
      </c>
      <c r="GL150">
        <v>35441.4</v>
      </c>
      <c r="GM150">
        <v>37036.9</v>
      </c>
      <c r="GN150">
        <v>41303.4</v>
      </c>
      <c r="GO150">
        <v>41751.6</v>
      </c>
      <c r="GP150">
        <v>1.9553</v>
      </c>
      <c r="GQ150">
        <v>1.83525</v>
      </c>
      <c r="GR150">
        <v>-0.0345036</v>
      </c>
      <c r="GS150">
        <v>0</v>
      </c>
      <c r="GT150">
        <v>25.5584</v>
      </c>
      <c r="GU150">
        <v>999.9</v>
      </c>
      <c r="GV150">
        <v>38.6</v>
      </c>
      <c r="GW150">
        <v>33.9</v>
      </c>
      <c r="GX150">
        <v>22.7696</v>
      </c>
      <c r="GY150">
        <v>62.4576</v>
      </c>
      <c r="GZ150">
        <v>35.4647</v>
      </c>
      <c r="HA150">
        <v>1</v>
      </c>
      <c r="HB150">
        <v>0.137553</v>
      </c>
      <c r="HC150">
        <v>2.22336</v>
      </c>
      <c r="HD150">
        <v>20.3188</v>
      </c>
      <c r="HE150">
        <v>5.21744</v>
      </c>
      <c r="HF150">
        <v>12.0099</v>
      </c>
      <c r="HG150">
        <v>4.98885</v>
      </c>
      <c r="HH150">
        <v>3.2885</v>
      </c>
      <c r="HI150">
        <v>853.2</v>
      </c>
      <c r="HJ150">
        <v>8492.9</v>
      </c>
      <c r="HK150">
        <v>5139.4</v>
      </c>
      <c r="HL150">
        <v>22.9</v>
      </c>
      <c r="HM150">
        <v>1.86752</v>
      </c>
      <c r="HN150">
        <v>1.86647</v>
      </c>
      <c r="HO150">
        <v>1.866</v>
      </c>
      <c r="HP150">
        <v>1.86587</v>
      </c>
      <c r="HQ150">
        <v>1.86771</v>
      </c>
      <c r="HR150">
        <v>1.87026</v>
      </c>
      <c r="HS150">
        <v>1.8689</v>
      </c>
      <c r="HT150">
        <v>1.87026</v>
      </c>
      <c r="HU150">
        <v>0</v>
      </c>
      <c r="HV150">
        <v>0</v>
      </c>
      <c r="HW150">
        <v>0</v>
      </c>
      <c r="HX150">
        <v>0</v>
      </c>
      <c r="HY150" t="s">
        <v>421</v>
      </c>
      <c r="HZ150" t="s">
        <v>422</v>
      </c>
      <c r="IA150" t="s">
        <v>423</v>
      </c>
      <c r="IB150" t="s">
        <v>423</v>
      </c>
      <c r="IC150" t="s">
        <v>423</v>
      </c>
      <c r="ID150" t="s">
        <v>423</v>
      </c>
      <c r="IE150">
        <v>0</v>
      </c>
      <c r="IF150">
        <v>100</v>
      </c>
      <c r="IG150">
        <v>100</v>
      </c>
      <c r="IH150">
        <v>-1.975</v>
      </c>
      <c r="II150">
        <v>0.0061</v>
      </c>
      <c r="IJ150">
        <v>-0.4995723906072</v>
      </c>
      <c r="IK150">
        <v>-0.002077099775823331</v>
      </c>
      <c r="IL150">
        <v>4.593143279902166E-07</v>
      </c>
      <c r="IM150">
        <v>-1.865383991892071E-10</v>
      </c>
      <c r="IN150">
        <v>-0.07605349583632376</v>
      </c>
      <c r="IO150">
        <v>-0.01129461987421345</v>
      </c>
      <c r="IP150">
        <v>0.00116580895745559</v>
      </c>
      <c r="IQ150">
        <v>-1.679085872906199E-05</v>
      </c>
      <c r="IR150">
        <v>2</v>
      </c>
      <c r="IS150">
        <v>2290</v>
      </c>
      <c r="IT150">
        <v>0</v>
      </c>
      <c r="IU150">
        <v>32</v>
      </c>
      <c r="IV150">
        <v>8.9</v>
      </c>
      <c r="IW150">
        <v>8.5</v>
      </c>
      <c r="IX150">
        <v>1.87378</v>
      </c>
      <c r="IY150">
        <v>2.21436</v>
      </c>
      <c r="IZ150">
        <v>1.39648</v>
      </c>
      <c r="JA150">
        <v>2.35962</v>
      </c>
      <c r="JB150">
        <v>1.49536</v>
      </c>
      <c r="JC150">
        <v>2.35596</v>
      </c>
      <c r="JD150">
        <v>38.4279</v>
      </c>
      <c r="JE150">
        <v>24.0437</v>
      </c>
      <c r="JF150">
        <v>18</v>
      </c>
      <c r="JG150">
        <v>514.975</v>
      </c>
      <c r="JH150">
        <v>423.419</v>
      </c>
      <c r="JI150">
        <v>22.6594</v>
      </c>
      <c r="JJ150">
        <v>29.106</v>
      </c>
      <c r="JK150">
        <v>30.0001</v>
      </c>
      <c r="JL150">
        <v>29.1097</v>
      </c>
      <c r="JM150">
        <v>29.0489</v>
      </c>
      <c r="JN150">
        <v>37.5218</v>
      </c>
      <c r="JO150">
        <v>56.5973</v>
      </c>
      <c r="JP150">
        <v>0</v>
      </c>
      <c r="JQ150">
        <v>22.6594</v>
      </c>
      <c r="JR150">
        <v>888.48</v>
      </c>
      <c r="JS150">
        <v>8.593719999999999</v>
      </c>
      <c r="JT150">
        <v>100.302</v>
      </c>
      <c r="JU150">
        <v>100.211</v>
      </c>
    </row>
    <row r="151" spans="1:281">
      <c r="A151">
        <v>135</v>
      </c>
      <c r="B151">
        <v>1651857554.6</v>
      </c>
      <c r="C151">
        <v>554</v>
      </c>
      <c r="D151" t="s">
        <v>697</v>
      </c>
      <c r="E151" t="s">
        <v>698</v>
      </c>
      <c r="F151">
        <v>2</v>
      </c>
      <c r="G151" t="s">
        <v>413</v>
      </c>
      <c r="H151" t="s">
        <v>414</v>
      </c>
      <c r="I151">
        <v>1651857553.6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873.4587899744816</v>
      </c>
      <c r="AK151">
        <v>825.7666606060603</v>
      </c>
      <c r="AL151">
        <v>3.413885532984693</v>
      </c>
      <c r="AM151">
        <v>66.38384787954378</v>
      </c>
      <c r="AN151">
        <f>(AP151 - AO151 + DI151*1E3/(8.314*(DK151+273.15)) * AR151/DH151 * AQ151) * DH151/(100*CV151) * 1000/(1000 - AP151)</f>
        <v>0</v>
      </c>
      <c r="AO151">
        <v>8.633266192088124</v>
      </c>
      <c r="AP151">
        <v>18.39914205882353</v>
      </c>
      <c r="AQ151">
        <v>-7.407894056757557E-05</v>
      </c>
      <c r="AR151">
        <v>80.44866334591464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417</v>
      </c>
      <c r="AY151" t="s">
        <v>417</v>
      </c>
      <c r="AZ151">
        <v>0</v>
      </c>
      <c r="BA151">
        <v>0</v>
      </c>
      <c r="BB151">
        <f>1-AZ151/BA151</f>
        <v>0</v>
      </c>
      <c r="BC151">
        <v>0</v>
      </c>
      <c r="BD151" t="s">
        <v>417</v>
      </c>
      <c r="BE151" t="s">
        <v>417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1238</v>
      </c>
      <c r="CA151">
        <v>300</v>
      </c>
      <c r="CB151">
        <v>300</v>
      </c>
      <c r="CC151">
        <v>300</v>
      </c>
      <c r="CD151">
        <v>10440.5</v>
      </c>
      <c r="CE151">
        <v>1411.69</v>
      </c>
      <c r="CF151">
        <v>-0.00735121</v>
      </c>
      <c r="CG151">
        <v>-0.77</v>
      </c>
      <c r="CH151" t="s">
        <v>417</v>
      </c>
      <c r="CI151" t="s">
        <v>417</v>
      </c>
      <c r="CJ151" t="s">
        <v>417</v>
      </c>
      <c r="CK151" t="s">
        <v>417</v>
      </c>
      <c r="CL151" t="s">
        <v>417</v>
      </c>
      <c r="CM151" t="s">
        <v>417</v>
      </c>
      <c r="CN151" t="s">
        <v>417</v>
      </c>
      <c r="CO151" t="s">
        <v>417</v>
      </c>
      <c r="CP151" t="s">
        <v>417</v>
      </c>
      <c r="CQ151" t="s">
        <v>417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418</v>
      </c>
      <c r="CY151">
        <v>2</v>
      </c>
      <c r="CZ151" t="b">
        <v>1</v>
      </c>
      <c r="DA151">
        <v>1651857553.6</v>
      </c>
      <c r="DB151">
        <v>808.8953333333333</v>
      </c>
      <c r="DC151">
        <v>871.8473333333335</v>
      </c>
      <c r="DD151">
        <v>18.39946666666667</v>
      </c>
      <c r="DE151">
        <v>8.632623333333333</v>
      </c>
      <c r="DF151">
        <v>810.8766666666667</v>
      </c>
      <c r="DG151">
        <v>18.39336666666667</v>
      </c>
      <c r="DH151">
        <v>500.0563333333334</v>
      </c>
      <c r="DI151">
        <v>90.07566666666666</v>
      </c>
      <c r="DJ151">
        <v>0.0999143</v>
      </c>
      <c r="DK151">
        <v>25.76843333333333</v>
      </c>
      <c r="DL151">
        <v>24.9908</v>
      </c>
      <c r="DM151">
        <v>999.9</v>
      </c>
      <c r="DN151">
        <v>0</v>
      </c>
      <c r="DO151">
        <v>0</v>
      </c>
      <c r="DP151">
        <v>9997.916666666666</v>
      </c>
      <c r="DQ151">
        <v>0</v>
      </c>
      <c r="DR151">
        <v>3.20383</v>
      </c>
      <c r="DS151">
        <v>-62.95189999999999</v>
      </c>
      <c r="DT151">
        <v>824.0573333333333</v>
      </c>
      <c r="DU151">
        <v>879.4393333333334</v>
      </c>
      <c r="DV151">
        <v>9.766876666666668</v>
      </c>
      <c r="DW151">
        <v>871.8473333333335</v>
      </c>
      <c r="DX151">
        <v>8.632623333333333</v>
      </c>
      <c r="DY151">
        <v>1.657346666666667</v>
      </c>
      <c r="DZ151">
        <v>0.7775893333333332</v>
      </c>
      <c r="EA151">
        <v>14.50256666666667</v>
      </c>
      <c r="EB151">
        <v>3.30464</v>
      </c>
      <c r="EC151">
        <v>1499.983333333333</v>
      </c>
      <c r="ED151">
        <v>0.9730053333333334</v>
      </c>
      <c r="EE151">
        <v>0.0269949</v>
      </c>
      <c r="EF151">
        <v>0</v>
      </c>
      <c r="EG151">
        <v>1026.76</v>
      </c>
      <c r="EH151">
        <v>5.00097</v>
      </c>
      <c r="EI151">
        <v>15245.53333333333</v>
      </c>
      <c r="EJ151">
        <v>12491.5</v>
      </c>
      <c r="EK151">
        <v>37.5</v>
      </c>
      <c r="EL151">
        <v>39</v>
      </c>
      <c r="EM151">
        <v>37.875</v>
      </c>
      <c r="EN151">
        <v>38.75</v>
      </c>
      <c r="EO151">
        <v>38.375</v>
      </c>
      <c r="EP151">
        <v>1454.623333333333</v>
      </c>
      <c r="EQ151">
        <v>40.36</v>
      </c>
      <c r="ER151">
        <v>0</v>
      </c>
      <c r="ES151">
        <v>553.8000001907349</v>
      </c>
      <c r="ET151">
        <v>0</v>
      </c>
      <c r="EU151">
        <v>1030.631538461538</v>
      </c>
      <c r="EV151">
        <v>-35.85777777170908</v>
      </c>
      <c r="EW151">
        <v>-535.4871795032918</v>
      </c>
      <c r="EX151">
        <v>15303.03076923077</v>
      </c>
      <c r="EY151">
        <v>15</v>
      </c>
      <c r="EZ151">
        <v>1651857041.1</v>
      </c>
      <c r="FA151" t="s">
        <v>419</v>
      </c>
      <c r="FB151">
        <v>1651857019.6</v>
      </c>
      <c r="FC151">
        <v>1651857041.1</v>
      </c>
      <c r="FD151">
        <v>1</v>
      </c>
      <c r="FE151">
        <v>0.545</v>
      </c>
      <c r="FF151">
        <v>-0.002</v>
      </c>
      <c r="FG151">
        <v>-1.271</v>
      </c>
      <c r="FH151">
        <v>-0.09</v>
      </c>
      <c r="FI151">
        <v>400</v>
      </c>
      <c r="FJ151">
        <v>10</v>
      </c>
      <c r="FK151">
        <v>0.1</v>
      </c>
      <c r="FL151">
        <v>0.02</v>
      </c>
      <c r="FM151">
        <v>-62.99252926829269</v>
      </c>
      <c r="FN151">
        <v>0.1100445993032982</v>
      </c>
      <c r="FO151">
        <v>0.0474547293585055</v>
      </c>
      <c r="FP151">
        <v>-1</v>
      </c>
      <c r="FQ151">
        <v>9.784891951219514</v>
      </c>
      <c r="FR151">
        <v>-0.1046247386759591</v>
      </c>
      <c r="FS151">
        <v>0.01070563043552361</v>
      </c>
      <c r="FT151">
        <v>-1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0</v>
      </c>
      <c r="GA151" t="s">
        <v>432</v>
      </c>
      <c r="GB151">
        <v>2.98</v>
      </c>
      <c r="GC151">
        <v>2.70604</v>
      </c>
      <c r="GD151">
        <v>0.149399</v>
      </c>
      <c r="GE151">
        <v>0.155029</v>
      </c>
      <c r="GF151">
        <v>0.0879084</v>
      </c>
      <c r="GG151">
        <v>0.0494401</v>
      </c>
      <c r="GH151">
        <v>26838.7</v>
      </c>
      <c r="GI151">
        <v>26719</v>
      </c>
      <c r="GJ151">
        <v>29341.9</v>
      </c>
      <c r="GK151">
        <v>29255.1</v>
      </c>
      <c r="GL151">
        <v>35441.1</v>
      </c>
      <c r="GM151">
        <v>37037</v>
      </c>
      <c r="GN151">
        <v>41303</v>
      </c>
      <c r="GO151">
        <v>41751.7</v>
      </c>
      <c r="GP151">
        <v>1.95543</v>
      </c>
      <c r="GQ151">
        <v>1.83525</v>
      </c>
      <c r="GR151">
        <v>-0.0344664</v>
      </c>
      <c r="GS151">
        <v>0</v>
      </c>
      <c r="GT151">
        <v>25.5589</v>
      </c>
      <c r="GU151">
        <v>999.9</v>
      </c>
      <c r="GV151">
        <v>38.6</v>
      </c>
      <c r="GW151">
        <v>33.9</v>
      </c>
      <c r="GX151">
        <v>22.7701</v>
      </c>
      <c r="GY151">
        <v>62.2876</v>
      </c>
      <c r="GZ151">
        <v>35.3045</v>
      </c>
      <c r="HA151">
        <v>1</v>
      </c>
      <c r="HB151">
        <v>0.137391</v>
      </c>
      <c r="HC151">
        <v>2.20167</v>
      </c>
      <c r="HD151">
        <v>20.3207</v>
      </c>
      <c r="HE151">
        <v>5.21729</v>
      </c>
      <c r="HF151">
        <v>12.0099</v>
      </c>
      <c r="HG151">
        <v>4.9889</v>
      </c>
      <c r="HH151">
        <v>3.28855</v>
      </c>
      <c r="HI151">
        <v>853.2</v>
      </c>
      <c r="HJ151">
        <v>8492.9</v>
      </c>
      <c r="HK151">
        <v>5139.4</v>
      </c>
      <c r="HL151">
        <v>22.9</v>
      </c>
      <c r="HM151">
        <v>1.86752</v>
      </c>
      <c r="HN151">
        <v>1.86647</v>
      </c>
      <c r="HO151">
        <v>1.866</v>
      </c>
      <c r="HP151">
        <v>1.86586</v>
      </c>
      <c r="HQ151">
        <v>1.86774</v>
      </c>
      <c r="HR151">
        <v>1.87026</v>
      </c>
      <c r="HS151">
        <v>1.8689</v>
      </c>
      <c r="HT151">
        <v>1.87026</v>
      </c>
      <c r="HU151">
        <v>0</v>
      </c>
      <c r="HV151">
        <v>0</v>
      </c>
      <c r="HW151">
        <v>0</v>
      </c>
      <c r="HX151">
        <v>0</v>
      </c>
      <c r="HY151" t="s">
        <v>421</v>
      </c>
      <c r="HZ151" t="s">
        <v>422</v>
      </c>
      <c r="IA151" t="s">
        <v>423</v>
      </c>
      <c r="IB151" t="s">
        <v>423</v>
      </c>
      <c r="IC151" t="s">
        <v>423</v>
      </c>
      <c r="ID151" t="s">
        <v>423</v>
      </c>
      <c r="IE151">
        <v>0</v>
      </c>
      <c r="IF151">
        <v>100</v>
      </c>
      <c r="IG151">
        <v>100</v>
      </c>
      <c r="IH151">
        <v>-1.987</v>
      </c>
      <c r="II151">
        <v>0.0061</v>
      </c>
      <c r="IJ151">
        <v>-0.4995723906072</v>
      </c>
      <c r="IK151">
        <v>-0.002077099775823331</v>
      </c>
      <c r="IL151">
        <v>4.593143279902166E-07</v>
      </c>
      <c r="IM151">
        <v>-1.865383991892071E-10</v>
      </c>
      <c r="IN151">
        <v>-0.07605349583632376</v>
      </c>
      <c r="IO151">
        <v>-0.01129461987421345</v>
      </c>
      <c r="IP151">
        <v>0.00116580895745559</v>
      </c>
      <c r="IQ151">
        <v>-1.679085872906199E-05</v>
      </c>
      <c r="IR151">
        <v>2</v>
      </c>
      <c r="IS151">
        <v>2290</v>
      </c>
      <c r="IT151">
        <v>0</v>
      </c>
      <c r="IU151">
        <v>32</v>
      </c>
      <c r="IV151">
        <v>8.9</v>
      </c>
      <c r="IW151">
        <v>8.6</v>
      </c>
      <c r="IX151">
        <v>1.88599</v>
      </c>
      <c r="IY151">
        <v>2.22046</v>
      </c>
      <c r="IZ151">
        <v>1.39648</v>
      </c>
      <c r="JA151">
        <v>2.35962</v>
      </c>
      <c r="JB151">
        <v>1.49536</v>
      </c>
      <c r="JC151">
        <v>2.28394</v>
      </c>
      <c r="JD151">
        <v>38.4279</v>
      </c>
      <c r="JE151">
        <v>24.035</v>
      </c>
      <c r="JF151">
        <v>18</v>
      </c>
      <c r="JG151">
        <v>515.047</v>
      </c>
      <c r="JH151">
        <v>423.415</v>
      </c>
      <c r="JI151">
        <v>22.658</v>
      </c>
      <c r="JJ151">
        <v>29.106</v>
      </c>
      <c r="JK151">
        <v>30</v>
      </c>
      <c r="JL151">
        <v>29.1085</v>
      </c>
      <c r="JM151">
        <v>29.0483</v>
      </c>
      <c r="JN151">
        <v>37.7518</v>
      </c>
      <c r="JO151">
        <v>56.5973</v>
      </c>
      <c r="JP151">
        <v>0</v>
      </c>
      <c r="JQ151">
        <v>22.6659</v>
      </c>
      <c r="JR151">
        <v>895.158</v>
      </c>
      <c r="JS151">
        <v>8.593719999999999</v>
      </c>
      <c r="JT151">
        <v>100.301</v>
      </c>
      <c r="JU151">
        <v>100.211</v>
      </c>
    </row>
    <row r="152" spans="1:281">
      <c r="A152">
        <v>136</v>
      </c>
      <c r="B152">
        <v>1651857556.6</v>
      </c>
      <c r="C152">
        <v>556</v>
      </c>
      <c r="D152" t="s">
        <v>699</v>
      </c>
      <c r="E152" t="s">
        <v>700</v>
      </c>
      <c r="F152">
        <v>2</v>
      </c>
      <c r="G152" t="s">
        <v>413</v>
      </c>
      <c r="H152" t="s">
        <v>414</v>
      </c>
      <c r="I152">
        <v>1651857555.225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880.2205988444856</v>
      </c>
      <c r="AK152">
        <v>832.656575757575</v>
      </c>
      <c r="AL152">
        <v>3.433878793529956</v>
      </c>
      <c r="AM152">
        <v>66.38384787954378</v>
      </c>
      <c r="AN152">
        <f>(AP152 - AO152 + DI152*1E3/(8.314*(DK152+273.15)) * AR152/DH152 * AQ152) * DH152/(100*CV152) * 1000/(1000 - AP152)</f>
        <v>0</v>
      </c>
      <c r="AO152">
        <v>8.632941249841549</v>
      </c>
      <c r="AP152">
        <v>18.39597529411764</v>
      </c>
      <c r="AQ152">
        <v>-4.033886572580089E-05</v>
      </c>
      <c r="AR152">
        <v>80.44866334591464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417</v>
      </c>
      <c r="AY152" t="s">
        <v>417</v>
      </c>
      <c r="AZ152">
        <v>0</v>
      </c>
      <c r="BA152">
        <v>0</v>
      </c>
      <c r="BB152">
        <f>1-AZ152/BA152</f>
        <v>0</v>
      </c>
      <c r="BC152">
        <v>0</v>
      </c>
      <c r="BD152" t="s">
        <v>417</v>
      </c>
      <c r="BE152" t="s">
        <v>417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1238</v>
      </c>
      <c r="CA152">
        <v>300</v>
      </c>
      <c r="CB152">
        <v>300</v>
      </c>
      <c r="CC152">
        <v>300</v>
      </c>
      <c r="CD152">
        <v>10440.5</v>
      </c>
      <c r="CE152">
        <v>1411.69</v>
      </c>
      <c r="CF152">
        <v>-0.00735121</v>
      </c>
      <c r="CG152">
        <v>-0.77</v>
      </c>
      <c r="CH152" t="s">
        <v>417</v>
      </c>
      <c r="CI152" t="s">
        <v>417</v>
      </c>
      <c r="CJ152" t="s">
        <v>417</v>
      </c>
      <c r="CK152" t="s">
        <v>417</v>
      </c>
      <c r="CL152" t="s">
        <v>417</v>
      </c>
      <c r="CM152" t="s">
        <v>417</v>
      </c>
      <c r="CN152" t="s">
        <v>417</v>
      </c>
      <c r="CO152" t="s">
        <v>417</v>
      </c>
      <c r="CP152" t="s">
        <v>417</v>
      </c>
      <c r="CQ152" t="s">
        <v>417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418</v>
      </c>
      <c r="CY152">
        <v>2</v>
      </c>
      <c r="CZ152" t="b">
        <v>1</v>
      </c>
      <c r="DA152">
        <v>1651857555.225</v>
      </c>
      <c r="DB152">
        <v>814.38225</v>
      </c>
      <c r="DC152">
        <v>877.2939999999999</v>
      </c>
      <c r="DD152">
        <v>18.396825</v>
      </c>
      <c r="DE152">
        <v>8.632645</v>
      </c>
      <c r="DF152">
        <v>816.373</v>
      </c>
      <c r="DG152">
        <v>18.39075</v>
      </c>
      <c r="DH152">
        <v>500.04875</v>
      </c>
      <c r="DI152">
        <v>90.0744</v>
      </c>
      <c r="DJ152">
        <v>0.100024725</v>
      </c>
      <c r="DK152">
        <v>25.767375</v>
      </c>
      <c r="DL152">
        <v>24.996475</v>
      </c>
      <c r="DM152">
        <v>999.9</v>
      </c>
      <c r="DN152">
        <v>0</v>
      </c>
      <c r="DO152">
        <v>0</v>
      </c>
      <c r="DP152">
        <v>9988.4375</v>
      </c>
      <c r="DQ152">
        <v>0</v>
      </c>
      <c r="DR152">
        <v>3.20383</v>
      </c>
      <c r="DS152">
        <v>-62.911525</v>
      </c>
      <c r="DT152">
        <v>829.64525</v>
      </c>
      <c r="DU152">
        <v>884.93325</v>
      </c>
      <c r="DV152">
        <v>9.7641925</v>
      </c>
      <c r="DW152">
        <v>877.2939999999999</v>
      </c>
      <c r="DX152">
        <v>8.632645</v>
      </c>
      <c r="DY152">
        <v>1.657085</v>
      </c>
      <c r="DZ152">
        <v>0.77758025</v>
      </c>
      <c r="EA152">
        <v>14.50015</v>
      </c>
      <c r="EB152">
        <v>3.304475</v>
      </c>
      <c r="EC152">
        <v>1500.015</v>
      </c>
      <c r="ED152">
        <v>0.97300575</v>
      </c>
      <c r="EE152">
        <v>0.02699445</v>
      </c>
      <c r="EF152">
        <v>0</v>
      </c>
      <c r="EG152">
        <v>1025.7575</v>
      </c>
      <c r="EH152">
        <v>5.00097</v>
      </c>
      <c r="EI152">
        <v>15230.15</v>
      </c>
      <c r="EJ152">
        <v>12491.725</v>
      </c>
      <c r="EK152">
        <v>37.5</v>
      </c>
      <c r="EL152">
        <v>39</v>
      </c>
      <c r="EM152">
        <v>37.875</v>
      </c>
      <c r="EN152">
        <v>38.75</v>
      </c>
      <c r="EO152">
        <v>38.375</v>
      </c>
      <c r="EP152">
        <v>1454.655</v>
      </c>
      <c r="EQ152">
        <v>40.36</v>
      </c>
      <c r="ER152">
        <v>0</v>
      </c>
      <c r="ES152">
        <v>555.6000001430511</v>
      </c>
      <c r="ET152">
        <v>0</v>
      </c>
      <c r="EU152">
        <v>1029.34</v>
      </c>
      <c r="EV152">
        <v>-36.46307691213407</v>
      </c>
      <c r="EW152">
        <v>-546.5000000549849</v>
      </c>
      <c r="EX152">
        <v>15284.156</v>
      </c>
      <c r="EY152">
        <v>15</v>
      </c>
      <c r="EZ152">
        <v>1651857041.1</v>
      </c>
      <c r="FA152" t="s">
        <v>419</v>
      </c>
      <c r="FB152">
        <v>1651857019.6</v>
      </c>
      <c r="FC152">
        <v>1651857041.1</v>
      </c>
      <c r="FD152">
        <v>1</v>
      </c>
      <c r="FE152">
        <v>0.545</v>
      </c>
      <c r="FF152">
        <v>-0.002</v>
      </c>
      <c r="FG152">
        <v>-1.271</v>
      </c>
      <c r="FH152">
        <v>-0.09</v>
      </c>
      <c r="FI152">
        <v>400</v>
      </c>
      <c r="FJ152">
        <v>10</v>
      </c>
      <c r="FK152">
        <v>0.1</v>
      </c>
      <c r="FL152">
        <v>0.02</v>
      </c>
      <c r="FM152">
        <v>-62.98517</v>
      </c>
      <c r="FN152">
        <v>0.1571166979362814</v>
      </c>
      <c r="FO152">
        <v>0.05017766036793684</v>
      </c>
      <c r="FP152">
        <v>-1</v>
      </c>
      <c r="FQ152">
        <v>9.78228775</v>
      </c>
      <c r="FR152">
        <v>-0.1139188367729924</v>
      </c>
      <c r="FS152">
        <v>0.0112011388901977</v>
      </c>
      <c r="FT152">
        <v>-1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0</v>
      </c>
      <c r="GA152" t="s">
        <v>432</v>
      </c>
      <c r="GB152">
        <v>2.97985</v>
      </c>
      <c r="GC152">
        <v>2.70606</v>
      </c>
      <c r="GD152">
        <v>0.15022</v>
      </c>
      <c r="GE152">
        <v>0.155804</v>
      </c>
      <c r="GF152">
        <v>0.0878941</v>
      </c>
      <c r="GG152">
        <v>0.0494361</v>
      </c>
      <c r="GH152">
        <v>26812.4</v>
      </c>
      <c r="GI152">
        <v>26694.7</v>
      </c>
      <c r="GJ152">
        <v>29341.5</v>
      </c>
      <c r="GK152">
        <v>29255.3</v>
      </c>
      <c r="GL152">
        <v>35441.3</v>
      </c>
      <c r="GM152">
        <v>37037.4</v>
      </c>
      <c r="GN152">
        <v>41302.5</v>
      </c>
      <c r="GO152">
        <v>41751.8</v>
      </c>
      <c r="GP152">
        <v>1.95548</v>
      </c>
      <c r="GQ152">
        <v>1.83538</v>
      </c>
      <c r="GR152">
        <v>-0.0341609</v>
      </c>
      <c r="GS152">
        <v>0</v>
      </c>
      <c r="GT152">
        <v>25.56</v>
      </c>
      <c r="GU152">
        <v>999.9</v>
      </c>
      <c r="GV152">
        <v>38.6</v>
      </c>
      <c r="GW152">
        <v>33.9</v>
      </c>
      <c r="GX152">
        <v>22.7686</v>
      </c>
      <c r="GY152">
        <v>62.5976</v>
      </c>
      <c r="GZ152">
        <v>35.633</v>
      </c>
      <c r="HA152">
        <v>1</v>
      </c>
      <c r="HB152">
        <v>0.137325</v>
      </c>
      <c r="HC152">
        <v>2.18295</v>
      </c>
      <c r="HD152">
        <v>20.3211</v>
      </c>
      <c r="HE152">
        <v>5.21729</v>
      </c>
      <c r="HF152">
        <v>12.0099</v>
      </c>
      <c r="HG152">
        <v>4.989</v>
      </c>
      <c r="HH152">
        <v>3.28863</v>
      </c>
      <c r="HI152">
        <v>853.2</v>
      </c>
      <c r="HJ152">
        <v>8492.9</v>
      </c>
      <c r="HK152">
        <v>5139.4</v>
      </c>
      <c r="HL152">
        <v>22.9</v>
      </c>
      <c r="HM152">
        <v>1.86752</v>
      </c>
      <c r="HN152">
        <v>1.86649</v>
      </c>
      <c r="HO152">
        <v>1.866</v>
      </c>
      <c r="HP152">
        <v>1.86588</v>
      </c>
      <c r="HQ152">
        <v>1.86773</v>
      </c>
      <c r="HR152">
        <v>1.87026</v>
      </c>
      <c r="HS152">
        <v>1.8689</v>
      </c>
      <c r="HT152">
        <v>1.87026</v>
      </c>
      <c r="HU152">
        <v>0</v>
      </c>
      <c r="HV152">
        <v>0</v>
      </c>
      <c r="HW152">
        <v>0</v>
      </c>
      <c r="HX152">
        <v>0</v>
      </c>
      <c r="HY152" t="s">
        <v>421</v>
      </c>
      <c r="HZ152" t="s">
        <v>422</v>
      </c>
      <c r="IA152" t="s">
        <v>423</v>
      </c>
      <c r="IB152" t="s">
        <v>423</v>
      </c>
      <c r="IC152" t="s">
        <v>423</v>
      </c>
      <c r="ID152" t="s">
        <v>423</v>
      </c>
      <c r="IE152">
        <v>0</v>
      </c>
      <c r="IF152">
        <v>100</v>
      </c>
      <c r="IG152">
        <v>100</v>
      </c>
      <c r="IH152">
        <v>-1.998</v>
      </c>
      <c r="II152">
        <v>0.006</v>
      </c>
      <c r="IJ152">
        <v>-0.4995723906072</v>
      </c>
      <c r="IK152">
        <v>-0.002077099775823331</v>
      </c>
      <c r="IL152">
        <v>4.593143279902166E-07</v>
      </c>
      <c r="IM152">
        <v>-1.865383991892071E-10</v>
      </c>
      <c r="IN152">
        <v>-0.07605349583632376</v>
      </c>
      <c r="IO152">
        <v>-0.01129461987421345</v>
      </c>
      <c r="IP152">
        <v>0.00116580895745559</v>
      </c>
      <c r="IQ152">
        <v>-1.679085872906199E-05</v>
      </c>
      <c r="IR152">
        <v>2</v>
      </c>
      <c r="IS152">
        <v>2290</v>
      </c>
      <c r="IT152">
        <v>0</v>
      </c>
      <c r="IU152">
        <v>32</v>
      </c>
      <c r="IV152">
        <v>8.9</v>
      </c>
      <c r="IW152">
        <v>8.6</v>
      </c>
      <c r="IX152">
        <v>1.89697</v>
      </c>
      <c r="IY152">
        <v>2.21313</v>
      </c>
      <c r="IZ152">
        <v>1.39648</v>
      </c>
      <c r="JA152">
        <v>2.35962</v>
      </c>
      <c r="JB152">
        <v>1.49536</v>
      </c>
      <c r="JC152">
        <v>2.34863</v>
      </c>
      <c r="JD152">
        <v>38.4279</v>
      </c>
      <c r="JE152">
        <v>24.0437</v>
      </c>
      <c r="JF152">
        <v>18</v>
      </c>
      <c r="JG152">
        <v>515.0700000000001</v>
      </c>
      <c r="JH152">
        <v>423.481</v>
      </c>
      <c r="JI152">
        <v>22.6593</v>
      </c>
      <c r="JJ152">
        <v>29.106</v>
      </c>
      <c r="JK152">
        <v>30</v>
      </c>
      <c r="JL152">
        <v>29.1074</v>
      </c>
      <c r="JM152">
        <v>29.047</v>
      </c>
      <c r="JN152">
        <v>37.9805</v>
      </c>
      <c r="JO152">
        <v>56.5973</v>
      </c>
      <c r="JP152">
        <v>0</v>
      </c>
      <c r="JQ152">
        <v>22.6659</v>
      </c>
      <c r="JR152">
        <v>901.837</v>
      </c>
      <c r="JS152">
        <v>8.593719999999999</v>
      </c>
      <c r="JT152">
        <v>100.3</v>
      </c>
      <c r="JU152">
        <v>100.212</v>
      </c>
    </row>
    <row r="153" spans="1:281">
      <c r="A153">
        <v>137</v>
      </c>
      <c r="B153">
        <v>1651857558.6</v>
      </c>
      <c r="C153">
        <v>558</v>
      </c>
      <c r="D153" t="s">
        <v>701</v>
      </c>
      <c r="E153" t="s">
        <v>702</v>
      </c>
      <c r="F153">
        <v>2</v>
      </c>
      <c r="G153" t="s">
        <v>413</v>
      </c>
      <c r="H153" t="s">
        <v>414</v>
      </c>
      <c r="I153">
        <v>1651857557.6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886.9749415448465</v>
      </c>
      <c r="AK153">
        <v>839.4562787878789</v>
      </c>
      <c r="AL153">
        <v>3.41535462874007</v>
      </c>
      <c r="AM153">
        <v>66.38384787954378</v>
      </c>
      <c r="AN153">
        <f>(AP153 - AO153 + DI153*1E3/(8.314*(DK153+273.15)) * AR153/DH153 * AQ153) * DH153/(100*CV153) * 1000/(1000 - AP153)</f>
        <v>0</v>
      </c>
      <c r="AO153">
        <v>8.632707377717642</v>
      </c>
      <c r="AP153">
        <v>18.38879411764706</v>
      </c>
      <c r="AQ153">
        <v>-7.238720465276609E-06</v>
      </c>
      <c r="AR153">
        <v>80.44866334591464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417</v>
      </c>
      <c r="AY153" t="s">
        <v>417</v>
      </c>
      <c r="AZ153">
        <v>0</v>
      </c>
      <c r="BA153">
        <v>0</v>
      </c>
      <c r="BB153">
        <f>1-AZ153/BA153</f>
        <v>0</v>
      </c>
      <c r="BC153">
        <v>0</v>
      </c>
      <c r="BD153" t="s">
        <v>417</v>
      </c>
      <c r="BE153" t="s">
        <v>417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1238</v>
      </c>
      <c r="CA153">
        <v>300</v>
      </c>
      <c r="CB153">
        <v>300</v>
      </c>
      <c r="CC153">
        <v>300</v>
      </c>
      <c r="CD153">
        <v>10440.5</v>
      </c>
      <c r="CE153">
        <v>1411.69</v>
      </c>
      <c r="CF153">
        <v>-0.00735121</v>
      </c>
      <c r="CG153">
        <v>-0.77</v>
      </c>
      <c r="CH153" t="s">
        <v>417</v>
      </c>
      <c r="CI153" t="s">
        <v>417</v>
      </c>
      <c r="CJ153" t="s">
        <v>417</v>
      </c>
      <c r="CK153" t="s">
        <v>417</v>
      </c>
      <c r="CL153" t="s">
        <v>417</v>
      </c>
      <c r="CM153" t="s">
        <v>417</v>
      </c>
      <c r="CN153" t="s">
        <v>417</v>
      </c>
      <c r="CO153" t="s">
        <v>417</v>
      </c>
      <c r="CP153" t="s">
        <v>417</v>
      </c>
      <c r="CQ153" t="s">
        <v>417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418</v>
      </c>
      <c r="CY153">
        <v>2</v>
      </c>
      <c r="CZ153" t="b">
        <v>1</v>
      </c>
      <c r="DA153">
        <v>1651857557.6</v>
      </c>
      <c r="DB153">
        <v>822.3516666666666</v>
      </c>
      <c r="DC153">
        <v>885.2023333333333</v>
      </c>
      <c r="DD153">
        <v>18.39006666666667</v>
      </c>
      <c r="DE153">
        <v>8.631593333333335</v>
      </c>
      <c r="DF153">
        <v>824.3556666666667</v>
      </c>
      <c r="DG153">
        <v>18.38406666666667</v>
      </c>
      <c r="DH153">
        <v>500.0206666666666</v>
      </c>
      <c r="DI153">
        <v>90.0745</v>
      </c>
      <c r="DJ153">
        <v>0.09997696666666667</v>
      </c>
      <c r="DK153">
        <v>25.7681</v>
      </c>
      <c r="DL153">
        <v>25.00323333333333</v>
      </c>
      <c r="DM153">
        <v>999.9</v>
      </c>
      <c r="DN153">
        <v>0</v>
      </c>
      <c r="DO153">
        <v>0</v>
      </c>
      <c r="DP153">
        <v>10000.41666666667</v>
      </c>
      <c r="DQ153">
        <v>0</v>
      </c>
      <c r="DR153">
        <v>3.20383</v>
      </c>
      <c r="DS153">
        <v>-62.85066666666666</v>
      </c>
      <c r="DT153">
        <v>837.7583333333332</v>
      </c>
      <c r="DU153">
        <v>892.9096666666668</v>
      </c>
      <c r="DV153">
        <v>9.758463333333333</v>
      </c>
      <c r="DW153">
        <v>885.2023333333333</v>
      </c>
      <c r="DX153">
        <v>8.631593333333335</v>
      </c>
      <c r="DY153">
        <v>1.656476666666667</v>
      </c>
      <c r="DZ153">
        <v>0.7774866666666668</v>
      </c>
      <c r="EA153">
        <v>14.49446666666667</v>
      </c>
      <c r="EB153">
        <v>3.302773333333333</v>
      </c>
      <c r="EC153">
        <v>1500.083333333333</v>
      </c>
      <c r="ED153">
        <v>0.973007</v>
      </c>
      <c r="EE153">
        <v>0.0269931</v>
      </c>
      <c r="EF153">
        <v>0</v>
      </c>
      <c r="EG153">
        <v>1024.413333333333</v>
      </c>
      <c r="EH153">
        <v>5.00097</v>
      </c>
      <c r="EI153">
        <v>15209.43333333333</v>
      </c>
      <c r="EJ153">
        <v>12492.33333333333</v>
      </c>
      <c r="EK153">
        <v>37.5</v>
      </c>
      <c r="EL153">
        <v>39</v>
      </c>
      <c r="EM153">
        <v>37.875</v>
      </c>
      <c r="EN153">
        <v>38.75</v>
      </c>
      <c r="EO153">
        <v>38.375</v>
      </c>
      <c r="EP153">
        <v>1454.723333333333</v>
      </c>
      <c r="EQ153">
        <v>40.36</v>
      </c>
      <c r="ER153">
        <v>0</v>
      </c>
      <c r="ES153">
        <v>557.4000000953674</v>
      </c>
      <c r="ET153">
        <v>0</v>
      </c>
      <c r="EU153">
        <v>1028.418076923077</v>
      </c>
      <c r="EV153">
        <v>-36.46529907496855</v>
      </c>
      <c r="EW153">
        <v>-545.7982899189698</v>
      </c>
      <c r="EX153">
        <v>15270.43076923077</v>
      </c>
      <c r="EY153">
        <v>15</v>
      </c>
      <c r="EZ153">
        <v>1651857041.1</v>
      </c>
      <c r="FA153" t="s">
        <v>419</v>
      </c>
      <c r="FB153">
        <v>1651857019.6</v>
      </c>
      <c r="FC153">
        <v>1651857041.1</v>
      </c>
      <c r="FD153">
        <v>1</v>
      </c>
      <c r="FE153">
        <v>0.545</v>
      </c>
      <c r="FF153">
        <v>-0.002</v>
      </c>
      <c r="FG153">
        <v>-1.271</v>
      </c>
      <c r="FH153">
        <v>-0.09</v>
      </c>
      <c r="FI153">
        <v>400</v>
      </c>
      <c r="FJ153">
        <v>10</v>
      </c>
      <c r="FK153">
        <v>0.1</v>
      </c>
      <c r="FL153">
        <v>0.02</v>
      </c>
      <c r="FM153">
        <v>-62.97297560975609</v>
      </c>
      <c r="FN153">
        <v>0.3816167247386017</v>
      </c>
      <c r="FO153">
        <v>0.06166894613426695</v>
      </c>
      <c r="FP153">
        <v>-1</v>
      </c>
      <c r="FQ153">
        <v>9.778381219512195</v>
      </c>
      <c r="FR153">
        <v>-0.1191386759582041</v>
      </c>
      <c r="FS153">
        <v>0.01190867857245538</v>
      </c>
      <c r="FT153">
        <v>-1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0</v>
      </c>
      <c r="GA153" t="s">
        <v>432</v>
      </c>
      <c r="GB153">
        <v>2.97998</v>
      </c>
      <c r="GC153">
        <v>2.70614</v>
      </c>
      <c r="GD153">
        <v>0.151032</v>
      </c>
      <c r="GE153">
        <v>0.15658</v>
      </c>
      <c r="GF153">
        <v>0.0878699</v>
      </c>
      <c r="GG153">
        <v>0.0494348</v>
      </c>
      <c r="GH153">
        <v>26786.6</v>
      </c>
      <c r="GI153">
        <v>26670.2</v>
      </c>
      <c r="GJ153">
        <v>29341.3</v>
      </c>
      <c r="GK153">
        <v>29255.4</v>
      </c>
      <c r="GL153">
        <v>35442</v>
      </c>
      <c r="GM153">
        <v>37037.7</v>
      </c>
      <c r="GN153">
        <v>41302.1</v>
      </c>
      <c r="GO153">
        <v>41752.1</v>
      </c>
      <c r="GP153">
        <v>1.95548</v>
      </c>
      <c r="GQ153">
        <v>1.83525</v>
      </c>
      <c r="GR153">
        <v>-0.0338703</v>
      </c>
      <c r="GS153">
        <v>0</v>
      </c>
      <c r="GT153">
        <v>25.5611</v>
      </c>
      <c r="GU153">
        <v>999.9</v>
      </c>
      <c r="GV153">
        <v>38.6</v>
      </c>
      <c r="GW153">
        <v>33.9</v>
      </c>
      <c r="GX153">
        <v>22.7694</v>
      </c>
      <c r="GY153">
        <v>62.3976</v>
      </c>
      <c r="GZ153">
        <v>35.2284</v>
      </c>
      <c r="HA153">
        <v>1</v>
      </c>
      <c r="HB153">
        <v>0.137279</v>
      </c>
      <c r="HC153">
        <v>2.18221</v>
      </c>
      <c r="HD153">
        <v>20.3185</v>
      </c>
      <c r="HE153">
        <v>5.21774</v>
      </c>
      <c r="HF153">
        <v>12.0099</v>
      </c>
      <c r="HG153">
        <v>4.9888</v>
      </c>
      <c r="HH153">
        <v>3.28863</v>
      </c>
      <c r="HI153">
        <v>853.2</v>
      </c>
      <c r="HJ153">
        <v>8492.9</v>
      </c>
      <c r="HK153">
        <v>5139.4</v>
      </c>
      <c r="HL153">
        <v>22.9</v>
      </c>
      <c r="HM153">
        <v>1.86752</v>
      </c>
      <c r="HN153">
        <v>1.86647</v>
      </c>
      <c r="HO153">
        <v>1.866</v>
      </c>
      <c r="HP153">
        <v>1.86589</v>
      </c>
      <c r="HQ153">
        <v>1.86773</v>
      </c>
      <c r="HR153">
        <v>1.87026</v>
      </c>
      <c r="HS153">
        <v>1.8689</v>
      </c>
      <c r="HT153">
        <v>1.87025</v>
      </c>
      <c r="HU153">
        <v>0</v>
      </c>
      <c r="HV153">
        <v>0</v>
      </c>
      <c r="HW153">
        <v>0</v>
      </c>
      <c r="HX153">
        <v>0</v>
      </c>
      <c r="HY153" t="s">
        <v>421</v>
      </c>
      <c r="HZ153" t="s">
        <v>422</v>
      </c>
      <c r="IA153" t="s">
        <v>423</v>
      </c>
      <c r="IB153" t="s">
        <v>423</v>
      </c>
      <c r="IC153" t="s">
        <v>423</v>
      </c>
      <c r="ID153" t="s">
        <v>423</v>
      </c>
      <c r="IE153">
        <v>0</v>
      </c>
      <c r="IF153">
        <v>100</v>
      </c>
      <c r="IG153">
        <v>100</v>
      </c>
      <c r="IH153">
        <v>-2.01</v>
      </c>
      <c r="II153">
        <v>0.0059</v>
      </c>
      <c r="IJ153">
        <v>-0.4995723906072</v>
      </c>
      <c r="IK153">
        <v>-0.002077099775823331</v>
      </c>
      <c r="IL153">
        <v>4.593143279902166E-07</v>
      </c>
      <c r="IM153">
        <v>-1.865383991892071E-10</v>
      </c>
      <c r="IN153">
        <v>-0.07605349583632376</v>
      </c>
      <c r="IO153">
        <v>-0.01129461987421345</v>
      </c>
      <c r="IP153">
        <v>0.00116580895745559</v>
      </c>
      <c r="IQ153">
        <v>-1.679085872906199E-05</v>
      </c>
      <c r="IR153">
        <v>2</v>
      </c>
      <c r="IS153">
        <v>2290</v>
      </c>
      <c r="IT153">
        <v>0</v>
      </c>
      <c r="IU153">
        <v>32</v>
      </c>
      <c r="IV153">
        <v>9</v>
      </c>
      <c r="IW153">
        <v>8.6</v>
      </c>
      <c r="IX153">
        <v>1.90796</v>
      </c>
      <c r="IY153">
        <v>2.21069</v>
      </c>
      <c r="IZ153">
        <v>1.39648</v>
      </c>
      <c r="JA153">
        <v>2.35962</v>
      </c>
      <c r="JB153">
        <v>1.49536</v>
      </c>
      <c r="JC153">
        <v>2.31567</v>
      </c>
      <c r="JD153">
        <v>38.4279</v>
      </c>
      <c r="JE153">
        <v>24.0437</v>
      </c>
      <c r="JF153">
        <v>18</v>
      </c>
      <c r="JG153">
        <v>515.0700000000001</v>
      </c>
      <c r="JH153">
        <v>423.401</v>
      </c>
      <c r="JI153">
        <v>22.6622</v>
      </c>
      <c r="JJ153">
        <v>29.1059</v>
      </c>
      <c r="JK153">
        <v>30</v>
      </c>
      <c r="JL153">
        <v>29.1074</v>
      </c>
      <c r="JM153">
        <v>29.0464</v>
      </c>
      <c r="JN153">
        <v>38.2083</v>
      </c>
      <c r="JO153">
        <v>56.5973</v>
      </c>
      <c r="JP153">
        <v>0</v>
      </c>
      <c r="JQ153">
        <v>22.6674</v>
      </c>
      <c r="JR153">
        <v>908.516</v>
      </c>
      <c r="JS153">
        <v>8.593719999999999</v>
      </c>
      <c r="JT153">
        <v>100.299</v>
      </c>
      <c r="JU153">
        <v>100.212</v>
      </c>
    </row>
    <row r="154" spans="1:281">
      <c r="A154">
        <v>138</v>
      </c>
      <c r="B154">
        <v>1651857560.6</v>
      </c>
      <c r="C154">
        <v>560</v>
      </c>
      <c r="D154" t="s">
        <v>703</v>
      </c>
      <c r="E154" t="s">
        <v>704</v>
      </c>
      <c r="F154">
        <v>2</v>
      </c>
      <c r="G154" t="s">
        <v>413</v>
      </c>
      <c r="H154" t="s">
        <v>414</v>
      </c>
      <c r="I154">
        <v>1651857559.225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893.6860396270174</v>
      </c>
      <c r="AK154">
        <v>846.1559939393942</v>
      </c>
      <c r="AL154">
        <v>3.369404734864781</v>
      </c>
      <c r="AM154">
        <v>66.38384787954378</v>
      </c>
      <c r="AN154">
        <f>(AP154 - AO154 + DI154*1E3/(8.314*(DK154+273.15)) * AR154/DH154 * AQ154) * DH154/(100*CV154) * 1000/(1000 - AP154)</f>
        <v>0</v>
      </c>
      <c r="AO154">
        <v>8.632276985933556</v>
      </c>
      <c r="AP154">
        <v>18.38244411764706</v>
      </c>
      <c r="AQ154">
        <v>-2.517474086046607E-05</v>
      </c>
      <c r="AR154">
        <v>80.44866334591464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417</v>
      </c>
      <c r="AY154" t="s">
        <v>417</v>
      </c>
      <c r="AZ154">
        <v>0</v>
      </c>
      <c r="BA154">
        <v>0</v>
      </c>
      <c r="BB154">
        <f>1-AZ154/BA154</f>
        <v>0</v>
      </c>
      <c r="BC154">
        <v>0</v>
      </c>
      <c r="BD154" t="s">
        <v>417</v>
      </c>
      <c r="BE154" t="s">
        <v>417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1238</v>
      </c>
      <c r="CA154">
        <v>300</v>
      </c>
      <c r="CB154">
        <v>300</v>
      </c>
      <c r="CC154">
        <v>300</v>
      </c>
      <c r="CD154">
        <v>10440.5</v>
      </c>
      <c r="CE154">
        <v>1411.69</v>
      </c>
      <c r="CF154">
        <v>-0.00735121</v>
      </c>
      <c r="CG154">
        <v>-0.77</v>
      </c>
      <c r="CH154" t="s">
        <v>417</v>
      </c>
      <c r="CI154" t="s">
        <v>417</v>
      </c>
      <c r="CJ154" t="s">
        <v>417</v>
      </c>
      <c r="CK154" t="s">
        <v>417</v>
      </c>
      <c r="CL154" t="s">
        <v>417</v>
      </c>
      <c r="CM154" t="s">
        <v>417</v>
      </c>
      <c r="CN154" t="s">
        <v>417</v>
      </c>
      <c r="CO154" t="s">
        <v>417</v>
      </c>
      <c r="CP154" t="s">
        <v>417</v>
      </c>
      <c r="CQ154" t="s">
        <v>417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418</v>
      </c>
      <c r="CY154">
        <v>2</v>
      </c>
      <c r="CZ154" t="b">
        <v>1</v>
      </c>
      <c r="DA154">
        <v>1651857559.225</v>
      </c>
      <c r="DB154">
        <v>827.7235000000001</v>
      </c>
      <c r="DC154">
        <v>890.6595</v>
      </c>
      <c r="DD154">
        <v>18.3855</v>
      </c>
      <c r="DE154">
        <v>8.63143</v>
      </c>
      <c r="DF154">
        <v>829.7370000000001</v>
      </c>
      <c r="DG154">
        <v>18.37955</v>
      </c>
      <c r="DH154">
        <v>500</v>
      </c>
      <c r="DI154">
        <v>90.07495</v>
      </c>
      <c r="DJ154">
        <v>0.099827475</v>
      </c>
      <c r="DK154">
        <v>25.76905</v>
      </c>
      <c r="DL154">
        <v>25.00595</v>
      </c>
      <c r="DM154">
        <v>999.9</v>
      </c>
      <c r="DN154">
        <v>0</v>
      </c>
      <c r="DO154">
        <v>0</v>
      </c>
      <c r="DP154">
        <v>10017.85</v>
      </c>
      <c r="DQ154">
        <v>0</v>
      </c>
      <c r="DR154">
        <v>3.20383</v>
      </c>
      <c r="DS154">
        <v>-62.935875</v>
      </c>
      <c r="DT154">
        <v>843.2269999999999</v>
      </c>
      <c r="DU154">
        <v>898.41425</v>
      </c>
      <c r="DV154">
        <v>9.754060000000001</v>
      </c>
      <c r="DW154">
        <v>890.6595</v>
      </c>
      <c r="DX154">
        <v>8.63143</v>
      </c>
      <c r="DY154">
        <v>1.6560725</v>
      </c>
      <c r="DZ154">
        <v>0.77747575</v>
      </c>
      <c r="EA154">
        <v>14.490675</v>
      </c>
      <c r="EB154">
        <v>3.3025725</v>
      </c>
      <c r="EC154">
        <v>1500.01</v>
      </c>
      <c r="ED154">
        <v>0.9730045</v>
      </c>
      <c r="EE154">
        <v>0.0269958</v>
      </c>
      <c r="EF154">
        <v>0</v>
      </c>
      <c r="EG154">
        <v>1023.59</v>
      </c>
      <c r="EH154">
        <v>5.00097</v>
      </c>
      <c r="EI154">
        <v>15193.225</v>
      </c>
      <c r="EJ154">
        <v>12491.65</v>
      </c>
      <c r="EK154">
        <v>37.5</v>
      </c>
      <c r="EL154">
        <v>39</v>
      </c>
      <c r="EM154">
        <v>37.875</v>
      </c>
      <c r="EN154">
        <v>38.75</v>
      </c>
      <c r="EO154">
        <v>38.375</v>
      </c>
      <c r="EP154">
        <v>1454.6475</v>
      </c>
      <c r="EQ154">
        <v>40.36</v>
      </c>
      <c r="ER154">
        <v>0</v>
      </c>
      <c r="ES154">
        <v>559.2000000476837</v>
      </c>
      <c r="ET154">
        <v>0</v>
      </c>
      <c r="EU154">
        <v>1027.1664</v>
      </c>
      <c r="EV154">
        <v>-36.55000003512099</v>
      </c>
      <c r="EW154">
        <v>-558.0769240626237</v>
      </c>
      <c r="EX154">
        <v>15251.164</v>
      </c>
      <c r="EY154">
        <v>15</v>
      </c>
      <c r="EZ154">
        <v>1651857041.1</v>
      </c>
      <c r="FA154" t="s">
        <v>419</v>
      </c>
      <c r="FB154">
        <v>1651857019.6</v>
      </c>
      <c r="FC154">
        <v>1651857041.1</v>
      </c>
      <c r="FD154">
        <v>1</v>
      </c>
      <c r="FE154">
        <v>0.545</v>
      </c>
      <c r="FF154">
        <v>-0.002</v>
      </c>
      <c r="FG154">
        <v>-1.271</v>
      </c>
      <c r="FH154">
        <v>-0.09</v>
      </c>
      <c r="FI154">
        <v>400</v>
      </c>
      <c r="FJ154">
        <v>10</v>
      </c>
      <c r="FK154">
        <v>0.1</v>
      </c>
      <c r="FL154">
        <v>0.02</v>
      </c>
      <c r="FM154">
        <v>-62.96967749999999</v>
      </c>
      <c r="FN154">
        <v>0.5604101313323769</v>
      </c>
      <c r="FO154">
        <v>0.06434833132063339</v>
      </c>
      <c r="FP154">
        <v>-1</v>
      </c>
      <c r="FQ154">
        <v>9.772662499999999</v>
      </c>
      <c r="FR154">
        <v>-0.1196136585366293</v>
      </c>
      <c r="FS154">
        <v>0.01165554497867863</v>
      </c>
      <c r="FT154">
        <v>-1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0</v>
      </c>
      <c r="GA154" t="s">
        <v>432</v>
      </c>
      <c r="GB154">
        <v>2.97999</v>
      </c>
      <c r="GC154">
        <v>2.70607</v>
      </c>
      <c r="GD154">
        <v>0.151834</v>
      </c>
      <c r="GE154">
        <v>0.157355</v>
      </c>
      <c r="GF154">
        <v>0.08785569999999999</v>
      </c>
      <c r="GG154">
        <v>0.049439</v>
      </c>
      <c r="GH154">
        <v>26761.3</v>
      </c>
      <c r="GI154">
        <v>26645.7</v>
      </c>
      <c r="GJ154">
        <v>29341.4</v>
      </c>
      <c r="GK154">
        <v>29255.3</v>
      </c>
      <c r="GL154">
        <v>35442.7</v>
      </c>
      <c r="GM154">
        <v>37037.6</v>
      </c>
      <c r="GN154">
        <v>41302.3</v>
      </c>
      <c r="GO154">
        <v>41752.2</v>
      </c>
      <c r="GP154">
        <v>1.95543</v>
      </c>
      <c r="GQ154">
        <v>1.83503</v>
      </c>
      <c r="GR154">
        <v>-0.0337884</v>
      </c>
      <c r="GS154">
        <v>0</v>
      </c>
      <c r="GT154">
        <v>25.5622</v>
      </c>
      <c r="GU154">
        <v>999.9</v>
      </c>
      <c r="GV154">
        <v>38.6</v>
      </c>
      <c r="GW154">
        <v>33.9</v>
      </c>
      <c r="GX154">
        <v>22.769</v>
      </c>
      <c r="GY154">
        <v>62.7076</v>
      </c>
      <c r="GZ154">
        <v>35.5649</v>
      </c>
      <c r="HA154">
        <v>1</v>
      </c>
      <c r="HB154">
        <v>0.137264</v>
      </c>
      <c r="HC154">
        <v>2.1813</v>
      </c>
      <c r="HD154">
        <v>20.3185</v>
      </c>
      <c r="HE154">
        <v>5.21759</v>
      </c>
      <c r="HF154">
        <v>12.0099</v>
      </c>
      <c r="HG154">
        <v>4.9888</v>
      </c>
      <c r="HH154">
        <v>3.28863</v>
      </c>
      <c r="HI154">
        <v>853.2</v>
      </c>
      <c r="HJ154">
        <v>8492.9</v>
      </c>
      <c r="HK154">
        <v>5139.4</v>
      </c>
      <c r="HL154">
        <v>22.9</v>
      </c>
      <c r="HM154">
        <v>1.86752</v>
      </c>
      <c r="HN154">
        <v>1.86646</v>
      </c>
      <c r="HO154">
        <v>1.866</v>
      </c>
      <c r="HP154">
        <v>1.8659</v>
      </c>
      <c r="HQ154">
        <v>1.86772</v>
      </c>
      <c r="HR154">
        <v>1.87027</v>
      </c>
      <c r="HS154">
        <v>1.8689</v>
      </c>
      <c r="HT154">
        <v>1.87026</v>
      </c>
      <c r="HU154">
        <v>0</v>
      </c>
      <c r="HV154">
        <v>0</v>
      </c>
      <c r="HW154">
        <v>0</v>
      </c>
      <c r="HX154">
        <v>0</v>
      </c>
      <c r="HY154" t="s">
        <v>421</v>
      </c>
      <c r="HZ154" t="s">
        <v>422</v>
      </c>
      <c r="IA154" t="s">
        <v>423</v>
      </c>
      <c r="IB154" t="s">
        <v>423</v>
      </c>
      <c r="IC154" t="s">
        <v>423</v>
      </c>
      <c r="ID154" t="s">
        <v>423</v>
      </c>
      <c r="IE154">
        <v>0</v>
      </c>
      <c r="IF154">
        <v>100</v>
      </c>
      <c r="IG154">
        <v>100</v>
      </c>
      <c r="IH154">
        <v>-2.021</v>
      </c>
      <c r="II154">
        <v>0.0059</v>
      </c>
      <c r="IJ154">
        <v>-0.4995723906072</v>
      </c>
      <c r="IK154">
        <v>-0.002077099775823331</v>
      </c>
      <c r="IL154">
        <v>4.593143279902166E-07</v>
      </c>
      <c r="IM154">
        <v>-1.865383991892071E-10</v>
      </c>
      <c r="IN154">
        <v>-0.07605349583632376</v>
      </c>
      <c r="IO154">
        <v>-0.01129461987421345</v>
      </c>
      <c r="IP154">
        <v>0.00116580895745559</v>
      </c>
      <c r="IQ154">
        <v>-1.679085872906199E-05</v>
      </c>
      <c r="IR154">
        <v>2</v>
      </c>
      <c r="IS154">
        <v>2290</v>
      </c>
      <c r="IT154">
        <v>0</v>
      </c>
      <c r="IU154">
        <v>32</v>
      </c>
      <c r="IV154">
        <v>9</v>
      </c>
      <c r="IW154">
        <v>8.699999999999999</v>
      </c>
      <c r="IX154">
        <v>1.92017</v>
      </c>
      <c r="IY154">
        <v>2.2168</v>
      </c>
      <c r="IZ154">
        <v>1.39648</v>
      </c>
      <c r="JA154">
        <v>2.35962</v>
      </c>
      <c r="JB154">
        <v>1.49536</v>
      </c>
      <c r="JC154">
        <v>2.30835</v>
      </c>
      <c r="JD154">
        <v>38.4279</v>
      </c>
      <c r="JE154">
        <v>24.035</v>
      </c>
      <c r="JF154">
        <v>18</v>
      </c>
      <c r="JG154">
        <v>515.037</v>
      </c>
      <c r="JH154">
        <v>423.267</v>
      </c>
      <c r="JI154">
        <v>22.664</v>
      </c>
      <c r="JJ154">
        <v>29.1047</v>
      </c>
      <c r="JK154">
        <v>30</v>
      </c>
      <c r="JL154">
        <v>29.1074</v>
      </c>
      <c r="JM154">
        <v>29.0464</v>
      </c>
      <c r="JN154">
        <v>38.4358</v>
      </c>
      <c r="JO154">
        <v>56.5973</v>
      </c>
      <c r="JP154">
        <v>0</v>
      </c>
      <c r="JQ154">
        <v>22.6674</v>
      </c>
      <c r="JR154">
        <v>915.194</v>
      </c>
      <c r="JS154">
        <v>8.593719999999999</v>
      </c>
      <c r="JT154">
        <v>100.299</v>
      </c>
      <c r="JU154">
        <v>100.212</v>
      </c>
    </row>
    <row r="155" spans="1:281">
      <c r="A155">
        <v>139</v>
      </c>
      <c r="B155">
        <v>1651857562.6</v>
      </c>
      <c r="C155">
        <v>562</v>
      </c>
      <c r="D155" t="s">
        <v>705</v>
      </c>
      <c r="E155" t="s">
        <v>706</v>
      </c>
      <c r="F155">
        <v>2</v>
      </c>
      <c r="G155" t="s">
        <v>413</v>
      </c>
      <c r="H155" t="s">
        <v>414</v>
      </c>
      <c r="I155">
        <v>1651857561.6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900.4611246431795</v>
      </c>
      <c r="AK155">
        <v>852.9757030303027</v>
      </c>
      <c r="AL155">
        <v>3.386703716185516</v>
      </c>
      <c r="AM155">
        <v>66.38384787954378</v>
      </c>
      <c r="AN155">
        <f>(AP155 - AO155 + DI155*1E3/(8.314*(DK155+273.15)) * AR155/DH155 * AQ155) * DH155/(100*CV155) * 1000/(1000 - AP155)</f>
        <v>0</v>
      </c>
      <c r="AO155">
        <v>8.631425238042821</v>
      </c>
      <c r="AP155">
        <v>18.37903499999999</v>
      </c>
      <c r="AQ155">
        <v>-4.821174241950762E-05</v>
      </c>
      <c r="AR155">
        <v>80.44866334591464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417</v>
      </c>
      <c r="AY155" t="s">
        <v>417</v>
      </c>
      <c r="AZ155">
        <v>0</v>
      </c>
      <c r="BA155">
        <v>0</v>
      </c>
      <c r="BB155">
        <f>1-AZ155/BA155</f>
        <v>0</v>
      </c>
      <c r="BC155">
        <v>0</v>
      </c>
      <c r="BD155" t="s">
        <v>417</v>
      </c>
      <c r="BE155" t="s">
        <v>417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1238</v>
      </c>
      <c r="CA155">
        <v>300</v>
      </c>
      <c r="CB155">
        <v>300</v>
      </c>
      <c r="CC155">
        <v>300</v>
      </c>
      <c r="CD155">
        <v>10440.5</v>
      </c>
      <c r="CE155">
        <v>1411.69</v>
      </c>
      <c r="CF155">
        <v>-0.00735121</v>
      </c>
      <c r="CG155">
        <v>-0.77</v>
      </c>
      <c r="CH155" t="s">
        <v>417</v>
      </c>
      <c r="CI155" t="s">
        <v>417</v>
      </c>
      <c r="CJ155" t="s">
        <v>417</v>
      </c>
      <c r="CK155" t="s">
        <v>417</v>
      </c>
      <c r="CL155" t="s">
        <v>417</v>
      </c>
      <c r="CM155" t="s">
        <v>417</v>
      </c>
      <c r="CN155" t="s">
        <v>417</v>
      </c>
      <c r="CO155" t="s">
        <v>417</v>
      </c>
      <c r="CP155" t="s">
        <v>417</v>
      </c>
      <c r="CQ155" t="s">
        <v>417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418</v>
      </c>
      <c r="CY155">
        <v>2</v>
      </c>
      <c r="CZ155" t="b">
        <v>1</v>
      </c>
      <c r="DA155">
        <v>1651857561.6</v>
      </c>
      <c r="DB155">
        <v>835.622</v>
      </c>
      <c r="DC155">
        <v>898.6619999999999</v>
      </c>
      <c r="DD155">
        <v>18.38026666666667</v>
      </c>
      <c r="DE155">
        <v>8.632663333333333</v>
      </c>
      <c r="DF155">
        <v>837.6486666666666</v>
      </c>
      <c r="DG155">
        <v>18.37443333333333</v>
      </c>
      <c r="DH155">
        <v>500.0156666666667</v>
      </c>
      <c r="DI155">
        <v>90.07510000000001</v>
      </c>
      <c r="DJ155">
        <v>0.0997711</v>
      </c>
      <c r="DK155">
        <v>25.76936666666667</v>
      </c>
      <c r="DL155">
        <v>25.00686666666667</v>
      </c>
      <c r="DM155">
        <v>999.9</v>
      </c>
      <c r="DN155">
        <v>0</v>
      </c>
      <c r="DO155">
        <v>0</v>
      </c>
      <c r="DP155">
        <v>10024.8</v>
      </c>
      <c r="DQ155">
        <v>0</v>
      </c>
      <c r="DR155">
        <v>3.20383</v>
      </c>
      <c r="DS155">
        <v>-63.04003333333333</v>
      </c>
      <c r="DT155">
        <v>851.2683333333334</v>
      </c>
      <c r="DU155">
        <v>906.4873333333335</v>
      </c>
      <c r="DV155">
        <v>9.747623333333332</v>
      </c>
      <c r="DW155">
        <v>898.6619999999999</v>
      </c>
      <c r="DX155">
        <v>8.632663333333333</v>
      </c>
      <c r="DY155">
        <v>1.655606666666667</v>
      </c>
      <c r="DZ155">
        <v>0.7775880000000001</v>
      </c>
      <c r="EA155">
        <v>14.48633333333333</v>
      </c>
      <c r="EB155">
        <v>3.304616666666667</v>
      </c>
      <c r="EC155">
        <v>1500.08</v>
      </c>
      <c r="ED155">
        <v>0.973007</v>
      </c>
      <c r="EE155">
        <v>0.0269931</v>
      </c>
      <c r="EF155">
        <v>0</v>
      </c>
      <c r="EG155">
        <v>1021.6</v>
      </c>
      <c r="EH155">
        <v>5.00097</v>
      </c>
      <c r="EI155">
        <v>15171.2</v>
      </c>
      <c r="EJ155">
        <v>12492.3</v>
      </c>
      <c r="EK155">
        <v>37.5</v>
      </c>
      <c r="EL155">
        <v>39</v>
      </c>
      <c r="EM155">
        <v>37.875</v>
      </c>
      <c r="EN155">
        <v>38.75</v>
      </c>
      <c r="EO155">
        <v>38.375</v>
      </c>
      <c r="EP155">
        <v>1454.72</v>
      </c>
      <c r="EQ155">
        <v>40.36</v>
      </c>
      <c r="ER155">
        <v>0</v>
      </c>
      <c r="ES155">
        <v>561.6000001430511</v>
      </c>
      <c r="ET155">
        <v>0</v>
      </c>
      <c r="EU155">
        <v>1025.6364</v>
      </c>
      <c r="EV155">
        <v>-37.87384612437914</v>
      </c>
      <c r="EW155">
        <v>-567.5615385679324</v>
      </c>
      <c r="EX155">
        <v>15228.9</v>
      </c>
      <c r="EY155">
        <v>15</v>
      </c>
      <c r="EZ155">
        <v>1651857041.1</v>
      </c>
      <c r="FA155" t="s">
        <v>419</v>
      </c>
      <c r="FB155">
        <v>1651857019.6</v>
      </c>
      <c r="FC155">
        <v>1651857041.1</v>
      </c>
      <c r="FD155">
        <v>1</v>
      </c>
      <c r="FE155">
        <v>0.545</v>
      </c>
      <c r="FF155">
        <v>-0.002</v>
      </c>
      <c r="FG155">
        <v>-1.271</v>
      </c>
      <c r="FH155">
        <v>-0.09</v>
      </c>
      <c r="FI155">
        <v>400</v>
      </c>
      <c r="FJ155">
        <v>10</v>
      </c>
      <c r="FK155">
        <v>0.1</v>
      </c>
      <c r="FL155">
        <v>0.02</v>
      </c>
      <c r="FM155">
        <v>-62.9680268292683</v>
      </c>
      <c r="FN155">
        <v>0.3834083623694552</v>
      </c>
      <c r="FO155">
        <v>0.06126447673373757</v>
      </c>
      <c r="FP155">
        <v>-1</v>
      </c>
      <c r="FQ155">
        <v>9.769970731707316</v>
      </c>
      <c r="FR155">
        <v>-0.1216885714285706</v>
      </c>
      <c r="FS155">
        <v>0.01214986046095604</v>
      </c>
      <c r="FT155">
        <v>-1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0</v>
      </c>
      <c r="GA155" t="s">
        <v>432</v>
      </c>
      <c r="GB155">
        <v>2.97974</v>
      </c>
      <c r="GC155">
        <v>2.70597</v>
      </c>
      <c r="GD155">
        <v>0.152636</v>
      </c>
      <c r="GE155">
        <v>0.158129</v>
      </c>
      <c r="GF155">
        <v>0.0878401</v>
      </c>
      <c r="GG155">
        <v>0.0494391</v>
      </c>
      <c r="GH155">
        <v>26735.7</v>
      </c>
      <c r="GI155">
        <v>26621.2</v>
      </c>
      <c r="GJ155">
        <v>29341.1</v>
      </c>
      <c r="GK155">
        <v>29255.4</v>
      </c>
      <c r="GL155">
        <v>35443</v>
      </c>
      <c r="GM155">
        <v>37037.5</v>
      </c>
      <c r="GN155">
        <v>41301.9</v>
      </c>
      <c r="GO155">
        <v>41752.1</v>
      </c>
      <c r="GP155">
        <v>1.95545</v>
      </c>
      <c r="GQ155">
        <v>1.83533</v>
      </c>
      <c r="GR155">
        <v>-0.0341162</v>
      </c>
      <c r="GS155">
        <v>0</v>
      </c>
      <c r="GT155">
        <v>25.5627</v>
      </c>
      <c r="GU155">
        <v>999.9</v>
      </c>
      <c r="GV155">
        <v>38.6</v>
      </c>
      <c r="GW155">
        <v>33.9</v>
      </c>
      <c r="GX155">
        <v>22.7712</v>
      </c>
      <c r="GY155">
        <v>62.0876</v>
      </c>
      <c r="GZ155">
        <v>35.4928</v>
      </c>
      <c r="HA155">
        <v>1</v>
      </c>
      <c r="HB155">
        <v>0.137256</v>
      </c>
      <c r="HC155">
        <v>2.18109</v>
      </c>
      <c r="HD155">
        <v>20.3193</v>
      </c>
      <c r="HE155">
        <v>5.21729</v>
      </c>
      <c r="HF155">
        <v>12.0099</v>
      </c>
      <c r="HG155">
        <v>4.9881</v>
      </c>
      <c r="HH155">
        <v>3.28865</v>
      </c>
      <c r="HI155">
        <v>853.5</v>
      </c>
      <c r="HJ155">
        <v>8495.200000000001</v>
      </c>
      <c r="HK155">
        <v>5139.4</v>
      </c>
      <c r="HL155">
        <v>22.9</v>
      </c>
      <c r="HM155">
        <v>1.86752</v>
      </c>
      <c r="HN155">
        <v>1.86647</v>
      </c>
      <c r="HO155">
        <v>1.866</v>
      </c>
      <c r="HP155">
        <v>1.8659</v>
      </c>
      <c r="HQ155">
        <v>1.86773</v>
      </c>
      <c r="HR155">
        <v>1.87027</v>
      </c>
      <c r="HS155">
        <v>1.8689</v>
      </c>
      <c r="HT155">
        <v>1.87027</v>
      </c>
      <c r="HU155">
        <v>0</v>
      </c>
      <c r="HV155">
        <v>0</v>
      </c>
      <c r="HW155">
        <v>0</v>
      </c>
      <c r="HX155">
        <v>0</v>
      </c>
      <c r="HY155" t="s">
        <v>421</v>
      </c>
      <c r="HZ155" t="s">
        <v>422</v>
      </c>
      <c r="IA155" t="s">
        <v>423</v>
      </c>
      <c r="IB155" t="s">
        <v>423</v>
      </c>
      <c r="IC155" t="s">
        <v>423</v>
      </c>
      <c r="ID155" t="s">
        <v>423</v>
      </c>
      <c r="IE155">
        <v>0</v>
      </c>
      <c r="IF155">
        <v>100</v>
      </c>
      <c r="IG155">
        <v>100</v>
      </c>
      <c r="IH155">
        <v>-2.032</v>
      </c>
      <c r="II155">
        <v>0.0058</v>
      </c>
      <c r="IJ155">
        <v>-0.4995723906072</v>
      </c>
      <c r="IK155">
        <v>-0.002077099775823331</v>
      </c>
      <c r="IL155">
        <v>4.593143279902166E-07</v>
      </c>
      <c r="IM155">
        <v>-1.865383991892071E-10</v>
      </c>
      <c r="IN155">
        <v>-0.07605349583632376</v>
      </c>
      <c r="IO155">
        <v>-0.01129461987421345</v>
      </c>
      <c r="IP155">
        <v>0.00116580895745559</v>
      </c>
      <c r="IQ155">
        <v>-1.679085872906199E-05</v>
      </c>
      <c r="IR155">
        <v>2</v>
      </c>
      <c r="IS155">
        <v>2290</v>
      </c>
      <c r="IT155">
        <v>0</v>
      </c>
      <c r="IU155">
        <v>32</v>
      </c>
      <c r="IV155">
        <v>9.1</v>
      </c>
      <c r="IW155">
        <v>8.699999999999999</v>
      </c>
      <c r="IX155">
        <v>1.93115</v>
      </c>
      <c r="IY155">
        <v>2.21313</v>
      </c>
      <c r="IZ155">
        <v>1.39648</v>
      </c>
      <c r="JA155">
        <v>2.35962</v>
      </c>
      <c r="JB155">
        <v>1.49536</v>
      </c>
      <c r="JC155">
        <v>2.34619</v>
      </c>
      <c r="JD155">
        <v>38.4279</v>
      </c>
      <c r="JE155">
        <v>24.0437</v>
      </c>
      <c r="JF155">
        <v>18</v>
      </c>
      <c r="JG155">
        <v>515.053</v>
      </c>
      <c r="JH155">
        <v>423.446</v>
      </c>
      <c r="JI155">
        <v>22.6654</v>
      </c>
      <c r="JJ155">
        <v>29.1035</v>
      </c>
      <c r="JK155">
        <v>30</v>
      </c>
      <c r="JL155">
        <v>29.1074</v>
      </c>
      <c r="JM155">
        <v>29.0464</v>
      </c>
      <c r="JN155">
        <v>38.6617</v>
      </c>
      <c r="JO155">
        <v>56.5973</v>
      </c>
      <c r="JP155">
        <v>0</v>
      </c>
      <c r="JQ155">
        <v>22.6674</v>
      </c>
      <c r="JR155">
        <v>921.873</v>
      </c>
      <c r="JS155">
        <v>8.593719999999999</v>
      </c>
      <c r="JT155">
        <v>100.298</v>
      </c>
      <c r="JU155">
        <v>100.212</v>
      </c>
    </row>
    <row r="156" spans="1:281">
      <c r="A156">
        <v>140</v>
      </c>
      <c r="B156">
        <v>1651857564.6</v>
      </c>
      <c r="C156">
        <v>564</v>
      </c>
      <c r="D156" t="s">
        <v>707</v>
      </c>
      <c r="E156" t="s">
        <v>708</v>
      </c>
      <c r="F156">
        <v>2</v>
      </c>
      <c r="G156" t="s">
        <v>413</v>
      </c>
      <c r="H156" t="s">
        <v>414</v>
      </c>
      <c r="I156">
        <v>1651857563.225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907.2647281967581</v>
      </c>
      <c r="AK156">
        <v>859.8327636363634</v>
      </c>
      <c r="AL156">
        <v>3.420720018108773</v>
      </c>
      <c r="AM156">
        <v>66.38384787954378</v>
      </c>
      <c r="AN156">
        <f>(AP156 - AO156 + DI156*1E3/(8.314*(DK156+273.15)) * AR156/DH156 * AQ156) * DH156/(100*CV156) * 1000/(1000 - AP156)</f>
        <v>0</v>
      </c>
      <c r="AO156">
        <v>8.631858729370705</v>
      </c>
      <c r="AP156">
        <v>18.37447264705882</v>
      </c>
      <c r="AQ156">
        <v>-3.96617092522482E-05</v>
      </c>
      <c r="AR156">
        <v>80.44866334591464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417</v>
      </c>
      <c r="AY156" t="s">
        <v>417</v>
      </c>
      <c r="AZ156">
        <v>0</v>
      </c>
      <c r="BA156">
        <v>0</v>
      </c>
      <c r="BB156">
        <f>1-AZ156/BA156</f>
        <v>0</v>
      </c>
      <c r="BC156">
        <v>0</v>
      </c>
      <c r="BD156" t="s">
        <v>417</v>
      </c>
      <c r="BE156" t="s">
        <v>417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1238</v>
      </c>
      <c r="CA156">
        <v>300</v>
      </c>
      <c r="CB156">
        <v>300</v>
      </c>
      <c r="CC156">
        <v>300</v>
      </c>
      <c r="CD156">
        <v>10440.5</v>
      </c>
      <c r="CE156">
        <v>1411.69</v>
      </c>
      <c r="CF156">
        <v>-0.00735121</v>
      </c>
      <c r="CG156">
        <v>-0.77</v>
      </c>
      <c r="CH156" t="s">
        <v>417</v>
      </c>
      <c r="CI156" t="s">
        <v>417</v>
      </c>
      <c r="CJ156" t="s">
        <v>417</v>
      </c>
      <c r="CK156" t="s">
        <v>417</v>
      </c>
      <c r="CL156" t="s">
        <v>417</v>
      </c>
      <c r="CM156" t="s">
        <v>417</v>
      </c>
      <c r="CN156" t="s">
        <v>417</v>
      </c>
      <c r="CO156" t="s">
        <v>417</v>
      </c>
      <c r="CP156" t="s">
        <v>417</v>
      </c>
      <c r="CQ156" t="s">
        <v>417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418</v>
      </c>
      <c r="CY156">
        <v>2</v>
      </c>
      <c r="CZ156" t="b">
        <v>1</v>
      </c>
      <c r="DA156">
        <v>1651857563.225</v>
      </c>
      <c r="DB156">
        <v>841.07875</v>
      </c>
      <c r="DC156">
        <v>904.09975</v>
      </c>
      <c r="DD156">
        <v>18.376375</v>
      </c>
      <c r="DE156">
        <v>8.6323825</v>
      </c>
      <c r="DF156">
        <v>843.115</v>
      </c>
      <c r="DG156">
        <v>18.370575</v>
      </c>
      <c r="DH156">
        <v>499.9805</v>
      </c>
      <c r="DI156">
        <v>90.07365</v>
      </c>
      <c r="DJ156">
        <v>0.099637525</v>
      </c>
      <c r="DK156">
        <v>25.77015</v>
      </c>
      <c r="DL156">
        <v>25.004925</v>
      </c>
      <c r="DM156">
        <v>999.9</v>
      </c>
      <c r="DN156">
        <v>0</v>
      </c>
      <c r="DO156">
        <v>0</v>
      </c>
      <c r="DP156">
        <v>10015.95</v>
      </c>
      <c r="DQ156">
        <v>0</v>
      </c>
      <c r="DR156">
        <v>3.20383</v>
      </c>
      <c r="DS156">
        <v>-63.0208</v>
      </c>
      <c r="DT156">
        <v>856.82425</v>
      </c>
      <c r="DU156">
        <v>911.97225</v>
      </c>
      <c r="DV156">
        <v>9.743995</v>
      </c>
      <c r="DW156">
        <v>904.09975</v>
      </c>
      <c r="DX156">
        <v>8.6323825</v>
      </c>
      <c r="DY156">
        <v>1.6552275</v>
      </c>
      <c r="DZ156">
        <v>0.7775502500000001</v>
      </c>
      <c r="EA156">
        <v>14.4828</v>
      </c>
      <c r="EB156">
        <v>3.303935</v>
      </c>
      <c r="EC156">
        <v>1500.0025</v>
      </c>
      <c r="ED156">
        <v>0.97300575</v>
      </c>
      <c r="EE156">
        <v>0.02699445</v>
      </c>
      <c r="EF156">
        <v>0</v>
      </c>
      <c r="EG156">
        <v>1020.66</v>
      </c>
      <c r="EH156">
        <v>5.00097</v>
      </c>
      <c r="EI156">
        <v>15154.85</v>
      </c>
      <c r="EJ156">
        <v>12491.65</v>
      </c>
      <c r="EK156">
        <v>37.5</v>
      </c>
      <c r="EL156">
        <v>39</v>
      </c>
      <c r="EM156">
        <v>37.875</v>
      </c>
      <c r="EN156">
        <v>38.75</v>
      </c>
      <c r="EO156">
        <v>38.375</v>
      </c>
      <c r="EP156">
        <v>1454.6425</v>
      </c>
      <c r="EQ156">
        <v>40.36</v>
      </c>
      <c r="ER156">
        <v>0</v>
      </c>
      <c r="ES156">
        <v>563.4000000953674</v>
      </c>
      <c r="ET156">
        <v>0</v>
      </c>
      <c r="EU156">
        <v>1024.686923076923</v>
      </c>
      <c r="EV156">
        <v>-38.22085462194843</v>
      </c>
      <c r="EW156">
        <v>-568.6837599863699</v>
      </c>
      <c r="EX156">
        <v>15214.62307692308</v>
      </c>
      <c r="EY156">
        <v>15</v>
      </c>
      <c r="EZ156">
        <v>1651857041.1</v>
      </c>
      <c r="FA156" t="s">
        <v>419</v>
      </c>
      <c r="FB156">
        <v>1651857019.6</v>
      </c>
      <c r="FC156">
        <v>1651857041.1</v>
      </c>
      <c r="FD156">
        <v>1</v>
      </c>
      <c r="FE156">
        <v>0.545</v>
      </c>
      <c r="FF156">
        <v>-0.002</v>
      </c>
      <c r="FG156">
        <v>-1.271</v>
      </c>
      <c r="FH156">
        <v>-0.09</v>
      </c>
      <c r="FI156">
        <v>400</v>
      </c>
      <c r="FJ156">
        <v>10</v>
      </c>
      <c r="FK156">
        <v>0.1</v>
      </c>
      <c r="FL156">
        <v>0.02</v>
      </c>
      <c r="FM156">
        <v>-62.964165</v>
      </c>
      <c r="FN156">
        <v>0.1057373358350697</v>
      </c>
      <c r="FO156">
        <v>0.05776427767227805</v>
      </c>
      <c r="FP156">
        <v>-1</v>
      </c>
      <c r="FQ156">
        <v>9.766449249999999</v>
      </c>
      <c r="FR156">
        <v>-0.1269691181988899</v>
      </c>
      <c r="FS156">
        <v>0.01235073224296839</v>
      </c>
      <c r="FT156">
        <v>-1</v>
      </c>
      <c r="FU156">
        <v>0</v>
      </c>
      <c r="FV156">
        <v>0</v>
      </c>
      <c r="FW156">
        <v>0</v>
      </c>
      <c r="FX156">
        <v>-1</v>
      </c>
      <c r="FY156">
        <v>0</v>
      </c>
      <c r="FZ156">
        <v>0</v>
      </c>
      <c r="GA156" t="s">
        <v>432</v>
      </c>
      <c r="GB156">
        <v>2.97983</v>
      </c>
      <c r="GC156">
        <v>2.70613</v>
      </c>
      <c r="GD156">
        <v>0.153442</v>
      </c>
      <c r="GE156">
        <v>0.158891</v>
      </c>
      <c r="GF156">
        <v>0.0878087</v>
      </c>
      <c r="GG156">
        <v>0.0494333</v>
      </c>
      <c r="GH156">
        <v>26710.1</v>
      </c>
      <c r="GI156">
        <v>26596.9</v>
      </c>
      <c r="GJ156">
        <v>29340.9</v>
      </c>
      <c r="GK156">
        <v>29255.1</v>
      </c>
      <c r="GL156">
        <v>35443.9</v>
      </c>
      <c r="GM156">
        <v>37037.4</v>
      </c>
      <c r="GN156">
        <v>41301.5</v>
      </c>
      <c r="GO156">
        <v>41751.7</v>
      </c>
      <c r="GP156">
        <v>1.95537</v>
      </c>
      <c r="GQ156">
        <v>1.83547</v>
      </c>
      <c r="GR156">
        <v>-0.0339597</v>
      </c>
      <c r="GS156">
        <v>0</v>
      </c>
      <c r="GT156">
        <v>25.5638</v>
      </c>
      <c r="GU156">
        <v>999.9</v>
      </c>
      <c r="GV156">
        <v>38.6</v>
      </c>
      <c r="GW156">
        <v>33.9</v>
      </c>
      <c r="GX156">
        <v>22.7688</v>
      </c>
      <c r="GY156">
        <v>62.1876</v>
      </c>
      <c r="GZ156">
        <v>35.4567</v>
      </c>
      <c r="HA156">
        <v>1</v>
      </c>
      <c r="HB156">
        <v>0.137241</v>
      </c>
      <c r="HC156">
        <v>2.18698</v>
      </c>
      <c r="HD156">
        <v>20.3188</v>
      </c>
      <c r="HE156">
        <v>5.21669</v>
      </c>
      <c r="HF156">
        <v>12.0099</v>
      </c>
      <c r="HG156">
        <v>4.987</v>
      </c>
      <c r="HH156">
        <v>3.28865</v>
      </c>
      <c r="HI156">
        <v>853.5</v>
      </c>
      <c r="HJ156">
        <v>8495.200000000001</v>
      </c>
      <c r="HK156">
        <v>5139.4</v>
      </c>
      <c r="HL156">
        <v>22.9</v>
      </c>
      <c r="HM156">
        <v>1.86752</v>
      </c>
      <c r="HN156">
        <v>1.86648</v>
      </c>
      <c r="HO156">
        <v>1.866</v>
      </c>
      <c r="HP156">
        <v>1.86589</v>
      </c>
      <c r="HQ156">
        <v>1.86772</v>
      </c>
      <c r="HR156">
        <v>1.87027</v>
      </c>
      <c r="HS156">
        <v>1.8689</v>
      </c>
      <c r="HT156">
        <v>1.87027</v>
      </c>
      <c r="HU156">
        <v>0</v>
      </c>
      <c r="HV156">
        <v>0</v>
      </c>
      <c r="HW156">
        <v>0</v>
      </c>
      <c r="HX156">
        <v>0</v>
      </c>
      <c r="HY156" t="s">
        <v>421</v>
      </c>
      <c r="HZ156" t="s">
        <v>422</v>
      </c>
      <c r="IA156" t="s">
        <v>423</v>
      </c>
      <c r="IB156" t="s">
        <v>423</v>
      </c>
      <c r="IC156" t="s">
        <v>423</v>
      </c>
      <c r="ID156" t="s">
        <v>423</v>
      </c>
      <c r="IE156">
        <v>0</v>
      </c>
      <c r="IF156">
        <v>100</v>
      </c>
      <c r="IG156">
        <v>100</v>
      </c>
      <c r="IH156">
        <v>-2.044</v>
      </c>
      <c r="II156">
        <v>0.0057</v>
      </c>
      <c r="IJ156">
        <v>-0.4995723906072</v>
      </c>
      <c r="IK156">
        <v>-0.002077099775823331</v>
      </c>
      <c r="IL156">
        <v>4.593143279902166E-07</v>
      </c>
      <c r="IM156">
        <v>-1.865383991892071E-10</v>
      </c>
      <c r="IN156">
        <v>-0.07605349583632376</v>
      </c>
      <c r="IO156">
        <v>-0.01129461987421345</v>
      </c>
      <c r="IP156">
        <v>0.00116580895745559</v>
      </c>
      <c r="IQ156">
        <v>-1.679085872906199E-05</v>
      </c>
      <c r="IR156">
        <v>2</v>
      </c>
      <c r="IS156">
        <v>2290</v>
      </c>
      <c r="IT156">
        <v>0</v>
      </c>
      <c r="IU156">
        <v>32</v>
      </c>
      <c r="IV156">
        <v>9.1</v>
      </c>
      <c r="IW156">
        <v>8.699999999999999</v>
      </c>
      <c r="IX156">
        <v>1.94214</v>
      </c>
      <c r="IY156">
        <v>2.21313</v>
      </c>
      <c r="IZ156">
        <v>1.39648</v>
      </c>
      <c r="JA156">
        <v>2.35962</v>
      </c>
      <c r="JB156">
        <v>1.49536</v>
      </c>
      <c r="JC156">
        <v>2.27417</v>
      </c>
      <c r="JD156">
        <v>38.4279</v>
      </c>
      <c r="JE156">
        <v>24.035</v>
      </c>
      <c r="JF156">
        <v>18</v>
      </c>
      <c r="JG156">
        <v>514.998</v>
      </c>
      <c r="JH156">
        <v>423.535</v>
      </c>
      <c r="JI156">
        <v>22.6666</v>
      </c>
      <c r="JJ156">
        <v>29.1035</v>
      </c>
      <c r="JK156">
        <v>29.9999</v>
      </c>
      <c r="JL156">
        <v>29.1067</v>
      </c>
      <c r="JM156">
        <v>29.0464</v>
      </c>
      <c r="JN156">
        <v>38.8885</v>
      </c>
      <c r="JO156">
        <v>56.5973</v>
      </c>
      <c r="JP156">
        <v>0</v>
      </c>
      <c r="JQ156">
        <v>22.6659</v>
      </c>
      <c r="JR156">
        <v>928.551</v>
      </c>
      <c r="JS156">
        <v>8.601129999999999</v>
      </c>
      <c r="JT156">
        <v>100.297</v>
      </c>
      <c r="JU156">
        <v>100.211</v>
      </c>
    </row>
    <row r="157" spans="1:281">
      <c r="A157">
        <v>141</v>
      </c>
      <c r="B157">
        <v>1651857566.6</v>
      </c>
      <c r="C157">
        <v>566</v>
      </c>
      <c r="D157" t="s">
        <v>709</v>
      </c>
      <c r="E157" t="s">
        <v>710</v>
      </c>
      <c r="F157">
        <v>2</v>
      </c>
      <c r="G157" t="s">
        <v>413</v>
      </c>
      <c r="H157" t="s">
        <v>414</v>
      </c>
      <c r="I157">
        <v>1651857565.6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914.0133119949005</v>
      </c>
      <c r="AK157">
        <v>866.6991757575748</v>
      </c>
      <c r="AL157">
        <v>3.435271318591205</v>
      </c>
      <c r="AM157">
        <v>66.38384787954378</v>
      </c>
      <c r="AN157">
        <f>(AP157 - AO157 + DI157*1E3/(8.314*(DK157+273.15)) * AR157/DH157 * AQ157) * DH157/(100*CV157) * 1000/(1000 - AP157)</f>
        <v>0</v>
      </c>
      <c r="AO157">
        <v>8.632588588528895</v>
      </c>
      <c r="AP157">
        <v>18.3640744117647</v>
      </c>
      <c r="AQ157">
        <v>-2.051882245199021E-05</v>
      </c>
      <c r="AR157">
        <v>80.44866334591464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417</v>
      </c>
      <c r="AY157" t="s">
        <v>417</v>
      </c>
      <c r="AZ157">
        <v>0</v>
      </c>
      <c r="BA157">
        <v>0</v>
      </c>
      <c r="BB157">
        <f>1-AZ157/BA157</f>
        <v>0</v>
      </c>
      <c r="BC157">
        <v>0</v>
      </c>
      <c r="BD157" t="s">
        <v>417</v>
      </c>
      <c r="BE157" t="s">
        <v>417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1238</v>
      </c>
      <c r="CA157">
        <v>300</v>
      </c>
      <c r="CB157">
        <v>300</v>
      </c>
      <c r="CC157">
        <v>300</v>
      </c>
      <c r="CD157">
        <v>10440.5</v>
      </c>
      <c r="CE157">
        <v>1411.69</v>
      </c>
      <c r="CF157">
        <v>-0.00735121</v>
      </c>
      <c r="CG157">
        <v>-0.77</v>
      </c>
      <c r="CH157" t="s">
        <v>417</v>
      </c>
      <c r="CI157" t="s">
        <v>417</v>
      </c>
      <c r="CJ157" t="s">
        <v>417</v>
      </c>
      <c r="CK157" t="s">
        <v>417</v>
      </c>
      <c r="CL157" t="s">
        <v>417</v>
      </c>
      <c r="CM157" t="s">
        <v>417</v>
      </c>
      <c r="CN157" t="s">
        <v>417</v>
      </c>
      <c r="CO157" t="s">
        <v>417</v>
      </c>
      <c r="CP157" t="s">
        <v>417</v>
      </c>
      <c r="CQ157" t="s">
        <v>417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418</v>
      </c>
      <c r="CY157">
        <v>2</v>
      </c>
      <c r="CZ157" t="b">
        <v>1</v>
      </c>
      <c r="DA157">
        <v>1651857565.6</v>
      </c>
      <c r="DB157">
        <v>849.1016666666666</v>
      </c>
      <c r="DC157">
        <v>912.035</v>
      </c>
      <c r="DD157">
        <v>18.3663</v>
      </c>
      <c r="DE157">
        <v>8.631473333333334</v>
      </c>
      <c r="DF157">
        <v>851.1513333333332</v>
      </c>
      <c r="DG157">
        <v>18.36063333333334</v>
      </c>
      <c r="DH157">
        <v>500.0506666666667</v>
      </c>
      <c r="DI157">
        <v>90.07073333333334</v>
      </c>
      <c r="DJ157">
        <v>0.1001178333333333</v>
      </c>
      <c r="DK157">
        <v>25.77133333333333</v>
      </c>
      <c r="DL157">
        <v>25.00593333333333</v>
      </c>
      <c r="DM157">
        <v>999.9</v>
      </c>
      <c r="DN157">
        <v>0</v>
      </c>
      <c r="DO157">
        <v>0</v>
      </c>
      <c r="DP157">
        <v>9980.209999999999</v>
      </c>
      <c r="DQ157">
        <v>0</v>
      </c>
      <c r="DR157">
        <v>3.20383</v>
      </c>
      <c r="DS157">
        <v>-62.93346666666667</v>
      </c>
      <c r="DT157">
        <v>864.9879999999999</v>
      </c>
      <c r="DU157">
        <v>919.9756666666667</v>
      </c>
      <c r="DV157">
        <v>9.734830000000001</v>
      </c>
      <c r="DW157">
        <v>912.035</v>
      </c>
      <c r="DX157">
        <v>8.631473333333334</v>
      </c>
      <c r="DY157">
        <v>1.654266666666667</v>
      </c>
      <c r="DZ157">
        <v>0.777443</v>
      </c>
      <c r="EA157">
        <v>14.47376666666667</v>
      </c>
      <c r="EB157">
        <v>3.301973333333333</v>
      </c>
      <c r="EC157">
        <v>1499.973333333333</v>
      </c>
      <c r="ED157">
        <v>0.9730053333333334</v>
      </c>
      <c r="EE157">
        <v>0.0269949</v>
      </c>
      <c r="EF157">
        <v>0</v>
      </c>
      <c r="EG157">
        <v>1018.746666666667</v>
      </c>
      <c r="EH157">
        <v>5.00097</v>
      </c>
      <c r="EI157">
        <v>15131.53333333333</v>
      </c>
      <c r="EJ157">
        <v>12491.4</v>
      </c>
      <c r="EK157">
        <v>37.5</v>
      </c>
      <c r="EL157">
        <v>39</v>
      </c>
      <c r="EM157">
        <v>37.875</v>
      </c>
      <c r="EN157">
        <v>38.75</v>
      </c>
      <c r="EO157">
        <v>38.375</v>
      </c>
      <c r="EP157">
        <v>1454.613333333333</v>
      </c>
      <c r="EQ157">
        <v>40.36</v>
      </c>
      <c r="ER157">
        <v>0</v>
      </c>
      <c r="ES157">
        <v>565.2000000476837</v>
      </c>
      <c r="ET157">
        <v>0</v>
      </c>
      <c r="EU157">
        <v>1023.3004</v>
      </c>
      <c r="EV157">
        <v>-39.29307695239633</v>
      </c>
      <c r="EW157">
        <v>-570.761539388793</v>
      </c>
      <c r="EX157">
        <v>15194.632</v>
      </c>
      <c r="EY157">
        <v>15</v>
      </c>
      <c r="EZ157">
        <v>1651857041.1</v>
      </c>
      <c r="FA157" t="s">
        <v>419</v>
      </c>
      <c r="FB157">
        <v>1651857019.6</v>
      </c>
      <c r="FC157">
        <v>1651857041.1</v>
      </c>
      <c r="FD157">
        <v>1</v>
      </c>
      <c r="FE157">
        <v>0.545</v>
      </c>
      <c r="FF157">
        <v>-0.002</v>
      </c>
      <c r="FG157">
        <v>-1.271</v>
      </c>
      <c r="FH157">
        <v>-0.09</v>
      </c>
      <c r="FI157">
        <v>400</v>
      </c>
      <c r="FJ157">
        <v>10</v>
      </c>
      <c r="FK157">
        <v>0.1</v>
      </c>
      <c r="FL157">
        <v>0.02</v>
      </c>
      <c r="FM157">
        <v>-62.95906341463415</v>
      </c>
      <c r="FN157">
        <v>-0.02273728222984614</v>
      </c>
      <c r="FO157">
        <v>0.05417848891867546</v>
      </c>
      <c r="FP157">
        <v>-1</v>
      </c>
      <c r="FQ157">
        <v>9.761419268292682</v>
      </c>
      <c r="FR157">
        <v>-0.1383731707317191</v>
      </c>
      <c r="FS157">
        <v>0.01376802718748535</v>
      </c>
      <c r="FT157">
        <v>-1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0</v>
      </c>
      <c r="GA157" t="s">
        <v>432</v>
      </c>
      <c r="GB157">
        <v>2.98007</v>
      </c>
      <c r="GC157">
        <v>2.70639</v>
      </c>
      <c r="GD157">
        <v>0.154243</v>
      </c>
      <c r="GE157">
        <v>0.159646</v>
      </c>
      <c r="GF157">
        <v>0.08778329999999999</v>
      </c>
      <c r="GG157">
        <v>0.0494322</v>
      </c>
      <c r="GH157">
        <v>26685</v>
      </c>
      <c r="GI157">
        <v>26572.7</v>
      </c>
      <c r="GJ157">
        <v>29341.1</v>
      </c>
      <c r="GK157">
        <v>29254.8</v>
      </c>
      <c r="GL157">
        <v>35445</v>
      </c>
      <c r="GM157">
        <v>37037.2</v>
      </c>
      <c r="GN157">
        <v>41301.6</v>
      </c>
      <c r="GO157">
        <v>41751.4</v>
      </c>
      <c r="GP157">
        <v>1.95537</v>
      </c>
      <c r="GQ157">
        <v>1.83525</v>
      </c>
      <c r="GR157">
        <v>-0.0340566</v>
      </c>
      <c r="GS157">
        <v>0</v>
      </c>
      <c r="GT157">
        <v>25.5649</v>
      </c>
      <c r="GU157">
        <v>999.9</v>
      </c>
      <c r="GV157">
        <v>38.6</v>
      </c>
      <c r="GW157">
        <v>33.9</v>
      </c>
      <c r="GX157">
        <v>22.7712</v>
      </c>
      <c r="GY157">
        <v>62.7076</v>
      </c>
      <c r="GZ157">
        <v>35.601</v>
      </c>
      <c r="HA157">
        <v>1</v>
      </c>
      <c r="HB157">
        <v>0.137228</v>
      </c>
      <c r="HC157">
        <v>2.19199</v>
      </c>
      <c r="HD157">
        <v>20.3188</v>
      </c>
      <c r="HE157">
        <v>5.21669</v>
      </c>
      <c r="HF157">
        <v>12.0099</v>
      </c>
      <c r="HG157">
        <v>4.9879</v>
      </c>
      <c r="HH157">
        <v>3.28865</v>
      </c>
      <c r="HI157">
        <v>853.5</v>
      </c>
      <c r="HJ157">
        <v>8495.200000000001</v>
      </c>
      <c r="HK157">
        <v>5139.4</v>
      </c>
      <c r="HL157">
        <v>22.9</v>
      </c>
      <c r="HM157">
        <v>1.86752</v>
      </c>
      <c r="HN157">
        <v>1.86647</v>
      </c>
      <c r="HO157">
        <v>1.866</v>
      </c>
      <c r="HP157">
        <v>1.86589</v>
      </c>
      <c r="HQ157">
        <v>1.8677</v>
      </c>
      <c r="HR157">
        <v>1.87027</v>
      </c>
      <c r="HS157">
        <v>1.8689</v>
      </c>
      <c r="HT157">
        <v>1.87027</v>
      </c>
      <c r="HU157">
        <v>0</v>
      </c>
      <c r="HV157">
        <v>0</v>
      </c>
      <c r="HW157">
        <v>0</v>
      </c>
      <c r="HX157">
        <v>0</v>
      </c>
      <c r="HY157" t="s">
        <v>421</v>
      </c>
      <c r="HZ157" t="s">
        <v>422</v>
      </c>
      <c r="IA157" t="s">
        <v>423</v>
      </c>
      <c r="IB157" t="s">
        <v>423</v>
      </c>
      <c r="IC157" t="s">
        <v>423</v>
      </c>
      <c r="ID157" t="s">
        <v>423</v>
      </c>
      <c r="IE157">
        <v>0</v>
      </c>
      <c r="IF157">
        <v>100</v>
      </c>
      <c r="IG157">
        <v>100</v>
      </c>
      <c r="IH157">
        <v>-2.056</v>
      </c>
      <c r="II157">
        <v>0.0056</v>
      </c>
      <c r="IJ157">
        <v>-0.4995723906072</v>
      </c>
      <c r="IK157">
        <v>-0.002077099775823331</v>
      </c>
      <c r="IL157">
        <v>4.593143279902166E-07</v>
      </c>
      <c r="IM157">
        <v>-1.865383991892071E-10</v>
      </c>
      <c r="IN157">
        <v>-0.07605349583632376</v>
      </c>
      <c r="IO157">
        <v>-0.01129461987421345</v>
      </c>
      <c r="IP157">
        <v>0.00116580895745559</v>
      </c>
      <c r="IQ157">
        <v>-1.679085872906199E-05</v>
      </c>
      <c r="IR157">
        <v>2</v>
      </c>
      <c r="IS157">
        <v>2290</v>
      </c>
      <c r="IT157">
        <v>0</v>
      </c>
      <c r="IU157">
        <v>32</v>
      </c>
      <c r="IV157">
        <v>9.1</v>
      </c>
      <c r="IW157">
        <v>8.800000000000001</v>
      </c>
      <c r="IX157">
        <v>1.95435</v>
      </c>
      <c r="IY157">
        <v>2.21191</v>
      </c>
      <c r="IZ157">
        <v>1.39648</v>
      </c>
      <c r="JA157">
        <v>2.3584</v>
      </c>
      <c r="JB157">
        <v>1.49536</v>
      </c>
      <c r="JC157">
        <v>2.34985</v>
      </c>
      <c r="JD157">
        <v>38.4279</v>
      </c>
      <c r="JE157">
        <v>24.0437</v>
      </c>
      <c r="JF157">
        <v>18</v>
      </c>
      <c r="JG157">
        <v>514.987</v>
      </c>
      <c r="JH157">
        <v>423.401</v>
      </c>
      <c r="JI157">
        <v>22.6668</v>
      </c>
      <c r="JJ157">
        <v>29.1035</v>
      </c>
      <c r="JK157">
        <v>29.9999</v>
      </c>
      <c r="JL157">
        <v>29.1054</v>
      </c>
      <c r="JM157">
        <v>29.0464</v>
      </c>
      <c r="JN157">
        <v>39.1175</v>
      </c>
      <c r="JO157">
        <v>56.5973</v>
      </c>
      <c r="JP157">
        <v>0</v>
      </c>
      <c r="JQ157">
        <v>22.6659</v>
      </c>
      <c r="JR157">
        <v>935.23</v>
      </c>
      <c r="JS157">
        <v>8.60103</v>
      </c>
      <c r="JT157">
        <v>100.298</v>
      </c>
      <c r="JU157">
        <v>100.211</v>
      </c>
    </row>
    <row r="158" spans="1:281">
      <c r="A158">
        <v>142</v>
      </c>
      <c r="B158">
        <v>1651857568.6</v>
      </c>
      <c r="C158">
        <v>568</v>
      </c>
      <c r="D158" t="s">
        <v>711</v>
      </c>
      <c r="E158" t="s">
        <v>712</v>
      </c>
      <c r="F158">
        <v>2</v>
      </c>
      <c r="G158" t="s">
        <v>413</v>
      </c>
      <c r="H158" t="s">
        <v>414</v>
      </c>
      <c r="I158">
        <v>1651857567.225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920.7483072836447</v>
      </c>
      <c r="AK158">
        <v>873.4434303030303</v>
      </c>
      <c r="AL158">
        <v>3.393496774868678</v>
      </c>
      <c r="AM158">
        <v>66.38384787954378</v>
      </c>
      <c r="AN158">
        <f>(AP158 - AO158 + DI158*1E3/(8.314*(DK158+273.15)) * AR158/DH158 * AQ158) * DH158/(100*CV158) * 1000/(1000 - AP158)</f>
        <v>0</v>
      </c>
      <c r="AO158">
        <v>8.632052609169746</v>
      </c>
      <c r="AP158">
        <v>18.35667735294117</v>
      </c>
      <c r="AQ158">
        <v>-4.561266580938496E-05</v>
      </c>
      <c r="AR158">
        <v>80.44866334591464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417</v>
      </c>
      <c r="AY158" t="s">
        <v>417</v>
      </c>
      <c r="AZ158">
        <v>0</v>
      </c>
      <c r="BA158">
        <v>0</v>
      </c>
      <c r="BB158">
        <f>1-AZ158/BA158</f>
        <v>0</v>
      </c>
      <c r="BC158">
        <v>0</v>
      </c>
      <c r="BD158" t="s">
        <v>417</v>
      </c>
      <c r="BE158" t="s">
        <v>417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1238</v>
      </c>
      <c r="CA158">
        <v>300</v>
      </c>
      <c r="CB158">
        <v>300</v>
      </c>
      <c r="CC158">
        <v>300</v>
      </c>
      <c r="CD158">
        <v>10440.5</v>
      </c>
      <c r="CE158">
        <v>1411.69</v>
      </c>
      <c r="CF158">
        <v>-0.00735121</v>
      </c>
      <c r="CG158">
        <v>-0.77</v>
      </c>
      <c r="CH158" t="s">
        <v>417</v>
      </c>
      <c r="CI158" t="s">
        <v>417</v>
      </c>
      <c r="CJ158" t="s">
        <v>417</v>
      </c>
      <c r="CK158" t="s">
        <v>417</v>
      </c>
      <c r="CL158" t="s">
        <v>417</v>
      </c>
      <c r="CM158" t="s">
        <v>417</v>
      </c>
      <c r="CN158" t="s">
        <v>417</v>
      </c>
      <c r="CO158" t="s">
        <v>417</v>
      </c>
      <c r="CP158" t="s">
        <v>417</v>
      </c>
      <c r="CQ158" t="s">
        <v>417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418</v>
      </c>
      <c r="CY158">
        <v>2</v>
      </c>
      <c r="CZ158" t="b">
        <v>1</v>
      </c>
      <c r="DA158">
        <v>1651857567.225</v>
      </c>
      <c r="DB158">
        <v>854.50675</v>
      </c>
      <c r="DC158">
        <v>917.4440000000001</v>
      </c>
      <c r="DD158">
        <v>18.360575</v>
      </c>
      <c r="DE158">
        <v>8.6310675</v>
      </c>
      <c r="DF158">
        <v>856.5654999999999</v>
      </c>
      <c r="DG158">
        <v>18.355</v>
      </c>
      <c r="DH158">
        <v>500.10475</v>
      </c>
      <c r="DI158">
        <v>90.07085000000001</v>
      </c>
      <c r="DJ158">
        <v>0.1004905</v>
      </c>
      <c r="DK158">
        <v>25.77425</v>
      </c>
      <c r="DL158">
        <v>25.007175</v>
      </c>
      <c r="DM158">
        <v>999.9</v>
      </c>
      <c r="DN158">
        <v>0</v>
      </c>
      <c r="DO158">
        <v>0</v>
      </c>
      <c r="DP158">
        <v>9968.4375</v>
      </c>
      <c r="DQ158">
        <v>0</v>
      </c>
      <c r="DR158">
        <v>3.20383</v>
      </c>
      <c r="DS158">
        <v>-62.93745</v>
      </c>
      <c r="DT158">
        <v>870.48925</v>
      </c>
      <c r="DU158">
        <v>925.4314999999999</v>
      </c>
      <c r="DV158">
        <v>9.72949</v>
      </c>
      <c r="DW158">
        <v>917.4440000000001</v>
      </c>
      <c r="DX158">
        <v>8.6310675</v>
      </c>
      <c r="DY158">
        <v>1.65375</v>
      </c>
      <c r="DZ158">
        <v>0.7774074999999999</v>
      </c>
      <c r="EA158">
        <v>14.469</v>
      </c>
      <c r="EB158">
        <v>3.301335</v>
      </c>
      <c r="EC158">
        <v>1499.9875</v>
      </c>
      <c r="ED158">
        <v>0.97300575</v>
      </c>
      <c r="EE158">
        <v>0.02699445</v>
      </c>
      <c r="EF158">
        <v>0</v>
      </c>
      <c r="EG158">
        <v>1017.7325</v>
      </c>
      <c r="EH158">
        <v>5.00097</v>
      </c>
      <c r="EI158">
        <v>15116.125</v>
      </c>
      <c r="EJ158">
        <v>12491.5</v>
      </c>
      <c r="EK158">
        <v>37.5</v>
      </c>
      <c r="EL158">
        <v>39</v>
      </c>
      <c r="EM158">
        <v>37.875</v>
      </c>
      <c r="EN158">
        <v>38.75</v>
      </c>
      <c r="EO158">
        <v>38.375</v>
      </c>
      <c r="EP158">
        <v>1454.6275</v>
      </c>
      <c r="EQ158">
        <v>40.36</v>
      </c>
      <c r="ER158">
        <v>0</v>
      </c>
      <c r="ES158">
        <v>567.6000001430511</v>
      </c>
      <c r="ET158">
        <v>0</v>
      </c>
      <c r="EU158">
        <v>1021.7196</v>
      </c>
      <c r="EV158">
        <v>-40.58999997377205</v>
      </c>
      <c r="EW158">
        <v>-568.1230769402202</v>
      </c>
      <c r="EX158">
        <v>15171.928</v>
      </c>
      <c r="EY158">
        <v>15</v>
      </c>
      <c r="EZ158">
        <v>1651857041.1</v>
      </c>
      <c r="FA158" t="s">
        <v>419</v>
      </c>
      <c r="FB158">
        <v>1651857019.6</v>
      </c>
      <c r="FC158">
        <v>1651857041.1</v>
      </c>
      <c r="FD158">
        <v>1</v>
      </c>
      <c r="FE158">
        <v>0.545</v>
      </c>
      <c r="FF158">
        <v>-0.002</v>
      </c>
      <c r="FG158">
        <v>-1.271</v>
      </c>
      <c r="FH158">
        <v>-0.09</v>
      </c>
      <c r="FI158">
        <v>400</v>
      </c>
      <c r="FJ158">
        <v>10</v>
      </c>
      <c r="FK158">
        <v>0.1</v>
      </c>
      <c r="FL158">
        <v>0.02</v>
      </c>
      <c r="FM158">
        <v>-62.95180750000001</v>
      </c>
      <c r="FN158">
        <v>-0.07026303939950442</v>
      </c>
      <c r="FO158">
        <v>0.05246663886461606</v>
      </c>
      <c r="FP158">
        <v>-1</v>
      </c>
      <c r="FQ158">
        <v>9.754305500000001</v>
      </c>
      <c r="FR158">
        <v>-0.1454409005628585</v>
      </c>
      <c r="FS158">
        <v>0.01418422450294695</v>
      </c>
      <c r="FT158">
        <v>-1</v>
      </c>
      <c r="FU158">
        <v>0</v>
      </c>
      <c r="FV158">
        <v>0</v>
      </c>
      <c r="FW158">
        <v>0</v>
      </c>
      <c r="FX158">
        <v>-1</v>
      </c>
      <c r="FY158">
        <v>0</v>
      </c>
      <c r="FZ158">
        <v>0</v>
      </c>
      <c r="GA158" t="s">
        <v>432</v>
      </c>
      <c r="GB158">
        <v>2.98022</v>
      </c>
      <c r="GC158">
        <v>2.70612</v>
      </c>
      <c r="GD158">
        <v>0.155039</v>
      </c>
      <c r="GE158">
        <v>0.160408</v>
      </c>
      <c r="GF158">
        <v>0.0877617</v>
      </c>
      <c r="GG158">
        <v>0.0494294</v>
      </c>
      <c r="GH158">
        <v>26660</v>
      </c>
      <c r="GI158">
        <v>26548.6</v>
      </c>
      <c r="GJ158">
        <v>29341.2</v>
      </c>
      <c r="GK158">
        <v>29254.8</v>
      </c>
      <c r="GL158">
        <v>35446</v>
      </c>
      <c r="GM158">
        <v>37037.2</v>
      </c>
      <c r="GN158">
        <v>41301.8</v>
      </c>
      <c r="GO158">
        <v>41751.3</v>
      </c>
      <c r="GP158">
        <v>1.9555</v>
      </c>
      <c r="GQ158">
        <v>1.8351</v>
      </c>
      <c r="GR158">
        <v>-0.0340641</v>
      </c>
      <c r="GS158">
        <v>0</v>
      </c>
      <c r="GT158">
        <v>25.5654</v>
      </c>
      <c r="GU158">
        <v>999.9</v>
      </c>
      <c r="GV158">
        <v>38.6</v>
      </c>
      <c r="GW158">
        <v>33.9</v>
      </c>
      <c r="GX158">
        <v>22.7712</v>
      </c>
      <c r="GY158">
        <v>62.1176</v>
      </c>
      <c r="GZ158">
        <v>35.2043</v>
      </c>
      <c r="HA158">
        <v>1</v>
      </c>
      <c r="HB158">
        <v>0.137193</v>
      </c>
      <c r="HC158">
        <v>2.19781</v>
      </c>
      <c r="HD158">
        <v>20.3195</v>
      </c>
      <c r="HE158">
        <v>5.21729</v>
      </c>
      <c r="HF158">
        <v>12.0099</v>
      </c>
      <c r="HG158">
        <v>4.98875</v>
      </c>
      <c r="HH158">
        <v>3.28865</v>
      </c>
      <c r="HI158">
        <v>853.5</v>
      </c>
      <c r="HJ158">
        <v>8495.200000000001</v>
      </c>
      <c r="HK158">
        <v>5139.4</v>
      </c>
      <c r="HL158">
        <v>22.9</v>
      </c>
      <c r="HM158">
        <v>1.86752</v>
      </c>
      <c r="HN158">
        <v>1.86646</v>
      </c>
      <c r="HO158">
        <v>1.866</v>
      </c>
      <c r="HP158">
        <v>1.86587</v>
      </c>
      <c r="HQ158">
        <v>1.86771</v>
      </c>
      <c r="HR158">
        <v>1.87026</v>
      </c>
      <c r="HS158">
        <v>1.8689</v>
      </c>
      <c r="HT158">
        <v>1.87027</v>
      </c>
      <c r="HU158">
        <v>0</v>
      </c>
      <c r="HV158">
        <v>0</v>
      </c>
      <c r="HW158">
        <v>0</v>
      </c>
      <c r="HX158">
        <v>0</v>
      </c>
      <c r="HY158" t="s">
        <v>421</v>
      </c>
      <c r="HZ158" t="s">
        <v>422</v>
      </c>
      <c r="IA158" t="s">
        <v>423</v>
      </c>
      <c r="IB158" t="s">
        <v>423</v>
      </c>
      <c r="IC158" t="s">
        <v>423</v>
      </c>
      <c r="ID158" t="s">
        <v>423</v>
      </c>
      <c r="IE158">
        <v>0</v>
      </c>
      <c r="IF158">
        <v>100</v>
      </c>
      <c r="IG158">
        <v>100</v>
      </c>
      <c r="IH158">
        <v>-2.067</v>
      </c>
      <c r="II158">
        <v>0.0055</v>
      </c>
      <c r="IJ158">
        <v>-0.4995723906072</v>
      </c>
      <c r="IK158">
        <v>-0.002077099775823331</v>
      </c>
      <c r="IL158">
        <v>4.593143279902166E-07</v>
      </c>
      <c r="IM158">
        <v>-1.865383991892071E-10</v>
      </c>
      <c r="IN158">
        <v>-0.07605349583632376</v>
      </c>
      <c r="IO158">
        <v>-0.01129461987421345</v>
      </c>
      <c r="IP158">
        <v>0.00116580895745559</v>
      </c>
      <c r="IQ158">
        <v>-1.679085872906199E-05</v>
      </c>
      <c r="IR158">
        <v>2</v>
      </c>
      <c r="IS158">
        <v>2290</v>
      </c>
      <c r="IT158">
        <v>0</v>
      </c>
      <c r="IU158">
        <v>32</v>
      </c>
      <c r="IV158">
        <v>9.199999999999999</v>
      </c>
      <c r="IW158">
        <v>8.800000000000001</v>
      </c>
      <c r="IX158">
        <v>1.96533</v>
      </c>
      <c r="IY158">
        <v>2.20825</v>
      </c>
      <c r="IZ158">
        <v>1.39648</v>
      </c>
      <c r="JA158">
        <v>2.35962</v>
      </c>
      <c r="JB158">
        <v>1.49536</v>
      </c>
      <c r="JC158">
        <v>2.29004</v>
      </c>
      <c r="JD158">
        <v>38.4279</v>
      </c>
      <c r="JE158">
        <v>24.035</v>
      </c>
      <c r="JF158">
        <v>18</v>
      </c>
      <c r="JG158">
        <v>515.0650000000001</v>
      </c>
      <c r="JH158">
        <v>423.304</v>
      </c>
      <c r="JI158">
        <v>22.6666</v>
      </c>
      <c r="JJ158">
        <v>29.1035</v>
      </c>
      <c r="JK158">
        <v>29.9999</v>
      </c>
      <c r="JL158">
        <v>29.1049</v>
      </c>
      <c r="JM158">
        <v>29.0452</v>
      </c>
      <c r="JN158">
        <v>39.3426</v>
      </c>
      <c r="JO158">
        <v>56.5973</v>
      </c>
      <c r="JP158">
        <v>0</v>
      </c>
      <c r="JQ158">
        <v>22.6594</v>
      </c>
      <c r="JR158">
        <v>941.908</v>
      </c>
      <c r="JS158">
        <v>8.61309</v>
      </c>
      <c r="JT158">
        <v>100.298</v>
      </c>
      <c r="JU158">
        <v>100.21</v>
      </c>
    </row>
    <row r="159" spans="1:281">
      <c r="A159">
        <v>143</v>
      </c>
      <c r="B159">
        <v>1651857570.6</v>
      </c>
      <c r="C159">
        <v>570</v>
      </c>
      <c r="D159" t="s">
        <v>713</v>
      </c>
      <c r="E159" t="s">
        <v>714</v>
      </c>
      <c r="F159">
        <v>2</v>
      </c>
      <c r="G159" t="s">
        <v>413</v>
      </c>
      <c r="H159" t="s">
        <v>414</v>
      </c>
      <c r="I159">
        <v>1651857569.6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927.4667460118263</v>
      </c>
      <c r="AK159">
        <v>880.2538606060606</v>
      </c>
      <c r="AL159">
        <v>3.395089243173255</v>
      </c>
      <c r="AM159">
        <v>66.38384787954378</v>
      </c>
      <c r="AN159">
        <f>(AP159 - AO159 + DI159*1E3/(8.314*(DK159+273.15)) * AR159/DH159 * AQ159) * DH159/(100*CV159) * 1000/(1000 - AP159)</f>
        <v>0</v>
      </c>
      <c r="AO159">
        <v>8.631346228267082</v>
      </c>
      <c r="AP159">
        <v>18.35088470588235</v>
      </c>
      <c r="AQ159">
        <v>-6.792988123993388E-05</v>
      </c>
      <c r="AR159">
        <v>80.44866334591464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417</v>
      </c>
      <c r="AY159" t="s">
        <v>417</v>
      </c>
      <c r="AZ159">
        <v>0</v>
      </c>
      <c r="BA159">
        <v>0</v>
      </c>
      <c r="BB159">
        <f>1-AZ159/BA159</f>
        <v>0</v>
      </c>
      <c r="BC159">
        <v>0</v>
      </c>
      <c r="BD159" t="s">
        <v>417</v>
      </c>
      <c r="BE159" t="s">
        <v>417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1238</v>
      </c>
      <c r="CA159">
        <v>300</v>
      </c>
      <c r="CB159">
        <v>300</v>
      </c>
      <c r="CC159">
        <v>300</v>
      </c>
      <c r="CD159">
        <v>10440.5</v>
      </c>
      <c r="CE159">
        <v>1411.69</v>
      </c>
      <c r="CF159">
        <v>-0.00735121</v>
      </c>
      <c r="CG159">
        <v>-0.77</v>
      </c>
      <c r="CH159" t="s">
        <v>417</v>
      </c>
      <c r="CI159" t="s">
        <v>417</v>
      </c>
      <c r="CJ159" t="s">
        <v>417</v>
      </c>
      <c r="CK159" t="s">
        <v>417</v>
      </c>
      <c r="CL159" t="s">
        <v>417</v>
      </c>
      <c r="CM159" t="s">
        <v>417</v>
      </c>
      <c r="CN159" t="s">
        <v>417</v>
      </c>
      <c r="CO159" t="s">
        <v>417</v>
      </c>
      <c r="CP159" t="s">
        <v>417</v>
      </c>
      <c r="CQ159" t="s">
        <v>417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418</v>
      </c>
      <c r="CY159">
        <v>2</v>
      </c>
      <c r="CZ159" t="b">
        <v>1</v>
      </c>
      <c r="DA159">
        <v>1651857569.6</v>
      </c>
      <c r="DB159">
        <v>862.4236666666667</v>
      </c>
      <c r="DC159">
        <v>925.3666666666667</v>
      </c>
      <c r="DD159">
        <v>18.3523</v>
      </c>
      <c r="DE159">
        <v>8.630470000000001</v>
      </c>
      <c r="DF159">
        <v>864.4963333333334</v>
      </c>
      <c r="DG159">
        <v>18.34683333333333</v>
      </c>
      <c r="DH159">
        <v>500.0496666666667</v>
      </c>
      <c r="DI159">
        <v>90.07120000000002</v>
      </c>
      <c r="DJ159">
        <v>0.1000447333333333</v>
      </c>
      <c r="DK159">
        <v>25.77653333333333</v>
      </c>
      <c r="DL159">
        <v>25.00743333333333</v>
      </c>
      <c r="DM159">
        <v>999.9</v>
      </c>
      <c r="DN159">
        <v>0</v>
      </c>
      <c r="DO159">
        <v>0</v>
      </c>
      <c r="DP159">
        <v>9980</v>
      </c>
      <c r="DQ159">
        <v>0</v>
      </c>
      <c r="DR159">
        <v>3.20383</v>
      </c>
      <c r="DS159">
        <v>-62.94303333333334</v>
      </c>
      <c r="DT159">
        <v>878.547</v>
      </c>
      <c r="DU159">
        <v>933.4226666666667</v>
      </c>
      <c r="DV159">
        <v>9.72184</v>
      </c>
      <c r="DW159">
        <v>925.3666666666667</v>
      </c>
      <c r="DX159">
        <v>8.630470000000001</v>
      </c>
      <c r="DY159">
        <v>1.653016666666667</v>
      </c>
      <c r="DZ159">
        <v>0.777357</v>
      </c>
      <c r="EA159">
        <v>14.4621</v>
      </c>
      <c r="EB159">
        <v>3.300416666666667</v>
      </c>
      <c r="EC159">
        <v>1499.97</v>
      </c>
      <c r="ED159">
        <v>0.973002</v>
      </c>
      <c r="EE159">
        <v>0.0269985</v>
      </c>
      <c r="EF159">
        <v>0</v>
      </c>
      <c r="EG159">
        <v>1016.146666666667</v>
      </c>
      <c r="EH159">
        <v>5.00097</v>
      </c>
      <c r="EI159">
        <v>15093.16666666667</v>
      </c>
      <c r="EJ159">
        <v>12491.36666666667</v>
      </c>
      <c r="EK159">
        <v>37.5</v>
      </c>
      <c r="EL159">
        <v>39</v>
      </c>
      <c r="EM159">
        <v>37.875</v>
      </c>
      <c r="EN159">
        <v>38.75</v>
      </c>
      <c r="EO159">
        <v>38.375</v>
      </c>
      <c r="EP159">
        <v>1454.61</v>
      </c>
      <c r="EQ159">
        <v>40.36</v>
      </c>
      <c r="ER159">
        <v>0</v>
      </c>
      <c r="ES159">
        <v>569.4000000953674</v>
      </c>
      <c r="ET159">
        <v>0</v>
      </c>
      <c r="EU159">
        <v>1020.717692307692</v>
      </c>
      <c r="EV159">
        <v>-40.20444436873417</v>
      </c>
      <c r="EW159">
        <v>-573.2957257265367</v>
      </c>
      <c r="EX159">
        <v>15157.66538461538</v>
      </c>
      <c r="EY159">
        <v>15</v>
      </c>
      <c r="EZ159">
        <v>1651857041.1</v>
      </c>
      <c r="FA159" t="s">
        <v>419</v>
      </c>
      <c r="FB159">
        <v>1651857019.6</v>
      </c>
      <c r="FC159">
        <v>1651857041.1</v>
      </c>
      <c r="FD159">
        <v>1</v>
      </c>
      <c r="FE159">
        <v>0.545</v>
      </c>
      <c r="FF159">
        <v>-0.002</v>
      </c>
      <c r="FG159">
        <v>-1.271</v>
      </c>
      <c r="FH159">
        <v>-0.09</v>
      </c>
      <c r="FI159">
        <v>400</v>
      </c>
      <c r="FJ159">
        <v>10</v>
      </c>
      <c r="FK159">
        <v>0.1</v>
      </c>
      <c r="FL159">
        <v>0.02</v>
      </c>
      <c r="FM159">
        <v>-62.95031463414635</v>
      </c>
      <c r="FN159">
        <v>-0.08370940766551674</v>
      </c>
      <c r="FO159">
        <v>0.05153630764183632</v>
      </c>
      <c r="FP159">
        <v>-1</v>
      </c>
      <c r="FQ159">
        <v>9.751009756097563</v>
      </c>
      <c r="FR159">
        <v>-0.1519218815331251</v>
      </c>
      <c r="FS159">
        <v>0.01518633909349009</v>
      </c>
      <c r="FT159">
        <v>-1</v>
      </c>
      <c r="FU159">
        <v>0</v>
      </c>
      <c r="FV159">
        <v>0</v>
      </c>
      <c r="FW159">
        <v>0</v>
      </c>
      <c r="FX159">
        <v>-1</v>
      </c>
      <c r="FY159">
        <v>0</v>
      </c>
      <c r="FZ159">
        <v>0</v>
      </c>
      <c r="GA159" t="s">
        <v>432</v>
      </c>
      <c r="GB159">
        <v>2.97988</v>
      </c>
      <c r="GC159">
        <v>2.70589</v>
      </c>
      <c r="GD159">
        <v>0.155837</v>
      </c>
      <c r="GE159">
        <v>0.161167</v>
      </c>
      <c r="GF159">
        <v>0.0877351</v>
      </c>
      <c r="GG159">
        <v>0.0494303</v>
      </c>
      <c r="GH159">
        <v>26635</v>
      </c>
      <c r="GI159">
        <v>26524.8</v>
      </c>
      <c r="GJ159">
        <v>29341.4</v>
      </c>
      <c r="GK159">
        <v>29255</v>
      </c>
      <c r="GL159">
        <v>35447.4</v>
      </c>
      <c r="GM159">
        <v>37037.5</v>
      </c>
      <c r="GN159">
        <v>41302.3</v>
      </c>
      <c r="GO159">
        <v>41751.6</v>
      </c>
      <c r="GP159">
        <v>1.95525</v>
      </c>
      <c r="GQ159">
        <v>1.8352</v>
      </c>
      <c r="GR159">
        <v>-0.0339895</v>
      </c>
      <c r="GS159">
        <v>0</v>
      </c>
      <c r="GT159">
        <v>25.5665</v>
      </c>
      <c r="GU159">
        <v>999.9</v>
      </c>
      <c r="GV159">
        <v>38.5</v>
      </c>
      <c r="GW159">
        <v>33.9</v>
      </c>
      <c r="GX159">
        <v>22.7087</v>
      </c>
      <c r="GY159">
        <v>62.5776</v>
      </c>
      <c r="GZ159">
        <v>35.7051</v>
      </c>
      <c r="HA159">
        <v>1</v>
      </c>
      <c r="HB159">
        <v>0.137167</v>
      </c>
      <c r="HC159">
        <v>2.21442</v>
      </c>
      <c r="HD159">
        <v>20.3193</v>
      </c>
      <c r="HE159">
        <v>5.21759</v>
      </c>
      <c r="HF159">
        <v>12.0099</v>
      </c>
      <c r="HG159">
        <v>4.98875</v>
      </c>
      <c r="HH159">
        <v>3.28865</v>
      </c>
      <c r="HI159">
        <v>853.5</v>
      </c>
      <c r="HJ159">
        <v>8495.200000000001</v>
      </c>
      <c r="HK159">
        <v>5139.4</v>
      </c>
      <c r="HL159">
        <v>22.9</v>
      </c>
      <c r="HM159">
        <v>1.86752</v>
      </c>
      <c r="HN159">
        <v>1.86646</v>
      </c>
      <c r="HO159">
        <v>1.866</v>
      </c>
      <c r="HP159">
        <v>1.86585</v>
      </c>
      <c r="HQ159">
        <v>1.8677</v>
      </c>
      <c r="HR159">
        <v>1.87026</v>
      </c>
      <c r="HS159">
        <v>1.8689</v>
      </c>
      <c r="HT159">
        <v>1.87027</v>
      </c>
      <c r="HU159">
        <v>0</v>
      </c>
      <c r="HV159">
        <v>0</v>
      </c>
      <c r="HW159">
        <v>0</v>
      </c>
      <c r="HX159">
        <v>0</v>
      </c>
      <c r="HY159" t="s">
        <v>421</v>
      </c>
      <c r="HZ159" t="s">
        <v>422</v>
      </c>
      <c r="IA159" t="s">
        <v>423</v>
      </c>
      <c r="IB159" t="s">
        <v>423</v>
      </c>
      <c r="IC159" t="s">
        <v>423</v>
      </c>
      <c r="ID159" t="s">
        <v>423</v>
      </c>
      <c r="IE159">
        <v>0</v>
      </c>
      <c r="IF159">
        <v>100</v>
      </c>
      <c r="IG159">
        <v>100</v>
      </c>
      <c r="IH159">
        <v>-2.078</v>
      </c>
      <c r="II159">
        <v>0.0054</v>
      </c>
      <c r="IJ159">
        <v>-0.4995723906072</v>
      </c>
      <c r="IK159">
        <v>-0.002077099775823331</v>
      </c>
      <c r="IL159">
        <v>4.593143279902166E-07</v>
      </c>
      <c r="IM159">
        <v>-1.865383991892071E-10</v>
      </c>
      <c r="IN159">
        <v>-0.07605349583632376</v>
      </c>
      <c r="IO159">
        <v>-0.01129461987421345</v>
      </c>
      <c r="IP159">
        <v>0.00116580895745559</v>
      </c>
      <c r="IQ159">
        <v>-1.679085872906199E-05</v>
      </c>
      <c r="IR159">
        <v>2</v>
      </c>
      <c r="IS159">
        <v>2290</v>
      </c>
      <c r="IT159">
        <v>0</v>
      </c>
      <c r="IU159">
        <v>32</v>
      </c>
      <c r="IV159">
        <v>9.199999999999999</v>
      </c>
      <c r="IW159">
        <v>8.800000000000001</v>
      </c>
      <c r="IX159">
        <v>1.97754</v>
      </c>
      <c r="IY159">
        <v>2.21069</v>
      </c>
      <c r="IZ159">
        <v>1.39648</v>
      </c>
      <c r="JA159">
        <v>2.3584</v>
      </c>
      <c r="JB159">
        <v>1.49536</v>
      </c>
      <c r="JC159">
        <v>2.35229</v>
      </c>
      <c r="JD159">
        <v>38.4279</v>
      </c>
      <c r="JE159">
        <v>24.035</v>
      </c>
      <c r="JF159">
        <v>18</v>
      </c>
      <c r="JG159">
        <v>514.9</v>
      </c>
      <c r="JH159">
        <v>423.355</v>
      </c>
      <c r="JI159">
        <v>22.6657</v>
      </c>
      <c r="JJ159">
        <v>29.1034</v>
      </c>
      <c r="JK159">
        <v>29.9999</v>
      </c>
      <c r="JL159">
        <v>29.1049</v>
      </c>
      <c r="JM159">
        <v>29.044</v>
      </c>
      <c r="JN159">
        <v>39.5711</v>
      </c>
      <c r="JO159">
        <v>56.5973</v>
      </c>
      <c r="JP159">
        <v>0</v>
      </c>
      <c r="JQ159">
        <v>22.6594</v>
      </c>
      <c r="JR159">
        <v>948.586</v>
      </c>
      <c r="JS159">
        <v>8.616300000000001</v>
      </c>
      <c r="JT159">
        <v>100.299</v>
      </c>
      <c r="JU159">
        <v>100.211</v>
      </c>
    </row>
    <row r="160" spans="1:281">
      <c r="A160">
        <v>144</v>
      </c>
      <c r="B160">
        <v>1651857572.6</v>
      </c>
      <c r="C160">
        <v>572</v>
      </c>
      <c r="D160" t="s">
        <v>715</v>
      </c>
      <c r="E160" t="s">
        <v>716</v>
      </c>
      <c r="F160">
        <v>2</v>
      </c>
      <c r="G160" t="s">
        <v>413</v>
      </c>
      <c r="H160" t="s">
        <v>414</v>
      </c>
      <c r="I160">
        <v>1651857571.225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934.2021485327085</v>
      </c>
      <c r="AK160">
        <v>887.1296666666663</v>
      </c>
      <c r="AL160">
        <v>3.423807856869727</v>
      </c>
      <c r="AM160">
        <v>66.38384787954378</v>
      </c>
      <c r="AN160">
        <f>(AP160 - AO160 + DI160*1E3/(8.314*(DK160+273.15)) * AR160/DH160 * AQ160) * DH160/(100*CV160) * 1000/(1000 - AP160)</f>
        <v>0</v>
      </c>
      <c r="AO160">
        <v>8.630673345931408</v>
      </c>
      <c r="AP160">
        <v>18.34307294117646</v>
      </c>
      <c r="AQ160">
        <v>-5.078660652200712E-05</v>
      </c>
      <c r="AR160">
        <v>80.44866334591464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417</v>
      </c>
      <c r="AY160" t="s">
        <v>417</v>
      </c>
      <c r="AZ160">
        <v>0</v>
      </c>
      <c r="BA160">
        <v>0</v>
      </c>
      <c r="BB160">
        <f>1-AZ160/BA160</f>
        <v>0</v>
      </c>
      <c r="BC160">
        <v>0</v>
      </c>
      <c r="BD160" t="s">
        <v>417</v>
      </c>
      <c r="BE160" t="s">
        <v>417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1238</v>
      </c>
      <c r="CA160">
        <v>300</v>
      </c>
      <c r="CB160">
        <v>300</v>
      </c>
      <c r="CC160">
        <v>300</v>
      </c>
      <c r="CD160">
        <v>10440.5</v>
      </c>
      <c r="CE160">
        <v>1411.69</v>
      </c>
      <c r="CF160">
        <v>-0.00735121</v>
      </c>
      <c r="CG160">
        <v>-0.77</v>
      </c>
      <c r="CH160" t="s">
        <v>417</v>
      </c>
      <c r="CI160" t="s">
        <v>417</v>
      </c>
      <c r="CJ160" t="s">
        <v>417</v>
      </c>
      <c r="CK160" t="s">
        <v>417</v>
      </c>
      <c r="CL160" t="s">
        <v>417</v>
      </c>
      <c r="CM160" t="s">
        <v>417</v>
      </c>
      <c r="CN160" t="s">
        <v>417</v>
      </c>
      <c r="CO160" t="s">
        <v>417</v>
      </c>
      <c r="CP160" t="s">
        <v>417</v>
      </c>
      <c r="CQ160" t="s">
        <v>417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418</v>
      </c>
      <c r="CY160">
        <v>2</v>
      </c>
      <c r="CZ160" t="b">
        <v>1</v>
      </c>
      <c r="DA160">
        <v>1651857571.225</v>
      </c>
      <c r="DB160">
        <v>867.90075</v>
      </c>
      <c r="DC160">
        <v>930.8367500000001</v>
      </c>
      <c r="DD160">
        <v>18.346225</v>
      </c>
      <c r="DE160">
        <v>8.63097</v>
      </c>
      <c r="DF160">
        <v>869.98225</v>
      </c>
      <c r="DG160">
        <v>18.340875</v>
      </c>
      <c r="DH160">
        <v>500.0485</v>
      </c>
      <c r="DI160">
        <v>90.07040000000001</v>
      </c>
      <c r="DJ160">
        <v>0.09982660000000002</v>
      </c>
      <c r="DK160">
        <v>25.77565</v>
      </c>
      <c r="DL160">
        <v>25.0071</v>
      </c>
      <c r="DM160">
        <v>999.9</v>
      </c>
      <c r="DN160">
        <v>0</v>
      </c>
      <c r="DO160">
        <v>0</v>
      </c>
      <c r="DP160">
        <v>9992.799999999999</v>
      </c>
      <c r="DQ160">
        <v>0</v>
      </c>
      <c r="DR160">
        <v>3.20383</v>
      </c>
      <c r="DS160">
        <v>-62.9364</v>
      </c>
      <c r="DT160">
        <v>884.1205000000001</v>
      </c>
      <c r="DU160">
        <v>938.94075</v>
      </c>
      <c r="DV160">
        <v>9.7152675</v>
      </c>
      <c r="DW160">
        <v>930.8367500000001</v>
      </c>
      <c r="DX160">
        <v>8.63097</v>
      </c>
      <c r="DY160">
        <v>1.6524525</v>
      </c>
      <c r="DZ160">
        <v>0.77739525</v>
      </c>
      <c r="EA160">
        <v>14.45685</v>
      </c>
      <c r="EB160">
        <v>3.30111</v>
      </c>
      <c r="EC160">
        <v>1500.0675</v>
      </c>
      <c r="ED160">
        <v>0.97300575</v>
      </c>
      <c r="EE160">
        <v>0.02699445</v>
      </c>
      <c r="EF160">
        <v>0</v>
      </c>
      <c r="EG160">
        <v>1015.3225</v>
      </c>
      <c r="EH160">
        <v>5.00097</v>
      </c>
      <c r="EI160">
        <v>15079.5</v>
      </c>
      <c r="EJ160">
        <v>12492.175</v>
      </c>
      <c r="EK160">
        <v>37.5</v>
      </c>
      <c r="EL160">
        <v>39</v>
      </c>
      <c r="EM160">
        <v>37.875</v>
      </c>
      <c r="EN160">
        <v>38.75</v>
      </c>
      <c r="EO160">
        <v>38.375</v>
      </c>
      <c r="EP160">
        <v>1454.7075</v>
      </c>
      <c r="EQ160">
        <v>40.36</v>
      </c>
      <c r="ER160">
        <v>0</v>
      </c>
      <c r="ES160">
        <v>571.8000001907349</v>
      </c>
      <c r="ET160">
        <v>0</v>
      </c>
      <c r="EU160">
        <v>1019.180384615385</v>
      </c>
      <c r="EV160">
        <v>-40.82017092272919</v>
      </c>
      <c r="EW160">
        <v>-571.9008546791699</v>
      </c>
      <c r="EX160">
        <v>15134.85769230769</v>
      </c>
      <c r="EY160">
        <v>15</v>
      </c>
      <c r="EZ160">
        <v>1651857041.1</v>
      </c>
      <c r="FA160" t="s">
        <v>419</v>
      </c>
      <c r="FB160">
        <v>1651857019.6</v>
      </c>
      <c r="FC160">
        <v>1651857041.1</v>
      </c>
      <c r="FD160">
        <v>1</v>
      </c>
      <c r="FE160">
        <v>0.545</v>
      </c>
      <c r="FF160">
        <v>-0.002</v>
      </c>
      <c r="FG160">
        <v>-1.271</v>
      </c>
      <c r="FH160">
        <v>-0.09</v>
      </c>
      <c r="FI160">
        <v>400</v>
      </c>
      <c r="FJ160">
        <v>10</v>
      </c>
      <c r="FK160">
        <v>0.1</v>
      </c>
      <c r="FL160">
        <v>0.02</v>
      </c>
      <c r="FM160">
        <v>-62.94747750000001</v>
      </c>
      <c r="FN160">
        <v>-0.07637560975604897</v>
      </c>
      <c r="FO160">
        <v>0.05187713122128128</v>
      </c>
      <c r="FP160">
        <v>-1</v>
      </c>
      <c r="FQ160">
        <v>9.746532999999999</v>
      </c>
      <c r="FR160">
        <v>-0.1661596998124097</v>
      </c>
      <c r="FS160">
        <v>0.0161526820064038</v>
      </c>
      <c r="FT160">
        <v>-1</v>
      </c>
      <c r="FU160">
        <v>0</v>
      </c>
      <c r="FV160">
        <v>0</v>
      </c>
      <c r="FW160">
        <v>0</v>
      </c>
      <c r="FX160">
        <v>-1</v>
      </c>
      <c r="FY160">
        <v>0</v>
      </c>
      <c r="FZ160">
        <v>0</v>
      </c>
      <c r="GA160" t="s">
        <v>432</v>
      </c>
      <c r="GB160">
        <v>2.9799</v>
      </c>
      <c r="GC160">
        <v>2.70606</v>
      </c>
      <c r="GD160">
        <v>0.156626</v>
      </c>
      <c r="GE160">
        <v>0.161925</v>
      </c>
      <c r="GF160">
        <v>0.08771320000000001</v>
      </c>
      <c r="GG160">
        <v>0.0494334</v>
      </c>
      <c r="GH160">
        <v>26610.4</v>
      </c>
      <c r="GI160">
        <v>26500.9</v>
      </c>
      <c r="GJ160">
        <v>29341.8</v>
      </c>
      <c r="GK160">
        <v>29255.2</v>
      </c>
      <c r="GL160">
        <v>35448.7</v>
      </c>
      <c r="GM160">
        <v>37037.7</v>
      </c>
      <c r="GN160">
        <v>41302.7</v>
      </c>
      <c r="GO160">
        <v>41751.9</v>
      </c>
      <c r="GP160">
        <v>1.95525</v>
      </c>
      <c r="GQ160">
        <v>1.83535</v>
      </c>
      <c r="GR160">
        <v>-0.0341386</v>
      </c>
      <c r="GS160">
        <v>0</v>
      </c>
      <c r="GT160">
        <v>25.567</v>
      </c>
      <c r="GU160">
        <v>999.9</v>
      </c>
      <c r="GV160">
        <v>38.6</v>
      </c>
      <c r="GW160">
        <v>33.9</v>
      </c>
      <c r="GX160">
        <v>22.7714</v>
      </c>
      <c r="GY160">
        <v>62.6776</v>
      </c>
      <c r="GZ160">
        <v>35.2524</v>
      </c>
      <c r="HA160">
        <v>1</v>
      </c>
      <c r="HB160">
        <v>0.137182</v>
      </c>
      <c r="HC160">
        <v>2.22167</v>
      </c>
      <c r="HD160">
        <v>20.3189</v>
      </c>
      <c r="HE160">
        <v>5.21789</v>
      </c>
      <c r="HF160">
        <v>12.0099</v>
      </c>
      <c r="HG160">
        <v>4.98905</v>
      </c>
      <c r="HH160">
        <v>3.28865</v>
      </c>
      <c r="HI160">
        <v>853.7</v>
      </c>
      <c r="HJ160">
        <v>8497.4</v>
      </c>
      <c r="HK160">
        <v>5139.4</v>
      </c>
      <c r="HL160">
        <v>22.9</v>
      </c>
      <c r="HM160">
        <v>1.86752</v>
      </c>
      <c r="HN160">
        <v>1.86647</v>
      </c>
      <c r="HO160">
        <v>1.866</v>
      </c>
      <c r="HP160">
        <v>1.86586</v>
      </c>
      <c r="HQ160">
        <v>1.86771</v>
      </c>
      <c r="HR160">
        <v>1.87027</v>
      </c>
      <c r="HS160">
        <v>1.8689</v>
      </c>
      <c r="HT160">
        <v>1.87026</v>
      </c>
      <c r="HU160">
        <v>0</v>
      </c>
      <c r="HV160">
        <v>0</v>
      </c>
      <c r="HW160">
        <v>0</v>
      </c>
      <c r="HX160">
        <v>0</v>
      </c>
      <c r="HY160" t="s">
        <v>421</v>
      </c>
      <c r="HZ160" t="s">
        <v>422</v>
      </c>
      <c r="IA160" t="s">
        <v>423</v>
      </c>
      <c r="IB160" t="s">
        <v>423</v>
      </c>
      <c r="IC160" t="s">
        <v>423</v>
      </c>
      <c r="ID160" t="s">
        <v>423</v>
      </c>
      <c r="IE160">
        <v>0</v>
      </c>
      <c r="IF160">
        <v>100</v>
      </c>
      <c r="IG160">
        <v>100</v>
      </c>
      <c r="IH160">
        <v>-2.09</v>
      </c>
      <c r="II160">
        <v>0.0053</v>
      </c>
      <c r="IJ160">
        <v>-0.4995723906072</v>
      </c>
      <c r="IK160">
        <v>-0.002077099775823331</v>
      </c>
      <c r="IL160">
        <v>4.593143279902166E-07</v>
      </c>
      <c r="IM160">
        <v>-1.865383991892071E-10</v>
      </c>
      <c r="IN160">
        <v>-0.07605349583632376</v>
      </c>
      <c r="IO160">
        <v>-0.01129461987421345</v>
      </c>
      <c r="IP160">
        <v>0.00116580895745559</v>
      </c>
      <c r="IQ160">
        <v>-1.679085872906199E-05</v>
      </c>
      <c r="IR160">
        <v>2</v>
      </c>
      <c r="IS160">
        <v>2290</v>
      </c>
      <c r="IT160">
        <v>0</v>
      </c>
      <c r="IU160">
        <v>32</v>
      </c>
      <c r="IV160">
        <v>9.199999999999999</v>
      </c>
      <c r="IW160">
        <v>8.9</v>
      </c>
      <c r="IX160">
        <v>1.9873</v>
      </c>
      <c r="IY160">
        <v>2.20581</v>
      </c>
      <c r="IZ160">
        <v>1.39648</v>
      </c>
      <c r="JA160">
        <v>2.35962</v>
      </c>
      <c r="JB160">
        <v>1.49536</v>
      </c>
      <c r="JC160">
        <v>2.34253</v>
      </c>
      <c r="JD160">
        <v>38.4279</v>
      </c>
      <c r="JE160">
        <v>24.0437</v>
      </c>
      <c r="JF160">
        <v>18</v>
      </c>
      <c r="JG160">
        <v>514.9</v>
      </c>
      <c r="JH160">
        <v>423.443</v>
      </c>
      <c r="JI160">
        <v>22.6631</v>
      </c>
      <c r="JJ160">
        <v>29.1022</v>
      </c>
      <c r="JK160">
        <v>29.9999</v>
      </c>
      <c r="JL160">
        <v>29.1049</v>
      </c>
      <c r="JM160">
        <v>29.044</v>
      </c>
      <c r="JN160">
        <v>39.7943</v>
      </c>
      <c r="JO160">
        <v>56.5973</v>
      </c>
      <c r="JP160">
        <v>0</v>
      </c>
      <c r="JQ160">
        <v>22.6594</v>
      </c>
      <c r="JR160">
        <v>955.265</v>
      </c>
      <c r="JS160">
        <v>8.627359999999999</v>
      </c>
      <c r="JT160">
        <v>100.3</v>
      </c>
      <c r="JU160">
        <v>100.212</v>
      </c>
    </row>
    <row r="161" spans="1:281">
      <c r="A161">
        <v>145</v>
      </c>
      <c r="B161">
        <v>1651857574.6</v>
      </c>
      <c r="C161">
        <v>574</v>
      </c>
      <c r="D161" t="s">
        <v>717</v>
      </c>
      <c r="E161" t="s">
        <v>718</v>
      </c>
      <c r="F161">
        <v>2</v>
      </c>
      <c r="G161" t="s">
        <v>413</v>
      </c>
      <c r="H161" t="s">
        <v>414</v>
      </c>
      <c r="I161">
        <v>1651857573.6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941.0046143872663</v>
      </c>
      <c r="AK161">
        <v>893.9431818181816</v>
      </c>
      <c r="AL161">
        <v>3.416049997001414</v>
      </c>
      <c r="AM161">
        <v>66.38384787954378</v>
      </c>
      <c r="AN161">
        <f>(AP161 - AO161 + DI161*1E3/(8.314*(DK161+273.15)) * AR161/DH161 * AQ161) * DH161/(100*CV161) * 1000/(1000 - AP161)</f>
        <v>0</v>
      </c>
      <c r="AO161">
        <v>8.630643095532067</v>
      </c>
      <c r="AP161">
        <v>18.33554882352941</v>
      </c>
      <c r="AQ161">
        <v>-4.899722747004532E-05</v>
      </c>
      <c r="AR161">
        <v>80.44866334591464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417</v>
      </c>
      <c r="AY161" t="s">
        <v>417</v>
      </c>
      <c r="AZ161">
        <v>0</v>
      </c>
      <c r="BA161">
        <v>0</v>
      </c>
      <c r="BB161">
        <f>1-AZ161/BA161</f>
        <v>0</v>
      </c>
      <c r="BC161">
        <v>0</v>
      </c>
      <c r="BD161" t="s">
        <v>417</v>
      </c>
      <c r="BE161" t="s">
        <v>417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1238</v>
      </c>
      <c r="CA161">
        <v>300</v>
      </c>
      <c r="CB161">
        <v>300</v>
      </c>
      <c r="CC161">
        <v>300</v>
      </c>
      <c r="CD161">
        <v>10440.5</v>
      </c>
      <c r="CE161">
        <v>1411.69</v>
      </c>
      <c r="CF161">
        <v>-0.00735121</v>
      </c>
      <c r="CG161">
        <v>-0.77</v>
      </c>
      <c r="CH161" t="s">
        <v>417</v>
      </c>
      <c r="CI161" t="s">
        <v>417</v>
      </c>
      <c r="CJ161" t="s">
        <v>417</v>
      </c>
      <c r="CK161" t="s">
        <v>417</v>
      </c>
      <c r="CL161" t="s">
        <v>417</v>
      </c>
      <c r="CM161" t="s">
        <v>417</v>
      </c>
      <c r="CN161" t="s">
        <v>417</v>
      </c>
      <c r="CO161" t="s">
        <v>417</v>
      </c>
      <c r="CP161" t="s">
        <v>417</v>
      </c>
      <c r="CQ161" t="s">
        <v>417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418</v>
      </c>
      <c r="CY161">
        <v>2</v>
      </c>
      <c r="CZ161" t="b">
        <v>1</v>
      </c>
      <c r="DA161">
        <v>1651857573.6</v>
      </c>
      <c r="DB161">
        <v>875.8813333333334</v>
      </c>
      <c r="DC161">
        <v>938.8760000000001</v>
      </c>
      <c r="DD161">
        <v>18.33753333333333</v>
      </c>
      <c r="DE161">
        <v>8.632026666666667</v>
      </c>
      <c r="DF161">
        <v>877.9769999999999</v>
      </c>
      <c r="DG161">
        <v>18.33226666666667</v>
      </c>
      <c r="DH161">
        <v>500.0113333333334</v>
      </c>
      <c r="DI161">
        <v>90.0672</v>
      </c>
      <c r="DJ161">
        <v>0.09989783333333331</v>
      </c>
      <c r="DK161">
        <v>25.77516666666666</v>
      </c>
      <c r="DL161">
        <v>25.0108</v>
      </c>
      <c r="DM161">
        <v>999.9</v>
      </c>
      <c r="DN161">
        <v>0</v>
      </c>
      <c r="DO161">
        <v>0</v>
      </c>
      <c r="DP161">
        <v>10007.46666666667</v>
      </c>
      <c r="DQ161">
        <v>0</v>
      </c>
      <c r="DR161">
        <v>3.20383</v>
      </c>
      <c r="DS161">
        <v>-62.9945</v>
      </c>
      <c r="DT161">
        <v>892.2430000000001</v>
      </c>
      <c r="DU161">
        <v>947.051</v>
      </c>
      <c r="DV161">
        <v>9.705516666666668</v>
      </c>
      <c r="DW161">
        <v>938.8760000000001</v>
      </c>
      <c r="DX161">
        <v>8.632026666666667</v>
      </c>
      <c r="DY161">
        <v>1.651613333333333</v>
      </c>
      <c r="DZ161">
        <v>0.7774626666666666</v>
      </c>
      <c r="EA161">
        <v>14.44893333333333</v>
      </c>
      <c r="EB161">
        <v>3.30233</v>
      </c>
      <c r="EC161">
        <v>1499.966666666666</v>
      </c>
      <c r="ED161">
        <v>0.9730053333333334</v>
      </c>
      <c r="EE161">
        <v>0.0269949</v>
      </c>
      <c r="EF161">
        <v>0</v>
      </c>
      <c r="EG161">
        <v>1013.83</v>
      </c>
      <c r="EH161">
        <v>5.00097</v>
      </c>
      <c r="EI161">
        <v>15056.96666666667</v>
      </c>
      <c r="EJ161">
        <v>12491.33333333333</v>
      </c>
      <c r="EK161">
        <v>37.5</v>
      </c>
      <c r="EL161">
        <v>39</v>
      </c>
      <c r="EM161">
        <v>37.875</v>
      </c>
      <c r="EN161">
        <v>38.75</v>
      </c>
      <c r="EO161">
        <v>38.375</v>
      </c>
      <c r="EP161">
        <v>1454.606666666667</v>
      </c>
      <c r="EQ161">
        <v>40.36</v>
      </c>
      <c r="ER161">
        <v>0</v>
      </c>
      <c r="ES161">
        <v>573.6000001430511</v>
      </c>
      <c r="ET161">
        <v>0</v>
      </c>
      <c r="EU161">
        <v>1017.7496</v>
      </c>
      <c r="EV161">
        <v>-39.61692306597671</v>
      </c>
      <c r="EW161">
        <v>-573.4461538119095</v>
      </c>
      <c r="EX161">
        <v>15114.8</v>
      </c>
      <c r="EY161">
        <v>15</v>
      </c>
      <c r="EZ161">
        <v>1651857041.1</v>
      </c>
      <c r="FA161" t="s">
        <v>419</v>
      </c>
      <c r="FB161">
        <v>1651857019.6</v>
      </c>
      <c r="FC161">
        <v>1651857041.1</v>
      </c>
      <c r="FD161">
        <v>1</v>
      </c>
      <c r="FE161">
        <v>0.545</v>
      </c>
      <c r="FF161">
        <v>-0.002</v>
      </c>
      <c r="FG161">
        <v>-1.271</v>
      </c>
      <c r="FH161">
        <v>-0.09</v>
      </c>
      <c r="FI161">
        <v>400</v>
      </c>
      <c r="FJ161">
        <v>10</v>
      </c>
      <c r="FK161">
        <v>0.1</v>
      </c>
      <c r="FL161">
        <v>0.02</v>
      </c>
      <c r="FM161">
        <v>-62.95007250000001</v>
      </c>
      <c r="FN161">
        <v>-0.1532746716697559</v>
      </c>
      <c r="FO161">
        <v>0.05309611561828249</v>
      </c>
      <c r="FP161">
        <v>-1</v>
      </c>
      <c r="FQ161">
        <v>9.737812999999999</v>
      </c>
      <c r="FR161">
        <v>-0.1905129455910075</v>
      </c>
      <c r="FS161">
        <v>0.0184071843582879</v>
      </c>
      <c r="FT161">
        <v>-1</v>
      </c>
      <c r="FU161">
        <v>0</v>
      </c>
      <c r="FV161">
        <v>0</v>
      </c>
      <c r="FW161">
        <v>0</v>
      </c>
      <c r="FX161">
        <v>-1</v>
      </c>
      <c r="FY161">
        <v>0</v>
      </c>
      <c r="FZ161">
        <v>0</v>
      </c>
      <c r="GA161" t="s">
        <v>432</v>
      </c>
      <c r="GB161">
        <v>2.98</v>
      </c>
      <c r="GC161">
        <v>2.7062</v>
      </c>
      <c r="GD161">
        <v>0.157405</v>
      </c>
      <c r="GE161">
        <v>0.162678</v>
      </c>
      <c r="GF161">
        <v>0.0876791</v>
      </c>
      <c r="GG161">
        <v>0.0494308</v>
      </c>
      <c r="GH161">
        <v>26585.9</v>
      </c>
      <c r="GI161">
        <v>26477.1</v>
      </c>
      <c r="GJ161">
        <v>29341.9</v>
      </c>
      <c r="GK161">
        <v>29255.2</v>
      </c>
      <c r="GL161">
        <v>35450.2</v>
      </c>
      <c r="GM161">
        <v>37037.8</v>
      </c>
      <c r="GN161">
        <v>41302.9</v>
      </c>
      <c r="GO161">
        <v>41751.9</v>
      </c>
      <c r="GP161">
        <v>1.95555</v>
      </c>
      <c r="GQ161">
        <v>1.8355</v>
      </c>
      <c r="GR161">
        <v>-0.0340044</v>
      </c>
      <c r="GS161">
        <v>0</v>
      </c>
      <c r="GT161">
        <v>25.5681</v>
      </c>
      <c r="GU161">
        <v>999.9</v>
      </c>
      <c r="GV161">
        <v>38.5</v>
      </c>
      <c r="GW161">
        <v>33.9</v>
      </c>
      <c r="GX161">
        <v>22.7144</v>
      </c>
      <c r="GY161">
        <v>62.4176</v>
      </c>
      <c r="GZ161">
        <v>35.605</v>
      </c>
      <c r="HA161">
        <v>1</v>
      </c>
      <c r="HB161">
        <v>0.137134</v>
      </c>
      <c r="HC161">
        <v>2.22824</v>
      </c>
      <c r="HD161">
        <v>20.3193</v>
      </c>
      <c r="HE161">
        <v>5.21699</v>
      </c>
      <c r="HF161">
        <v>12.0099</v>
      </c>
      <c r="HG161">
        <v>4.9888</v>
      </c>
      <c r="HH161">
        <v>3.28855</v>
      </c>
      <c r="HI161">
        <v>853.7</v>
      </c>
      <c r="HJ161">
        <v>8497.4</v>
      </c>
      <c r="HK161">
        <v>5139.4</v>
      </c>
      <c r="HL161">
        <v>22.9</v>
      </c>
      <c r="HM161">
        <v>1.86751</v>
      </c>
      <c r="HN161">
        <v>1.86647</v>
      </c>
      <c r="HO161">
        <v>1.866</v>
      </c>
      <c r="HP161">
        <v>1.86586</v>
      </c>
      <c r="HQ161">
        <v>1.86772</v>
      </c>
      <c r="HR161">
        <v>1.87027</v>
      </c>
      <c r="HS161">
        <v>1.8689</v>
      </c>
      <c r="HT161">
        <v>1.87026</v>
      </c>
      <c r="HU161">
        <v>0</v>
      </c>
      <c r="HV161">
        <v>0</v>
      </c>
      <c r="HW161">
        <v>0</v>
      </c>
      <c r="HX161">
        <v>0</v>
      </c>
      <c r="HY161" t="s">
        <v>421</v>
      </c>
      <c r="HZ161" t="s">
        <v>422</v>
      </c>
      <c r="IA161" t="s">
        <v>423</v>
      </c>
      <c r="IB161" t="s">
        <v>423</v>
      </c>
      <c r="IC161" t="s">
        <v>423</v>
      </c>
      <c r="ID161" t="s">
        <v>423</v>
      </c>
      <c r="IE161">
        <v>0</v>
      </c>
      <c r="IF161">
        <v>100</v>
      </c>
      <c r="IG161">
        <v>100</v>
      </c>
      <c r="IH161">
        <v>-2.101</v>
      </c>
      <c r="II161">
        <v>0.0052</v>
      </c>
      <c r="IJ161">
        <v>-0.4995723906072</v>
      </c>
      <c r="IK161">
        <v>-0.002077099775823331</v>
      </c>
      <c r="IL161">
        <v>4.593143279902166E-07</v>
      </c>
      <c r="IM161">
        <v>-1.865383991892071E-10</v>
      </c>
      <c r="IN161">
        <v>-0.07605349583632376</v>
      </c>
      <c r="IO161">
        <v>-0.01129461987421345</v>
      </c>
      <c r="IP161">
        <v>0.00116580895745559</v>
      </c>
      <c r="IQ161">
        <v>-1.679085872906199E-05</v>
      </c>
      <c r="IR161">
        <v>2</v>
      </c>
      <c r="IS161">
        <v>2290</v>
      </c>
      <c r="IT161">
        <v>0</v>
      </c>
      <c r="IU161">
        <v>32</v>
      </c>
      <c r="IV161">
        <v>9.199999999999999</v>
      </c>
      <c r="IW161">
        <v>8.9</v>
      </c>
      <c r="IX161">
        <v>1.99951</v>
      </c>
      <c r="IY161">
        <v>2.21436</v>
      </c>
      <c r="IZ161">
        <v>1.39648</v>
      </c>
      <c r="JA161">
        <v>2.35962</v>
      </c>
      <c r="JB161">
        <v>1.49536</v>
      </c>
      <c r="JC161">
        <v>2.30957</v>
      </c>
      <c r="JD161">
        <v>38.4279</v>
      </c>
      <c r="JE161">
        <v>24.035</v>
      </c>
      <c r="JF161">
        <v>18</v>
      </c>
      <c r="JG161">
        <v>515.098</v>
      </c>
      <c r="JH161">
        <v>423.533</v>
      </c>
      <c r="JI161">
        <v>22.6603</v>
      </c>
      <c r="JJ161">
        <v>29.1011</v>
      </c>
      <c r="JK161">
        <v>29.9999</v>
      </c>
      <c r="JL161">
        <v>29.1049</v>
      </c>
      <c r="JM161">
        <v>29.044</v>
      </c>
      <c r="JN161">
        <v>40.0187</v>
      </c>
      <c r="JO161">
        <v>56.5973</v>
      </c>
      <c r="JP161">
        <v>0</v>
      </c>
      <c r="JQ161">
        <v>22.6519</v>
      </c>
      <c r="JR161">
        <v>961.943</v>
      </c>
      <c r="JS161">
        <v>8.64029</v>
      </c>
      <c r="JT161">
        <v>100.301</v>
      </c>
      <c r="JU161">
        <v>100.212</v>
      </c>
    </row>
    <row r="162" spans="1:281">
      <c r="A162">
        <v>146</v>
      </c>
      <c r="B162">
        <v>1651857576.6</v>
      </c>
      <c r="C162">
        <v>576</v>
      </c>
      <c r="D162" t="s">
        <v>719</v>
      </c>
      <c r="E162" t="s">
        <v>720</v>
      </c>
      <c r="F162">
        <v>2</v>
      </c>
      <c r="G162" t="s">
        <v>413</v>
      </c>
      <c r="H162" t="s">
        <v>414</v>
      </c>
      <c r="I162">
        <v>1651857575.225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947.8282763471046</v>
      </c>
      <c r="AK162">
        <v>900.7457878787876</v>
      </c>
      <c r="AL162">
        <v>3.40423620491155</v>
      </c>
      <c r="AM162">
        <v>66.38384787954378</v>
      </c>
      <c r="AN162">
        <f>(AP162 - AO162 + DI162*1E3/(8.314*(DK162+273.15)) * AR162/DH162 * AQ162) * DH162/(100*CV162) * 1000/(1000 - AP162)</f>
        <v>0</v>
      </c>
      <c r="AO162">
        <v>8.631521032802038</v>
      </c>
      <c r="AP162">
        <v>18.32801382352941</v>
      </c>
      <c r="AQ162">
        <v>-5.179547014793357E-05</v>
      </c>
      <c r="AR162">
        <v>80.44866334591464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417</v>
      </c>
      <c r="AY162" t="s">
        <v>417</v>
      </c>
      <c r="AZ162">
        <v>0</v>
      </c>
      <c r="BA162">
        <v>0</v>
      </c>
      <c r="BB162">
        <f>1-AZ162/BA162</f>
        <v>0</v>
      </c>
      <c r="BC162">
        <v>0</v>
      </c>
      <c r="BD162" t="s">
        <v>417</v>
      </c>
      <c r="BE162" t="s">
        <v>417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1238</v>
      </c>
      <c r="CA162">
        <v>300</v>
      </c>
      <c r="CB162">
        <v>300</v>
      </c>
      <c r="CC162">
        <v>300</v>
      </c>
      <c r="CD162">
        <v>10440.5</v>
      </c>
      <c r="CE162">
        <v>1411.69</v>
      </c>
      <c r="CF162">
        <v>-0.00735121</v>
      </c>
      <c r="CG162">
        <v>-0.77</v>
      </c>
      <c r="CH162" t="s">
        <v>417</v>
      </c>
      <c r="CI162" t="s">
        <v>417</v>
      </c>
      <c r="CJ162" t="s">
        <v>417</v>
      </c>
      <c r="CK162" t="s">
        <v>417</v>
      </c>
      <c r="CL162" t="s">
        <v>417</v>
      </c>
      <c r="CM162" t="s">
        <v>417</v>
      </c>
      <c r="CN162" t="s">
        <v>417</v>
      </c>
      <c r="CO162" t="s">
        <v>417</v>
      </c>
      <c r="CP162" t="s">
        <v>417</v>
      </c>
      <c r="CQ162" t="s">
        <v>417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418</v>
      </c>
      <c r="CY162">
        <v>2</v>
      </c>
      <c r="CZ162" t="b">
        <v>1</v>
      </c>
      <c r="DA162">
        <v>1651857575.225</v>
      </c>
      <c r="DB162">
        <v>881.31375</v>
      </c>
      <c r="DC162">
        <v>944.2845</v>
      </c>
      <c r="DD162">
        <v>18.33125</v>
      </c>
      <c r="DE162">
        <v>8.631550000000001</v>
      </c>
      <c r="DF162">
        <v>883.4179999999999</v>
      </c>
      <c r="DG162">
        <v>18.326075</v>
      </c>
      <c r="DH162">
        <v>500.02525</v>
      </c>
      <c r="DI162">
        <v>90.06445000000001</v>
      </c>
      <c r="DJ162">
        <v>0.100031525</v>
      </c>
      <c r="DK162">
        <v>25.775</v>
      </c>
      <c r="DL162">
        <v>25.00905</v>
      </c>
      <c r="DM162">
        <v>999.9</v>
      </c>
      <c r="DN162">
        <v>0</v>
      </c>
      <c r="DO162">
        <v>0</v>
      </c>
      <c r="DP162">
        <v>9997.512500000001</v>
      </c>
      <c r="DQ162">
        <v>0</v>
      </c>
      <c r="DR162">
        <v>3.20383</v>
      </c>
      <c r="DS162">
        <v>-62.97109999999999</v>
      </c>
      <c r="DT162">
        <v>897.77075</v>
      </c>
      <c r="DU162">
        <v>952.5060000000001</v>
      </c>
      <c r="DV162">
        <v>9.699680000000001</v>
      </c>
      <c r="DW162">
        <v>944.2845</v>
      </c>
      <c r="DX162">
        <v>8.631550000000001</v>
      </c>
      <c r="DY162">
        <v>1.65099</v>
      </c>
      <c r="DZ162">
        <v>0.7773957500000001</v>
      </c>
      <c r="EA162">
        <v>14.44315</v>
      </c>
      <c r="EB162">
        <v>3.30112</v>
      </c>
      <c r="EC162">
        <v>1500.0675</v>
      </c>
      <c r="ED162">
        <v>0.973007</v>
      </c>
      <c r="EE162">
        <v>0.0269931</v>
      </c>
      <c r="EF162">
        <v>0</v>
      </c>
      <c r="EG162">
        <v>1012.775</v>
      </c>
      <c r="EH162">
        <v>5.00097</v>
      </c>
      <c r="EI162">
        <v>15042.825</v>
      </c>
      <c r="EJ162">
        <v>12492.175</v>
      </c>
      <c r="EK162">
        <v>37.5</v>
      </c>
      <c r="EL162">
        <v>39</v>
      </c>
      <c r="EM162">
        <v>37.875</v>
      </c>
      <c r="EN162">
        <v>38.75</v>
      </c>
      <c r="EO162">
        <v>38.375</v>
      </c>
      <c r="EP162">
        <v>1454.7075</v>
      </c>
      <c r="EQ162">
        <v>40.36</v>
      </c>
      <c r="ER162">
        <v>0</v>
      </c>
      <c r="ES162">
        <v>575.4000000953674</v>
      </c>
      <c r="ET162">
        <v>0</v>
      </c>
      <c r="EU162">
        <v>1016.743846153846</v>
      </c>
      <c r="EV162">
        <v>-38.44991447130528</v>
      </c>
      <c r="EW162">
        <v>-572.8957256879515</v>
      </c>
      <c r="EX162">
        <v>15100.38461538462</v>
      </c>
      <c r="EY162">
        <v>15</v>
      </c>
      <c r="EZ162">
        <v>1651857041.1</v>
      </c>
      <c r="FA162" t="s">
        <v>419</v>
      </c>
      <c r="FB162">
        <v>1651857019.6</v>
      </c>
      <c r="FC162">
        <v>1651857041.1</v>
      </c>
      <c r="FD162">
        <v>1</v>
      </c>
      <c r="FE162">
        <v>0.545</v>
      </c>
      <c r="FF162">
        <v>-0.002</v>
      </c>
      <c r="FG162">
        <v>-1.271</v>
      </c>
      <c r="FH162">
        <v>-0.09</v>
      </c>
      <c r="FI162">
        <v>400</v>
      </c>
      <c r="FJ162">
        <v>10</v>
      </c>
      <c r="FK162">
        <v>0.1</v>
      </c>
      <c r="FL162">
        <v>0.02</v>
      </c>
      <c r="FM162">
        <v>-62.95378780487805</v>
      </c>
      <c r="FN162">
        <v>-0.1608250871081882</v>
      </c>
      <c r="FO162">
        <v>0.05357257304802845</v>
      </c>
      <c r="FP162">
        <v>-1</v>
      </c>
      <c r="FQ162">
        <v>9.733750487804878</v>
      </c>
      <c r="FR162">
        <v>-0.1978714285714215</v>
      </c>
      <c r="FS162">
        <v>0.01957965668390559</v>
      </c>
      <c r="FT162">
        <v>-1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0</v>
      </c>
      <c r="GA162" t="s">
        <v>432</v>
      </c>
      <c r="GB162">
        <v>2.97997</v>
      </c>
      <c r="GC162">
        <v>2.7062</v>
      </c>
      <c r="GD162">
        <v>0.158191</v>
      </c>
      <c r="GE162">
        <v>0.163417</v>
      </c>
      <c r="GF162">
        <v>0.0876502</v>
      </c>
      <c r="GG162">
        <v>0.0494271</v>
      </c>
      <c r="GH162">
        <v>26561.3</v>
      </c>
      <c r="GI162">
        <v>26453.8</v>
      </c>
      <c r="GJ162">
        <v>29342.1</v>
      </c>
      <c r="GK162">
        <v>29255.3</v>
      </c>
      <c r="GL162">
        <v>35451.6</v>
      </c>
      <c r="GM162">
        <v>37038.1</v>
      </c>
      <c r="GN162">
        <v>41303.2</v>
      </c>
      <c r="GO162">
        <v>41752.1</v>
      </c>
      <c r="GP162">
        <v>1.95545</v>
      </c>
      <c r="GQ162">
        <v>1.83555</v>
      </c>
      <c r="GR162">
        <v>-0.0343248</v>
      </c>
      <c r="GS162">
        <v>0</v>
      </c>
      <c r="GT162">
        <v>25.5692</v>
      </c>
      <c r="GU162">
        <v>999.9</v>
      </c>
      <c r="GV162">
        <v>38.5</v>
      </c>
      <c r="GW162">
        <v>33.9</v>
      </c>
      <c r="GX162">
        <v>22.714</v>
      </c>
      <c r="GY162">
        <v>62.6076</v>
      </c>
      <c r="GZ162">
        <v>35.2845</v>
      </c>
      <c r="HA162">
        <v>1</v>
      </c>
      <c r="HB162">
        <v>0.13688</v>
      </c>
      <c r="HC162">
        <v>2.2395</v>
      </c>
      <c r="HD162">
        <v>20.3191</v>
      </c>
      <c r="HE162">
        <v>5.21624</v>
      </c>
      <c r="HF162">
        <v>12.0099</v>
      </c>
      <c r="HG162">
        <v>4.98855</v>
      </c>
      <c r="HH162">
        <v>3.28845</v>
      </c>
      <c r="HI162">
        <v>853.7</v>
      </c>
      <c r="HJ162">
        <v>8497.4</v>
      </c>
      <c r="HK162">
        <v>5139.4</v>
      </c>
      <c r="HL162">
        <v>22.9</v>
      </c>
      <c r="HM162">
        <v>1.86751</v>
      </c>
      <c r="HN162">
        <v>1.86648</v>
      </c>
      <c r="HO162">
        <v>1.866</v>
      </c>
      <c r="HP162">
        <v>1.86585</v>
      </c>
      <c r="HQ162">
        <v>1.8677</v>
      </c>
      <c r="HR162">
        <v>1.87027</v>
      </c>
      <c r="HS162">
        <v>1.8689</v>
      </c>
      <c r="HT162">
        <v>1.87027</v>
      </c>
      <c r="HU162">
        <v>0</v>
      </c>
      <c r="HV162">
        <v>0</v>
      </c>
      <c r="HW162">
        <v>0</v>
      </c>
      <c r="HX162">
        <v>0</v>
      </c>
      <c r="HY162" t="s">
        <v>421</v>
      </c>
      <c r="HZ162" t="s">
        <v>422</v>
      </c>
      <c r="IA162" t="s">
        <v>423</v>
      </c>
      <c r="IB162" t="s">
        <v>423</v>
      </c>
      <c r="IC162" t="s">
        <v>423</v>
      </c>
      <c r="ID162" t="s">
        <v>423</v>
      </c>
      <c r="IE162">
        <v>0</v>
      </c>
      <c r="IF162">
        <v>100</v>
      </c>
      <c r="IG162">
        <v>100</v>
      </c>
      <c r="IH162">
        <v>-2.113</v>
      </c>
      <c r="II162">
        <v>0.0051</v>
      </c>
      <c r="IJ162">
        <v>-0.4995723906072</v>
      </c>
      <c r="IK162">
        <v>-0.002077099775823331</v>
      </c>
      <c r="IL162">
        <v>4.593143279902166E-07</v>
      </c>
      <c r="IM162">
        <v>-1.865383991892071E-10</v>
      </c>
      <c r="IN162">
        <v>-0.07605349583632376</v>
      </c>
      <c r="IO162">
        <v>-0.01129461987421345</v>
      </c>
      <c r="IP162">
        <v>0.00116580895745559</v>
      </c>
      <c r="IQ162">
        <v>-1.679085872906199E-05</v>
      </c>
      <c r="IR162">
        <v>2</v>
      </c>
      <c r="IS162">
        <v>2290</v>
      </c>
      <c r="IT162">
        <v>0</v>
      </c>
      <c r="IU162">
        <v>32</v>
      </c>
      <c r="IV162">
        <v>9.300000000000001</v>
      </c>
      <c r="IW162">
        <v>8.9</v>
      </c>
      <c r="IX162">
        <v>2.0105</v>
      </c>
      <c r="IY162">
        <v>2.20947</v>
      </c>
      <c r="IZ162">
        <v>1.39648</v>
      </c>
      <c r="JA162">
        <v>2.35962</v>
      </c>
      <c r="JB162">
        <v>1.49536</v>
      </c>
      <c r="JC162">
        <v>2.35718</v>
      </c>
      <c r="JD162">
        <v>38.4524</v>
      </c>
      <c r="JE162">
        <v>24.0437</v>
      </c>
      <c r="JF162">
        <v>18</v>
      </c>
      <c r="JG162">
        <v>515.0309999999999</v>
      </c>
      <c r="JH162">
        <v>423.562</v>
      </c>
      <c r="JI162">
        <v>22.6572</v>
      </c>
      <c r="JJ162">
        <v>29.1011</v>
      </c>
      <c r="JK162">
        <v>30</v>
      </c>
      <c r="JL162">
        <v>29.1048</v>
      </c>
      <c r="JM162">
        <v>29.044</v>
      </c>
      <c r="JN162">
        <v>40.246</v>
      </c>
      <c r="JO162">
        <v>56.5973</v>
      </c>
      <c r="JP162">
        <v>0</v>
      </c>
      <c r="JQ162">
        <v>22.6519</v>
      </c>
      <c r="JR162">
        <v>968.621</v>
      </c>
      <c r="JS162">
        <v>8.65401</v>
      </c>
      <c r="JT162">
        <v>100.301</v>
      </c>
      <c r="JU162">
        <v>100.212</v>
      </c>
    </row>
    <row r="163" spans="1:281">
      <c r="A163">
        <v>147</v>
      </c>
      <c r="B163">
        <v>1651857578.6</v>
      </c>
      <c r="C163">
        <v>578</v>
      </c>
      <c r="D163" t="s">
        <v>721</v>
      </c>
      <c r="E163" t="s">
        <v>722</v>
      </c>
      <c r="F163">
        <v>2</v>
      </c>
      <c r="G163" t="s">
        <v>413</v>
      </c>
      <c r="H163" t="s">
        <v>414</v>
      </c>
      <c r="I163">
        <v>1651857577.6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954.5251259281689</v>
      </c>
      <c r="AK163">
        <v>907.5424666666664</v>
      </c>
      <c r="AL163">
        <v>3.401529186651896</v>
      </c>
      <c r="AM163">
        <v>66.38384787954378</v>
      </c>
      <c r="AN163">
        <f>(AP163 - AO163 + DI163*1E3/(8.314*(DK163+273.15)) * AR163/DH163 * AQ163) * DH163/(100*CV163) * 1000/(1000 - AP163)</f>
        <v>0</v>
      </c>
      <c r="AO163">
        <v>8.631861334851802</v>
      </c>
      <c r="AP163">
        <v>18.31962617647057</v>
      </c>
      <c r="AQ163">
        <v>-5.325273574750862E-05</v>
      </c>
      <c r="AR163">
        <v>80.44866334591464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417</v>
      </c>
      <c r="AY163" t="s">
        <v>417</v>
      </c>
      <c r="AZ163">
        <v>0</v>
      </c>
      <c r="BA163">
        <v>0</v>
      </c>
      <c r="BB163">
        <f>1-AZ163/BA163</f>
        <v>0</v>
      </c>
      <c r="BC163">
        <v>0</v>
      </c>
      <c r="BD163" t="s">
        <v>417</v>
      </c>
      <c r="BE163" t="s">
        <v>417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1238</v>
      </c>
      <c r="CA163">
        <v>300</v>
      </c>
      <c r="CB163">
        <v>300</v>
      </c>
      <c r="CC163">
        <v>300</v>
      </c>
      <c r="CD163">
        <v>10440.5</v>
      </c>
      <c r="CE163">
        <v>1411.69</v>
      </c>
      <c r="CF163">
        <v>-0.00735121</v>
      </c>
      <c r="CG163">
        <v>-0.77</v>
      </c>
      <c r="CH163" t="s">
        <v>417</v>
      </c>
      <c r="CI163" t="s">
        <v>417</v>
      </c>
      <c r="CJ163" t="s">
        <v>417</v>
      </c>
      <c r="CK163" t="s">
        <v>417</v>
      </c>
      <c r="CL163" t="s">
        <v>417</v>
      </c>
      <c r="CM163" t="s">
        <v>417</v>
      </c>
      <c r="CN163" t="s">
        <v>417</v>
      </c>
      <c r="CO163" t="s">
        <v>417</v>
      </c>
      <c r="CP163" t="s">
        <v>417</v>
      </c>
      <c r="CQ163" t="s">
        <v>417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418</v>
      </c>
      <c r="CY163">
        <v>2</v>
      </c>
      <c r="CZ163" t="b">
        <v>1</v>
      </c>
      <c r="DA163">
        <v>1651857577.6</v>
      </c>
      <c r="DB163">
        <v>889.2493333333333</v>
      </c>
      <c r="DC163">
        <v>952.1873333333333</v>
      </c>
      <c r="DD163">
        <v>18.32163333333333</v>
      </c>
      <c r="DE163">
        <v>8.63064</v>
      </c>
      <c r="DF163">
        <v>891.3680000000001</v>
      </c>
      <c r="DG163">
        <v>18.31663333333333</v>
      </c>
      <c r="DH163">
        <v>500.0223333333333</v>
      </c>
      <c r="DI163">
        <v>90.06400000000001</v>
      </c>
      <c r="DJ163">
        <v>0.1000866666666667</v>
      </c>
      <c r="DK163">
        <v>25.77443333333333</v>
      </c>
      <c r="DL163">
        <v>25.00616666666667</v>
      </c>
      <c r="DM163">
        <v>999.9</v>
      </c>
      <c r="DN163">
        <v>0</v>
      </c>
      <c r="DO163">
        <v>0</v>
      </c>
      <c r="DP163">
        <v>9998.766666666666</v>
      </c>
      <c r="DQ163">
        <v>0</v>
      </c>
      <c r="DR163">
        <v>3.20383</v>
      </c>
      <c r="DS163">
        <v>-62.9381</v>
      </c>
      <c r="DT163">
        <v>905.8463333333333</v>
      </c>
      <c r="DU163">
        <v>960.4773333333333</v>
      </c>
      <c r="DV163">
        <v>9.690993333333333</v>
      </c>
      <c r="DW163">
        <v>952.1873333333333</v>
      </c>
      <c r="DX163">
        <v>8.63064</v>
      </c>
      <c r="DY163">
        <v>1.65012</v>
      </c>
      <c r="DZ163">
        <v>0.7773096666666666</v>
      </c>
      <c r="EA163">
        <v>14.43496666666667</v>
      </c>
      <c r="EB163">
        <v>3.299556666666666</v>
      </c>
      <c r="EC163">
        <v>1500.056666666667</v>
      </c>
      <c r="ED163">
        <v>0.9730053333333334</v>
      </c>
      <c r="EE163">
        <v>0.0269949</v>
      </c>
      <c r="EF163">
        <v>0</v>
      </c>
      <c r="EG163">
        <v>1011.173333333333</v>
      </c>
      <c r="EH163">
        <v>5.00097</v>
      </c>
      <c r="EI163">
        <v>15017.9</v>
      </c>
      <c r="EJ163">
        <v>12492.1</v>
      </c>
      <c r="EK163">
        <v>37.5</v>
      </c>
      <c r="EL163">
        <v>39</v>
      </c>
      <c r="EM163">
        <v>37.875</v>
      </c>
      <c r="EN163">
        <v>38.75</v>
      </c>
      <c r="EO163">
        <v>38.375</v>
      </c>
      <c r="EP163">
        <v>1454.696666666667</v>
      </c>
      <c r="EQ163">
        <v>40.36</v>
      </c>
      <c r="ER163">
        <v>0</v>
      </c>
      <c r="ES163">
        <v>577.2000000476837</v>
      </c>
      <c r="ET163">
        <v>0</v>
      </c>
      <c r="EU163">
        <v>1015.4</v>
      </c>
      <c r="EV163">
        <v>-38.46153851155026</v>
      </c>
      <c r="EW163">
        <v>-573.8615392998807</v>
      </c>
      <c r="EX163">
        <v>15080.512</v>
      </c>
      <c r="EY163">
        <v>15</v>
      </c>
      <c r="EZ163">
        <v>1651857041.1</v>
      </c>
      <c r="FA163" t="s">
        <v>419</v>
      </c>
      <c r="FB163">
        <v>1651857019.6</v>
      </c>
      <c r="FC163">
        <v>1651857041.1</v>
      </c>
      <c r="FD163">
        <v>1</v>
      </c>
      <c r="FE163">
        <v>0.545</v>
      </c>
      <c r="FF163">
        <v>-0.002</v>
      </c>
      <c r="FG163">
        <v>-1.271</v>
      </c>
      <c r="FH163">
        <v>-0.09</v>
      </c>
      <c r="FI163">
        <v>400</v>
      </c>
      <c r="FJ163">
        <v>10</v>
      </c>
      <c r="FK163">
        <v>0.1</v>
      </c>
      <c r="FL163">
        <v>0.02</v>
      </c>
      <c r="FM163">
        <v>-62.9643025</v>
      </c>
      <c r="FN163">
        <v>0.1129452157601716</v>
      </c>
      <c r="FO163">
        <v>0.04171869777150336</v>
      </c>
      <c r="FP163">
        <v>-1</v>
      </c>
      <c r="FQ163">
        <v>9.72461</v>
      </c>
      <c r="FR163">
        <v>-0.2100337711069712</v>
      </c>
      <c r="FS163">
        <v>0.02024943209080204</v>
      </c>
      <c r="FT163">
        <v>-1</v>
      </c>
      <c r="FU163">
        <v>0</v>
      </c>
      <c r="FV163">
        <v>0</v>
      </c>
      <c r="FW163">
        <v>0</v>
      </c>
      <c r="FX163">
        <v>-1</v>
      </c>
      <c r="FY163">
        <v>0</v>
      </c>
      <c r="FZ163">
        <v>0</v>
      </c>
      <c r="GA163" t="s">
        <v>432</v>
      </c>
      <c r="GB163">
        <v>2.98004</v>
      </c>
      <c r="GC163">
        <v>2.70626</v>
      </c>
      <c r="GD163">
        <v>0.158973</v>
      </c>
      <c r="GE163">
        <v>0.164168</v>
      </c>
      <c r="GF163">
        <v>0.0876319</v>
      </c>
      <c r="GG163">
        <v>0.0494268</v>
      </c>
      <c r="GH163">
        <v>26536.9</v>
      </c>
      <c r="GI163">
        <v>26430.2</v>
      </c>
      <c r="GJ163">
        <v>29342.4</v>
      </c>
      <c r="GK163">
        <v>29255.4</v>
      </c>
      <c r="GL163">
        <v>35452.9</v>
      </c>
      <c r="GM163">
        <v>37038.3</v>
      </c>
      <c r="GN163">
        <v>41303.8</v>
      </c>
      <c r="GO163">
        <v>41752.2</v>
      </c>
      <c r="GP163">
        <v>1.95513</v>
      </c>
      <c r="GQ163">
        <v>1.8354</v>
      </c>
      <c r="GR163">
        <v>-0.0342876</v>
      </c>
      <c r="GS163">
        <v>0</v>
      </c>
      <c r="GT163">
        <v>25.5692</v>
      </c>
      <c r="GU163">
        <v>999.9</v>
      </c>
      <c r="GV163">
        <v>38.5</v>
      </c>
      <c r="GW163">
        <v>33.9</v>
      </c>
      <c r="GX163">
        <v>22.7109</v>
      </c>
      <c r="GY163">
        <v>62.6176</v>
      </c>
      <c r="GZ163">
        <v>35.3405</v>
      </c>
      <c r="HA163">
        <v>1</v>
      </c>
      <c r="HB163">
        <v>0.136822</v>
      </c>
      <c r="HC163">
        <v>2.23793</v>
      </c>
      <c r="HD163">
        <v>20.319</v>
      </c>
      <c r="HE163">
        <v>5.21684</v>
      </c>
      <c r="HF163">
        <v>12.0099</v>
      </c>
      <c r="HG163">
        <v>4.98835</v>
      </c>
      <c r="HH163">
        <v>3.28845</v>
      </c>
      <c r="HI163">
        <v>853.7</v>
      </c>
      <c r="HJ163">
        <v>8497.4</v>
      </c>
      <c r="HK163">
        <v>5139.4</v>
      </c>
      <c r="HL163">
        <v>22.9</v>
      </c>
      <c r="HM163">
        <v>1.86752</v>
      </c>
      <c r="HN163">
        <v>1.86647</v>
      </c>
      <c r="HO163">
        <v>1.866</v>
      </c>
      <c r="HP163">
        <v>1.86585</v>
      </c>
      <c r="HQ163">
        <v>1.86771</v>
      </c>
      <c r="HR163">
        <v>1.87027</v>
      </c>
      <c r="HS163">
        <v>1.8689</v>
      </c>
      <c r="HT163">
        <v>1.87027</v>
      </c>
      <c r="HU163">
        <v>0</v>
      </c>
      <c r="HV163">
        <v>0</v>
      </c>
      <c r="HW163">
        <v>0</v>
      </c>
      <c r="HX163">
        <v>0</v>
      </c>
      <c r="HY163" t="s">
        <v>421</v>
      </c>
      <c r="HZ163" t="s">
        <v>422</v>
      </c>
      <c r="IA163" t="s">
        <v>423</v>
      </c>
      <c r="IB163" t="s">
        <v>423</v>
      </c>
      <c r="IC163" t="s">
        <v>423</v>
      </c>
      <c r="ID163" t="s">
        <v>423</v>
      </c>
      <c r="IE163">
        <v>0</v>
      </c>
      <c r="IF163">
        <v>100</v>
      </c>
      <c r="IG163">
        <v>100</v>
      </c>
      <c r="IH163">
        <v>-2.124</v>
      </c>
      <c r="II163">
        <v>0.0049</v>
      </c>
      <c r="IJ163">
        <v>-0.4995723906072</v>
      </c>
      <c r="IK163">
        <v>-0.002077099775823331</v>
      </c>
      <c r="IL163">
        <v>4.593143279902166E-07</v>
      </c>
      <c r="IM163">
        <v>-1.865383991892071E-10</v>
      </c>
      <c r="IN163">
        <v>-0.07605349583632376</v>
      </c>
      <c r="IO163">
        <v>-0.01129461987421345</v>
      </c>
      <c r="IP163">
        <v>0.00116580895745559</v>
      </c>
      <c r="IQ163">
        <v>-1.679085872906199E-05</v>
      </c>
      <c r="IR163">
        <v>2</v>
      </c>
      <c r="IS163">
        <v>2290</v>
      </c>
      <c r="IT163">
        <v>0</v>
      </c>
      <c r="IU163">
        <v>32</v>
      </c>
      <c r="IV163">
        <v>9.300000000000001</v>
      </c>
      <c r="IW163">
        <v>9</v>
      </c>
      <c r="IX163">
        <v>2.02148</v>
      </c>
      <c r="IY163">
        <v>2.21191</v>
      </c>
      <c r="IZ163">
        <v>1.39648</v>
      </c>
      <c r="JA163">
        <v>2.35962</v>
      </c>
      <c r="JB163">
        <v>1.49536</v>
      </c>
      <c r="JC163">
        <v>2.28394</v>
      </c>
      <c r="JD163">
        <v>38.4524</v>
      </c>
      <c r="JE163">
        <v>24.035</v>
      </c>
      <c r="JF163">
        <v>18</v>
      </c>
      <c r="JG163">
        <v>514.807</v>
      </c>
      <c r="JH163">
        <v>423.473</v>
      </c>
      <c r="JI163">
        <v>22.6536</v>
      </c>
      <c r="JJ163">
        <v>29.1011</v>
      </c>
      <c r="JK163">
        <v>30.0001</v>
      </c>
      <c r="JL163">
        <v>29.1035</v>
      </c>
      <c r="JM163">
        <v>29.044</v>
      </c>
      <c r="JN163">
        <v>40.4689</v>
      </c>
      <c r="JO163">
        <v>56.5973</v>
      </c>
      <c r="JP163">
        <v>0</v>
      </c>
      <c r="JQ163">
        <v>22.6436</v>
      </c>
      <c r="JR163">
        <v>975.299</v>
      </c>
      <c r="JS163">
        <v>8.66075</v>
      </c>
      <c r="JT163">
        <v>100.303</v>
      </c>
      <c r="JU163">
        <v>100.213</v>
      </c>
    </row>
    <row r="164" spans="1:281">
      <c r="A164">
        <v>148</v>
      </c>
      <c r="B164">
        <v>1651857580.6</v>
      </c>
      <c r="C164">
        <v>580</v>
      </c>
      <c r="D164" t="s">
        <v>723</v>
      </c>
      <c r="E164" t="s">
        <v>724</v>
      </c>
      <c r="F164">
        <v>2</v>
      </c>
      <c r="G164" t="s">
        <v>413</v>
      </c>
      <c r="H164" t="s">
        <v>414</v>
      </c>
      <c r="I164">
        <v>1651857579.225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961.2482538418302</v>
      </c>
      <c r="AK164">
        <v>914.3254787878791</v>
      </c>
      <c r="AL164">
        <v>3.393428606660632</v>
      </c>
      <c r="AM164">
        <v>66.38384787954378</v>
      </c>
      <c r="AN164">
        <f>(AP164 - AO164 + DI164*1E3/(8.314*(DK164+273.15)) * AR164/DH164 * AQ164) * DH164/(100*CV164) * 1000/(1000 - AP164)</f>
        <v>0</v>
      </c>
      <c r="AO164">
        <v>8.63116490589646</v>
      </c>
      <c r="AP164">
        <v>18.31195235294118</v>
      </c>
      <c r="AQ164">
        <v>-5.572451641034922E-05</v>
      </c>
      <c r="AR164">
        <v>80.44866334591464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417</v>
      </c>
      <c r="AY164" t="s">
        <v>417</v>
      </c>
      <c r="AZ164">
        <v>0</v>
      </c>
      <c r="BA164">
        <v>0</v>
      </c>
      <c r="BB164">
        <f>1-AZ164/BA164</f>
        <v>0</v>
      </c>
      <c r="BC164">
        <v>0</v>
      </c>
      <c r="BD164" t="s">
        <v>417</v>
      </c>
      <c r="BE164" t="s">
        <v>417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1238</v>
      </c>
      <c r="CA164">
        <v>300</v>
      </c>
      <c r="CB164">
        <v>300</v>
      </c>
      <c r="CC164">
        <v>300</v>
      </c>
      <c r="CD164">
        <v>10440.5</v>
      </c>
      <c r="CE164">
        <v>1411.69</v>
      </c>
      <c r="CF164">
        <v>-0.00735121</v>
      </c>
      <c r="CG164">
        <v>-0.77</v>
      </c>
      <c r="CH164" t="s">
        <v>417</v>
      </c>
      <c r="CI164" t="s">
        <v>417</v>
      </c>
      <c r="CJ164" t="s">
        <v>417</v>
      </c>
      <c r="CK164" t="s">
        <v>417</v>
      </c>
      <c r="CL164" t="s">
        <v>417</v>
      </c>
      <c r="CM164" t="s">
        <v>417</v>
      </c>
      <c r="CN164" t="s">
        <v>417</v>
      </c>
      <c r="CO164" t="s">
        <v>417</v>
      </c>
      <c r="CP164" t="s">
        <v>417</v>
      </c>
      <c r="CQ164" t="s">
        <v>417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418</v>
      </c>
      <c r="CY164">
        <v>2</v>
      </c>
      <c r="CZ164" t="b">
        <v>1</v>
      </c>
      <c r="DA164">
        <v>1651857579.225</v>
      </c>
      <c r="DB164">
        <v>894.667</v>
      </c>
      <c r="DC164">
        <v>957.662</v>
      </c>
      <c r="DD164">
        <v>18.315375</v>
      </c>
      <c r="DE164">
        <v>8.630622500000001</v>
      </c>
      <c r="DF164">
        <v>896.7947499999999</v>
      </c>
      <c r="DG164">
        <v>18.31045</v>
      </c>
      <c r="DH164">
        <v>500.03</v>
      </c>
      <c r="DI164">
        <v>90.06557500000001</v>
      </c>
      <c r="DJ164">
        <v>0.09992332500000001</v>
      </c>
      <c r="DK164">
        <v>25.773975</v>
      </c>
      <c r="DL164">
        <v>25.003725</v>
      </c>
      <c r="DM164">
        <v>999.9</v>
      </c>
      <c r="DN164">
        <v>0</v>
      </c>
      <c r="DO164">
        <v>0</v>
      </c>
      <c r="DP164">
        <v>10025.65</v>
      </c>
      <c r="DQ164">
        <v>0</v>
      </c>
      <c r="DR164">
        <v>3.2020725</v>
      </c>
      <c r="DS164">
        <v>-62.994925</v>
      </c>
      <c r="DT164">
        <v>911.35925</v>
      </c>
      <c r="DU164">
        <v>965.9995</v>
      </c>
      <c r="DV164">
        <v>9.6847675</v>
      </c>
      <c r="DW164">
        <v>957.662</v>
      </c>
      <c r="DX164">
        <v>8.630622500000001</v>
      </c>
      <c r="DY164">
        <v>1.6495875</v>
      </c>
      <c r="DZ164">
        <v>0.7773220000000001</v>
      </c>
      <c r="EA164">
        <v>14.42995</v>
      </c>
      <c r="EB164">
        <v>3.299775</v>
      </c>
      <c r="EC164">
        <v>1500.0675</v>
      </c>
      <c r="ED164">
        <v>0.973007</v>
      </c>
      <c r="EE164">
        <v>0.0269931</v>
      </c>
      <c r="EF164">
        <v>0</v>
      </c>
      <c r="EG164">
        <v>1010.215</v>
      </c>
      <c r="EH164">
        <v>5.00097</v>
      </c>
      <c r="EI164">
        <v>15003.925</v>
      </c>
      <c r="EJ164">
        <v>12492.175</v>
      </c>
      <c r="EK164">
        <v>37.5</v>
      </c>
      <c r="EL164">
        <v>39</v>
      </c>
      <c r="EM164">
        <v>37.875</v>
      </c>
      <c r="EN164">
        <v>38.75</v>
      </c>
      <c r="EO164">
        <v>38.375</v>
      </c>
      <c r="EP164">
        <v>1454.7075</v>
      </c>
      <c r="EQ164">
        <v>40.36</v>
      </c>
      <c r="ER164">
        <v>0</v>
      </c>
      <c r="ES164">
        <v>579.6000001430511</v>
      </c>
      <c r="ET164">
        <v>0</v>
      </c>
      <c r="EU164">
        <v>1013.8404</v>
      </c>
      <c r="EV164">
        <v>-37.86461538412468</v>
      </c>
      <c r="EW164">
        <v>-570.4538461458746</v>
      </c>
      <c r="EX164">
        <v>15057.516</v>
      </c>
      <c r="EY164">
        <v>15</v>
      </c>
      <c r="EZ164">
        <v>1651857041.1</v>
      </c>
      <c r="FA164" t="s">
        <v>419</v>
      </c>
      <c r="FB164">
        <v>1651857019.6</v>
      </c>
      <c r="FC164">
        <v>1651857041.1</v>
      </c>
      <c r="FD164">
        <v>1</v>
      </c>
      <c r="FE164">
        <v>0.545</v>
      </c>
      <c r="FF164">
        <v>-0.002</v>
      </c>
      <c r="FG164">
        <v>-1.271</v>
      </c>
      <c r="FH164">
        <v>-0.09</v>
      </c>
      <c r="FI164">
        <v>400</v>
      </c>
      <c r="FJ164">
        <v>10</v>
      </c>
      <c r="FK164">
        <v>0.1</v>
      </c>
      <c r="FL164">
        <v>0.02</v>
      </c>
      <c r="FM164">
        <v>-62.9682</v>
      </c>
      <c r="FN164">
        <v>0.1337874564459708</v>
      </c>
      <c r="FO164">
        <v>0.03974768592742716</v>
      </c>
      <c r="FP164">
        <v>-1</v>
      </c>
      <c r="FQ164">
        <v>9.720280487804878</v>
      </c>
      <c r="FR164">
        <v>-0.2142949128920011</v>
      </c>
      <c r="FS164">
        <v>0.0211617869999285</v>
      </c>
      <c r="FT164">
        <v>-1</v>
      </c>
      <c r="FU164">
        <v>0</v>
      </c>
      <c r="FV164">
        <v>0</v>
      </c>
      <c r="FW164">
        <v>0</v>
      </c>
      <c r="FX164">
        <v>-1</v>
      </c>
      <c r="FY164">
        <v>0</v>
      </c>
      <c r="FZ164">
        <v>0</v>
      </c>
      <c r="GA164" t="s">
        <v>432</v>
      </c>
      <c r="GB164">
        <v>2.97979</v>
      </c>
      <c r="GC164">
        <v>2.70637</v>
      </c>
      <c r="GD164">
        <v>0.159753</v>
      </c>
      <c r="GE164">
        <v>0.16492</v>
      </c>
      <c r="GF164">
        <v>0.0875987</v>
      </c>
      <c r="GG164">
        <v>0.0494268</v>
      </c>
      <c r="GH164">
        <v>26512.2</v>
      </c>
      <c r="GI164">
        <v>26406.6</v>
      </c>
      <c r="GJ164">
        <v>29342.4</v>
      </c>
      <c r="GK164">
        <v>29255.6</v>
      </c>
      <c r="GL164">
        <v>35454.2</v>
      </c>
      <c r="GM164">
        <v>37038.6</v>
      </c>
      <c r="GN164">
        <v>41303.8</v>
      </c>
      <c r="GO164">
        <v>41752.6</v>
      </c>
      <c r="GP164">
        <v>1.95492</v>
      </c>
      <c r="GQ164">
        <v>1.83543</v>
      </c>
      <c r="GR164">
        <v>-0.0347942</v>
      </c>
      <c r="GS164">
        <v>0</v>
      </c>
      <c r="GT164">
        <v>25.5692</v>
      </c>
      <c r="GU164">
        <v>999.9</v>
      </c>
      <c r="GV164">
        <v>38.5</v>
      </c>
      <c r="GW164">
        <v>33.9</v>
      </c>
      <c r="GX164">
        <v>22.7132</v>
      </c>
      <c r="GY164">
        <v>62.4776</v>
      </c>
      <c r="GZ164">
        <v>35.6691</v>
      </c>
      <c r="HA164">
        <v>1</v>
      </c>
      <c r="HB164">
        <v>0.136992</v>
      </c>
      <c r="HC164">
        <v>2.24969</v>
      </c>
      <c r="HD164">
        <v>20.3186</v>
      </c>
      <c r="HE164">
        <v>5.21714</v>
      </c>
      <c r="HF164">
        <v>12.0099</v>
      </c>
      <c r="HG164">
        <v>4.98835</v>
      </c>
      <c r="HH164">
        <v>3.28845</v>
      </c>
      <c r="HI164">
        <v>853.7</v>
      </c>
      <c r="HJ164">
        <v>8497.4</v>
      </c>
      <c r="HK164">
        <v>5139.4</v>
      </c>
      <c r="HL164">
        <v>22.9</v>
      </c>
      <c r="HM164">
        <v>1.86752</v>
      </c>
      <c r="HN164">
        <v>1.86648</v>
      </c>
      <c r="HO164">
        <v>1.866</v>
      </c>
      <c r="HP164">
        <v>1.86586</v>
      </c>
      <c r="HQ164">
        <v>1.86773</v>
      </c>
      <c r="HR164">
        <v>1.87027</v>
      </c>
      <c r="HS164">
        <v>1.86891</v>
      </c>
      <c r="HT164">
        <v>1.87027</v>
      </c>
      <c r="HU164">
        <v>0</v>
      </c>
      <c r="HV164">
        <v>0</v>
      </c>
      <c r="HW164">
        <v>0</v>
      </c>
      <c r="HX164">
        <v>0</v>
      </c>
      <c r="HY164" t="s">
        <v>421</v>
      </c>
      <c r="HZ164" t="s">
        <v>422</v>
      </c>
      <c r="IA164" t="s">
        <v>423</v>
      </c>
      <c r="IB164" t="s">
        <v>423</v>
      </c>
      <c r="IC164" t="s">
        <v>423</v>
      </c>
      <c r="ID164" t="s">
        <v>423</v>
      </c>
      <c r="IE164">
        <v>0</v>
      </c>
      <c r="IF164">
        <v>100</v>
      </c>
      <c r="IG164">
        <v>100</v>
      </c>
      <c r="IH164">
        <v>-2.136</v>
      </c>
      <c r="II164">
        <v>0.0048</v>
      </c>
      <c r="IJ164">
        <v>-0.4995723906072</v>
      </c>
      <c r="IK164">
        <v>-0.002077099775823331</v>
      </c>
      <c r="IL164">
        <v>4.593143279902166E-07</v>
      </c>
      <c r="IM164">
        <v>-1.865383991892071E-10</v>
      </c>
      <c r="IN164">
        <v>-0.07605349583632376</v>
      </c>
      <c r="IO164">
        <v>-0.01129461987421345</v>
      </c>
      <c r="IP164">
        <v>0.00116580895745559</v>
      </c>
      <c r="IQ164">
        <v>-1.679085872906199E-05</v>
      </c>
      <c r="IR164">
        <v>2</v>
      </c>
      <c r="IS164">
        <v>2290</v>
      </c>
      <c r="IT164">
        <v>0</v>
      </c>
      <c r="IU164">
        <v>32</v>
      </c>
      <c r="IV164">
        <v>9.300000000000001</v>
      </c>
      <c r="IW164">
        <v>9</v>
      </c>
      <c r="IX164">
        <v>2.03247</v>
      </c>
      <c r="IY164">
        <v>2.21069</v>
      </c>
      <c r="IZ164">
        <v>1.39648</v>
      </c>
      <c r="JA164">
        <v>2.35962</v>
      </c>
      <c r="JB164">
        <v>1.49536</v>
      </c>
      <c r="JC164">
        <v>2.35718</v>
      </c>
      <c r="JD164">
        <v>38.4524</v>
      </c>
      <c r="JE164">
        <v>24.035</v>
      </c>
      <c r="JF164">
        <v>18</v>
      </c>
      <c r="JG164">
        <v>514.664</v>
      </c>
      <c r="JH164">
        <v>423.484</v>
      </c>
      <c r="JI164">
        <v>22.6506</v>
      </c>
      <c r="JJ164">
        <v>29.1011</v>
      </c>
      <c r="JK164">
        <v>30.0002</v>
      </c>
      <c r="JL164">
        <v>29.1024</v>
      </c>
      <c r="JM164">
        <v>29.0433</v>
      </c>
      <c r="JN164">
        <v>40.6954</v>
      </c>
      <c r="JO164">
        <v>56.5973</v>
      </c>
      <c r="JP164">
        <v>0</v>
      </c>
      <c r="JQ164">
        <v>22.6436</v>
      </c>
      <c r="JR164">
        <v>981.977</v>
      </c>
      <c r="JS164">
        <v>8.683540000000001</v>
      </c>
      <c r="JT164">
        <v>100.303</v>
      </c>
      <c r="JU164">
        <v>100.213</v>
      </c>
    </row>
    <row r="165" spans="1:281">
      <c r="A165">
        <v>149</v>
      </c>
      <c r="B165">
        <v>1651857582.6</v>
      </c>
      <c r="C165">
        <v>582</v>
      </c>
      <c r="D165" t="s">
        <v>725</v>
      </c>
      <c r="E165" t="s">
        <v>726</v>
      </c>
      <c r="F165">
        <v>2</v>
      </c>
      <c r="G165" t="s">
        <v>413</v>
      </c>
      <c r="H165" t="s">
        <v>414</v>
      </c>
      <c r="I165">
        <v>1651857581.6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968.0549992711614</v>
      </c>
      <c r="AK165">
        <v>921.1720242424241</v>
      </c>
      <c r="AL165">
        <v>3.411733973883396</v>
      </c>
      <c r="AM165">
        <v>66.38384787954378</v>
      </c>
      <c r="AN165">
        <f>(AP165 - AO165 + DI165*1E3/(8.314*(DK165+273.15)) * AR165/DH165 * AQ165) * DH165/(100*CV165) * 1000/(1000 - AP165)</f>
        <v>0</v>
      </c>
      <c r="AO165">
        <v>8.630610978109935</v>
      </c>
      <c r="AP165">
        <v>18.30142588235294</v>
      </c>
      <c r="AQ165">
        <v>-5.028677049548299E-05</v>
      </c>
      <c r="AR165">
        <v>80.44866334591464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417</v>
      </c>
      <c r="AY165" t="s">
        <v>417</v>
      </c>
      <c r="AZ165">
        <v>0</v>
      </c>
      <c r="BA165">
        <v>0</v>
      </c>
      <c r="BB165">
        <f>1-AZ165/BA165</f>
        <v>0</v>
      </c>
      <c r="BC165">
        <v>0</v>
      </c>
      <c r="BD165" t="s">
        <v>417</v>
      </c>
      <c r="BE165" t="s">
        <v>417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1238</v>
      </c>
      <c r="CA165">
        <v>300</v>
      </c>
      <c r="CB165">
        <v>300</v>
      </c>
      <c r="CC165">
        <v>300</v>
      </c>
      <c r="CD165">
        <v>10440.5</v>
      </c>
      <c r="CE165">
        <v>1411.69</v>
      </c>
      <c r="CF165">
        <v>-0.00735121</v>
      </c>
      <c r="CG165">
        <v>-0.77</v>
      </c>
      <c r="CH165" t="s">
        <v>417</v>
      </c>
      <c r="CI165" t="s">
        <v>417</v>
      </c>
      <c r="CJ165" t="s">
        <v>417</v>
      </c>
      <c r="CK165" t="s">
        <v>417</v>
      </c>
      <c r="CL165" t="s">
        <v>417</v>
      </c>
      <c r="CM165" t="s">
        <v>417</v>
      </c>
      <c r="CN165" t="s">
        <v>417</v>
      </c>
      <c r="CO165" t="s">
        <v>417</v>
      </c>
      <c r="CP165" t="s">
        <v>417</v>
      </c>
      <c r="CQ165" t="s">
        <v>417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418</v>
      </c>
      <c r="CY165">
        <v>2</v>
      </c>
      <c r="CZ165" t="b">
        <v>1</v>
      </c>
      <c r="DA165">
        <v>1651857581.6</v>
      </c>
      <c r="DB165">
        <v>902.63</v>
      </c>
      <c r="DC165">
        <v>965.5726666666666</v>
      </c>
      <c r="DD165">
        <v>18.30366666666667</v>
      </c>
      <c r="DE165">
        <v>8.630553333333333</v>
      </c>
      <c r="DF165">
        <v>904.7710000000001</v>
      </c>
      <c r="DG165">
        <v>18.2989</v>
      </c>
      <c r="DH165">
        <v>500.016</v>
      </c>
      <c r="DI165">
        <v>90.06633333333332</v>
      </c>
      <c r="DJ165">
        <v>0.09996226666666667</v>
      </c>
      <c r="DK165">
        <v>25.77443333333333</v>
      </c>
      <c r="DL165">
        <v>24.99573333333333</v>
      </c>
      <c r="DM165">
        <v>999.9</v>
      </c>
      <c r="DN165">
        <v>0</v>
      </c>
      <c r="DO165">
        <v>0</v>
      </c>
      <c r="DP165">
        <v>10028.76666666667</v>
      </c>
      <c r="DQ165">
        <v>0</v>
      </c>
      <c r="DR165">
        <v>3.18978</v>
      </c>
      <c r="DS165">
        <v>-62.94236666666666</v>
      </c>
      <c r="DT165">
        <v>919.4596666666666</v>
      </c>
      <c r="DU165">
        <v>973.9783333333334</v>
      </c>
      <c r="DV165">
        <v>9.673093333333334</v>
      </c>
      <c r="DW165">
        <v>965.5726666666666</v>
      </c>
      <c r="DX165">
        <v>8.630553333333333</v>
      </c>
      <c r="DY165">
        <v>1.648543333333333</v>
      </c>
      <c r="DZ165">
        <v>0.7773223333333333</v>
      </c>
      <c r="EA165">
        <v>14.42016666666667</v>
      </c>
      <c r="EB165">
        <v>3.29978</v>
      </c>
      <c r="EC165">
        <v>1500.066666666667</v>
      </c>
      <c r="ED165">
        <v>0.973007</v>
      </c>
      <c r="EE165">
        <v>0.0269931</v>
      </c>
      <c r="EF165">
        <v>0</v>
      </c>
      <c r="EG165">
        <v>1008.596666666667</v>
      </c>
      <c r="EH165">
        <v>5.00097</v>
      </c>
      <c r="EI165">
        <v>14983.13333333333</v>
      </c>
      <c r="EJ165">
        <v>12492.16666666667</v>
      </c>
      <c r="EK165">
        <v>37.5</v>
      </c>
      <c r="EL165">
        <v>39</v>
      </c>
      <c r="EM165">
        <v>37.875</v>
      </c>
      <c r="EN165">
        <v>38.75</v>
      </c>
      <c r="EO165">
        <v>38.375</v>
      </c>
      <c r="EP165">
        <v>1454.706666666667</v>
      </c>
      <c r="EQ165">
        <v>40.36</v>
      </c>
      <c r="ER165">
        <v>0</v>
      </c>
      <c r="ES165">
        <v>581.4000000953674</v>
      </c>
      <c r="ET165">
        <v>0</v>
      </c>
      <c r="EU165">
        <v>1012.886538461538</v>
      </c>
      <c r="EV165">
        <v>-38.20478627592031</v>
      </c>
      <c r="EW165">
        <v>-568.5299137649697</v>
      </c>
      <c r="EX165">
        <v>15043.50384615385</v>
      </c>
      <c r="EY165">
        <v>15</v>
      </c>
      <c r="EZ165">
        <v>1651857041.1</v>
      </c>
      <c r="FA165" t="s">
        <v>419</v>
      </c>
      <c r="FB165">
        <v>1651857019.6</v>
      </c>
      <c r="FC165">
        <v>1651857041.1</v>
      </c>
      <c r="FD165">
        <v>1</v>
      </c>
      <c r="FE165">
        <v>0.545</v>
      </c>
      <c r="FF165">
        <v>-0.002</v>
      </c>
      <c r="FG165">
        <v>-1.271</v>
      </c>
      <c r="FH165">
        <v>-0.09</v>
      </c>
      <c r="FI165">
        <v>400</v>
      </c>
      <c r="FJ165">
        <v>10</v>
      </c>
      <c r="FK165">
        <v>0.1</v>
      </c>
      <c r="FL165">
        <v>0.02</v>
      </c>
      <c r="FM165">
        <v>-62.963165</v>
      </c>
      <c r="FN165">
        <v>0.009780112570461765</v>
      </c>
      <c r="FO165">
        <v>0.0378738402462706</v>
      </c>
      <c r="FP165">
        <v>-1</v>
      </c>
      <c r="FQ165">
        <v>9.710293500000001</v>
      </c>
      <c r="FR165">
        <v>-0.2269679549718708</v>
      </c>
      <c r="FS165">
        <v>0.0218552092817709</v>
      </c>
      <c r="FT165">
        <v>-1</v>
      </c>
      <c r="FU165">
        <v>0</v>
      </c>
      <c r="FV165">
        <v>0</v>
      </c>
      <c r="FW165">
        <v>0</v>
      </c>
      <c r="FX165">
        <v>-1</v>
      </c>
      <c r="FY165">
        <v>0</v>
      </c>
      <c r="FZ165">
        <v>0</v>
      </c>
      <c r="GA165" t="s">
        <v>432</v>
      </c>
      <c r="GB165">
        <v>2.97995</v>
      </c>
      <c r="GC165">
        <v>2.70638</v>
      </c>
      <c r="GD165">
        <v>0.160535</v>
      </c>
      <c r="GE165">
        <v>0.165652</v>
      </c>
      <c r="GF165">
        <v>0.0875633</v>
      </c>
      <c r="GG165">
        <v>0.0494277</v>
      </c>
      <c r="GH165">
        <v>26487.4</v>
      </c>
      <c r="GI165">
        <v>26383.4</v>
      </c>
      <c r="GJ165">
        <v>29342.3</v>
      </c>
      <c r="GK165">
        <v>29255.7</v>
      </c>
      <c r="GL165">
        <v>35455.4</v>
      </c>
      <c r="GM165">
        <v>37038.6</v>
      </c>
      <c r="GN165">
        <v>41303.6</v>
      </c>
      <c r="GO165">
        <v>41752.6</v>
      </c>
      <c r="GP165">
        <v>1.95522</v>
      </c>
      <c r="GQ165">
        <v>1.83522</v>
      </c>
      <c r="GR165">
        <v>-0.0350028</v>
      </c>
      <c r="GS165">
        <v>0</v>
      </c>
      <c r="GT165">
        <v>25.5692</v>
      </c>
      <c r="GU165">
        <v>999.9</v>
      </c>
      <c r="GV165">
        <v>38.5</v>
      </c>
      <c r="GW165">
        <v>33.9</v>
      </c>
      <c r="GX165">
        <v>22.7129</v>
      </c>
      <c r="GY165">
        <v>62.5776</v>
      </c>
      <c r="GZ165">
        <v>35.2724</v>
      </c>
      <c r="HA165">
        <v>1</v>
      </c>
      <c r="HB165">
        <v>0.13721</v>
      </c>
      <c r="HC165">
        <v>2.25743</v>
      </c>
      <c r="HD165">
        <v>20.3182</v>
      </c>
      <c r="HE165">
        <v>5.21684</v>
      </c>
      <c r="HF165">
        <v>12.0099</v>
      </c>
      <c r="HG165">
        <v>4.9887</v>
      </c>
      <c r="HH165">
        <v>3.28848</v>
      </c>
      <c r="HI165">
        <v>853.9</v>
      </c>
      <c r="HJ165">
        <v>8499.700000000001</v>
      </c>
      <c r="HK165">
        <v>5139.4</v>
      </c>
      <c r="HL165">
        <v>22.9</v>
      </c>
      <c r="HM165">
        <v>1.86752</v>
      </c>
      <c r="HN165">
        <v>1.86649</v>
      </c>
      <c r="HO165">
        <v>1.866</v>
      </c>
      <c r="HP165">
        <v>1.86585</v>
      </c>
      <c r="HQ165">
        <v>1.86773</v>
      </c>
      <c r="HR165">
        <v>1.87027</v>
      </c>
      <c r="HS165">
        <v>1.8689</v>
      </c>
      <c r="HT165">
        <v>1.87027</v>
      </c>
      <c r="HU165">
        <v>0</v>
      </c>
      <c r="HV165">
        <v>0</v>
      </c>
      <c r="HW165">
        <v>0</v>
      </c>
      <c r="HX165">
        <v>0</v>
      </c>
      <c r="HY165" t="s">
        <v>421</v>
      </c>
      <c r="HZ165" t="s">
        <v>422</v>
      </c>
      <c r="IA165" t="s">
        <v>423</v>
      </c>
      <c r="IB165" t="s">
        <v>423</v>
      </c>
      <c r="IC165" t="s">
        <v>423</v>
      </c>
      <c r="ID165" t="s">
        <v>423</v>
      </c>
      <c r="IE165">
        <v>0</v>
      </c>
      <c r="IF165">
        <v>100</v>
      </c>
      <c r="IG165">
        <v>100</v>
      </c>
      <c r="IH165">
        <v>-2.147</v>
      </c>
      <c r="II165">
        <v>0.0047</v>
      </c>
      <c r="IJ165">
        <v>-0.4995723906072</v>
      </c>
      <c r="IK165">
        <v>-0.002077099775823331</v>
      </c>
      <c r="IL165">
        <v>4.593143279902166E-07</v>
      </c>
      <c r="IM165">
        <v>-1.865383991892071E-10</v>
      </c>
      <c r="IN165">
        <v>-0.07605349583632376</v>
      </c>
      <c r="IO165">
        <v>-0.01129461987421345</v>
      </c>
      <c r="IP165">
        <v>0.00116580895745559</v>
      </c>
      <c r="IQ165">
        <v>-1.679085872906199E-05</v>
      </c>
      <c r="IR165">
        <v>2</v>
      </c>
      <c r="IS165">
        <v>2290</v>
      </c>
      <c r="IT165">
        <v>0</v>
      </c>
      <c r="IU165">
        <v>32</v>
      </c>
      <c r="IV165">
        <v>9.4</v>
      </c>
      <c r="IW165">
        <v>9</v>
      </c>
      <c r="IX165">
        <v>2.04346</v>
      </c>
      <c r="IY165">
        <v>2.20947</v>
      </c>
      <c r="IZ165">
        <v>1.39648</v>
      </c>
      <c r="JA165">
        <v>2.35962</v>
      </c>
      <c r="JB165">
        <v>1.49536</v>
      </c>
      <c r="JC165">
        <v>2.34375</v>
      </c>
      <c r="JD165">
        <v>38.4279</v>
      </c>
      <c r="JE165">
        <v>24.0437</v>
      </c>
      <c r="JF165">
        <v>18</v>
      </c>
      <c r="JG165">
        <v>514.862</v>
      </c>
      <c r="JH165">
        <v>423.356</v>
      </c>
      <c r="JI165">
        <v>22.6474</v>
      </c>
      <c r="JJ165">
        <v>29.1003</v>
      </c>
      <c r="JK165">
        <v>30.0001</v>
      </c>
      <c r="JL165">
        <v>29.1024</v>
      </c>
      <c r="JM165">
        <v>29.0421</v>
      </c>
      <c r="JN165">
        <v>40.9205</v>
      </c>
      <c r="JO165">
        <v>56.5973</v>
      </c>
      <c r="JP165">
        <v>0</v>
      </c>
      <c r="JQ165">
        <v>22.6436</v>
      </c>
      <c r="JR165">
        <v>988.6559999999999</v>
      </c>
      <c r="JS165">
        <v>8.688840000000001</v>
      </c>
      <c r="JT165">
        <v>100.302</v>
      </c>
      <c r="JU165">
        <v>100.214</v>
      </c>
    </row>
    <row r="166" spans="1:281">
      <c r="A166">
        <v>150</v>
      </c>
      <c r="B166">
        <v>1651857584.6</v>
      </c>
      <c r="C166">
        <v>584</v>
      </c>
      <c r="D166" t="s">
        <v>727</v>
      </c>
      <c r="E166" t="s">
        <v>728</v>
      </c>
      <c r="F166">
        <v>2</v>
      </c>
      <c r="G166" t="s">
        <v>413</v>
      </c>
      <c r="H166" t="s">
        <v>414</v>
      </c>
      <c r="I166">
        <v>1651857583.225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974.7506098799927</v>
      </c>
      <c r="AK166">
        <v>928.0417151515148</v>
      </c>
      <c r="AL166">
        <v>3.4298552349146</v>
      </c>
      <c r="AM166">
        <v>66.38384787954378</v>
      </c>
      <c r="AN166">
        <f>(AP166 - AO166 + DI166*1E3/(8.314*(DK166+273.15)) * AR166/DH166 * AQ166) * DH166/(100*CV166) * 1000/(1000 - AP166)</f>
        <v>0</v>
      </c>
      <c r="AO166">
        <v>8.630533051200548</v>
      </c>
      <c r="AP166">
        <v>18.28979029411765</v>
      </c>
      <c r="AQ166">
        <v>-5.031227078203404E-05</v>
      </c>
      <c r="AR166">
        <v>80.44866334591464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417</v>
      </c>
      <c r="AY166" t="s">
        <v>417</v>
      </c>
      <c r="AZ166">
        <v>0</v>
      </c>
      <c r="BA166">
        <v>0</v>
      </c>
      <c r="BB166">
        <f>1-AZ166/BA166</f>
        <v>0</v>
      </c>
      <c r="BC166">
        <v>0</v>
      </c>
      <c r="BD166" t="s">
        <v>417</v>
      </c>
      <c r="BE166" t="s">
        <v>417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1238</v>
      </c>
      <c r="CA166">
        <v>300</v>
      </c>
      <c r="CB166">
        <v>300</v>
      </c>
      <c r="CC166">
        <v>300</v>
      </c>
      <c r="CD166">
        <v>10440.5</v>
      </c>
      <c r="CE166">
        <v>1411.69</v>
      </c>
      <c r="CF166">
        <v>-0.00735121</v>
      </c>
      <c r="CG166">
        <v>-0.77</v>
      </c>
      <c r="CH166" t="s">
        <v>417</v>
      </c>
      <c r="CI166" t="s">
        <v>417</v>
      </c>
      <c r="CJ166" t="s">
        <v>417</v>
      </c>
      <c r="CK166" t="s">
        <v>417</v>
      </c>
      <c r="CL166" t="s">
        <v>417</v>
      </c>
      <c r="CM166" t="s">
        <v>417</v>
      </c>
      <c r="CN166" t="s">
        <v>417</v>
      </c>
      <c r="CO166" t="s">
        <v>417</v>
      </c>
      <c r="CP166" t="s">
        <v>417</v>
      </c>
      <c r="CQ166" t="s">
        <v>417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418</v>
      </c>
      <c r="CY166">
        <v>2</v>
      </c>
      <c r="CZ166" t="b">
        <v>1</v>
      </c>
      <c r="DA166">
        <v>1651857583.225</v>
      </c>
      <c r="DB166">
        <v>908.1129999999999</v>
      </c>
      <c r="DC166">
        <v>970.9970000000001</v>
      </c>
      <c r="DD166">
        <v>18.29505</v>
      </c>
      <c r="DE166">
        <v>8.630800000000001</v>
      </c>
      <c r="DF166">
        <v>910.2632500000001</v>
      </c>
      <c r="DG166">
        <v>18.290375</v>
      </c>
      <c r="DH166">
        <v>500.02975</v>
      </c>
      <c r="DI166">
        <v>90.06597499999999</v>
      </c>
      <c r="DJ166">
        <v>0.10003875</v>
      </c>
      <c r="DK166">
        <v>25.773475</v>
      </c>
      <c r="DL166">
        <v>25.0006</v>
      </c>
      <c r="DM166">
        <v>999.9</v>
      </c>
      <c r="DN166">
        <v>0</v>
      </c>
      <c r="DO166">
        <v>0</v>
      </c>
      <c r="DP166">
        <v>10016.275</v>
      </c>
      <c r="DQ166">
        <v>0</v>
      </c>
      <c r="DR166">
        <v>3.191535</v>
      </c>
      <c r="DS166">
        <v>-62.88405</v>
      </c>
      <c r="DT166">
        <v>925.0365</v>
      </c>
      <c r="DU166">
        <v>979.4504999999999</v>
      </c>
      <c r="DV166">
        <v>9.664227499999999</v>
      </c>
      <c r="DW166">
        <v>970.9970000000001</v>
      </c>
      <c r="DX166">
        <v>8.630800000000001</v>
      </c>
      <c r="DY166">
        <v>1.64776</v>
      </c>
      <c r="DZ166">
        <v>0.7773417499999999</v>
      </c>
      <c r="EA166">
        <v>14.412825</v>
      </c>
      <c r="EB166">
        <v>3.3001325</v>
      </c>
      <c r="EC166">
        <v>1499.9775</v>
      </c>
      <c r="ED166">
        <v>0.97300575</v>
      </c>
      <c r="EE166">
        <v>0.02699445</v>
      </c>
      <c r="EF166">
        <v>0</v>
      </c>
      <c r="EG166">
        <v>1007.525</v>
      </c>
      <c r="EH166">
        <v>5.00097</v>
      </c>
      <c r="EI166">
        <v>14965.825</v>
      </c>
      <c r="EJ166">
        <v>12491.425</v>
      </c>
      <c r="EK166">
        <v>37.5</v>
      </c>
      <c r="EL166">
        <v>39</v>
      </c>
      <c r="EM166">
        <v>37.875</v>
      </c>
      <c r="EN166">
        <v>38.75</v>
      </c>
      <c r="EO166">
        <v>38.375</v>
      </c>
      <c r="EP166">
        <v>1454.6175</v>
      </c>
      <c r="EQ166">
        <v>40.36</v>
      </c>
      <c r="ER166">
        <v>0</v>
      </c>
      <c r="ES166">
        <v>583.2000000476837</v>
      </c>
      <c r="ET166">
        <v>0</v>
      </c>
      <c r="EU166">
        <v>1011.5596</v>
      </c>
      <c r="EV166">
        <v>-38.74461545028328</v>
      </c>
      <c r="EW166">
        <v>-567.7923085725829</v>
      </c>
      <c r="EX166">
        <v>15023.624</v>
      </c>
      <c r="EY166">
        <v>15</v>
      </c>
      <c r="EZ166">
        <v>1651857041.1</v>
      </c>
      <c r="FA166" t="s">
        <v>419</v>
      </c>
      <c r="FB166">
        <v>1651857019.6</v>
      </c>
      <c r="FC166">
        <v>1651857041.1</v>
      </c>
      <c r="FD166">
        <v>1</v>
      </c>
      <c r="FE166">
        <v>0.545</v>
      </c>
      <c r="FF166">
        <v>-0.002</v>
      </c>
      <c r="FG166">
        <v>-1.271</v>
      </c>
      <c r="FH166">
        <v>-0.09</v>
      </c>
      <c r="FI166">
        <v>400</v>
      </c>
      <c r="FJ166">
        <v>10</v>
      </c>
      <c r="FK166">
        <v>0.1</v>
      </c>
      <c r="FL166">
        <v>0.02</v>
      </c>
      <c r="FM166">
        <v>-62.95268536585365</v>
      </c>
      <c r="FN166">
        <v>0.04061393728216849</v>
      </c>
      <c r="FO166">
        <v>0.03914919904470312</v>
      </c>
      <c r="FP166">
        <v>-1</v>
      </c>
      <c r="FQ166">
        <v>9.705251463414635</v>
      </c>
      <c r="FR166">
        <v>-0.2331342857142809</v>
      </c>
      <c r="FS166">
        <v>0.02303346796813085</v>
      </c>
      <c r="FT166">
        <v>-1</v>
      </c>
      <c r="FU166">
        <v>0</v>
      </c>
      <c r="FV166">
        <v>0</v>
      </c>
      <c r="FW166">
        <v>0</v>
      </c>
      <c r="FX166">
        <v>-1</v>
      </c>
      <c r="FY166">
        <v>0</v>
      </c>
      <c r="FZ166">
        <v>0</v>
      </c>
      <c r="GA166" t="s">
        <v>432</v>
      </c>
      <c r="GB166">
        <v>2.98004</v>
      </c>
      <c r="GC166">
        <v>2.70629</v>
      </c>
      <c r="GD166">
        <v>0.161309</v>
      </c>
      <c r="GE166">
        <v>0.166395</v>
      </c>
      <c r="GF166">
        <v>0.0875259</v>
      </c>
      <c r="GG166">
        <v>0.0494296</v>
      </c>
      <c r="GH166">
        <v>26463.1</v>
      </c>
      <c r="GI166">
        <v>26359.8</v>
      </c>
      <c r="GJ166">
        <v>29342.3</v>
      </c>
      <c r="GK166">
        <v>29255.5</v>
      </c>
      <c r="GL166">
        <v>35457</v>
      </c>
      <c r="GM166">
        <v>37038.3</v>
      </c>
      <c r="GN166">
        <v>41303.7</v>
      </c>
      <c r="GO166">
        <v>41752.4</v>
      </c>
      <c r="GP166">
        <v>1.9553</v>
      </c>
      <c r="GQ166">
        <v>1.83512</v>
      </c>
      <c r="GR166">
        <v>-0.0341386</v>
      </c>
      <c r="GS166">
        <v>0</v>
      </c>
      <c r="GT166">
        <v>25.5692</v>
      </c>
      <c r="GU166">
        <v>999.9</v>
      </c>
      <c r="GV166">
        <v>38.5</v>
      </c>
      <c r="GW166">
        <v>33.9</v>
      </c>
      <c r="GX166">
        <v>22.7119</v>
      </c>
      <c r="GY166">
        <v>62.2276</v>
      </c>
      <c r="GZ166">
        <v>35.5889</v>
      </c>
      <c r="HA166">
        <v>1</v>
      </c>
      <c r="HB166">
        <v>0.137193</v>
      </c>
      <c r="HC166">
        <v>2.22136</v>
      </c>
      <c r="HD166">
        <v>20.3192</v>
      </c>
      <c r="HE166">
        <v>5.21684</v>
      </c>
      <c r="HF166">
        <v>12.0099</v>
      </c>
      <c r="HG166">
        <v>4.98875</v>
      </c>
      <c r="HH166">
        <v>3.28848</v>
      </c>
      <c r="HI166">
        <v>853.9</v>
      </c>
      <c r="HJ166">
        <v>8499.700000000001</v>
      </c>
      <c r="HK166">
        <v>5139.4</v>
      </c>
      <c r="HL166">
        <v>22.9</v>
      </c>
      <c r="HM166">
        <v>1.86752</v>
      </c>
      <c r="HN166">
        <v>1.86648</v>
      </c>
      <c r="HO166">
        <v>1.866</v>
      </c>
      <c r="HP166">
        <v>1.86585</v>
      </c>
      <c r="HQ166">
        <v>1.86772</v>
      </c>
      <c r="HR166">
        <v>1.87026</v>
      </c>
      <c r="HS166">
        <v>1.8689</v>
      </c>
      <c r="HT166">
        <v>1.87027</v>
      </c>
      <c r="HU166">
        <v>0</v>
      </c>
      <c r="HV166">
        <v>0</v>
      </c>
      <c r="HW166">
        <v>0</v>
      </c>
      <c r="HX166">
        <v>0</v>
      </c>
      <c r="HY166" t="s">
        <v>421</v>
      </c>
      <c r="HZ166" t="s">
        <v>422</v>
      </c>
      <c r="IA166" t="s">
        <v>423</v>
      </c>
      <c r="IB166" t="s">
        <v>423</v>
      </c>
      <c r="IC166" t="s">
        <v>423</v>
      </c>
      <c r="ID166" t="s">
        <v>423</v>
      </c>
      <c r="IE166">
        <v>0</v>
      </c>
      <c r="IF166">
        <v>100</v>
      </c>
      <c r="IG166">
        <v>100</v>
      </c>
      <c r="IH166">
        <v>-2.158</v>
      </c>
      <c r="II166">
        <v>0.0045</v>
      </c>
      <c r="IJ166">
        <v>-0.4995723906072</v>
      </c>
      <c r="IK166">
        <v>-0.002077099775823331</v>
      </c>
      <c r="IL166">
        <v>4.593143279902166E-07</v>
      </c>
      <c r="IM166">
        <v>-1.865383991892071E-10</v>
      </c>
      <c r="IN166">
        <v>-0.07605349583632376</v>
      </c>
      <c r="IO166">
        <v>-0.01129461987421345</v>
      </c>
      <c r="IP166">
        <v>0.00116580895745559</v>
      </c>
      <c r="IQ166">
        <v>-1.679085872906199E-05</v>
      </c>
      <c r="IR166">
        <v>2</v>
      </c>
      <c r="IS166">
        <v>2290</v>
      </c>
      <c r="IT166">
        <v>0</v>
      </c>
      <c r="IU166">
        <v>32</v>
      </c>
      <c r="IV166">
        <v>9.4</v>
      </c>
      <c r="IW166">
        <v>9.1</v>
      </c>
      <c r="IX166">
        <v>2.05566</v>
      </c>
      <c r="IY166">
        <v>2.21313</v>
      </c>
      <c r="IZ166">
        <v>1.39648</v>
      </c>
      <c r="JA166">
        <v>2.3584</v>
      </c>
      <c r="JB166">
        <v>1.49536</v>
      </c>
      <c r="JC166">
        <v>2.32178</v>
      </c>
      <c r="JD166">
        <v>38.4524</v>
      </c>
      <c r="JE166">
        <v>24.035</v>
      </c>
      <c r="JF166">
        <v>18</v>
      </c>
      <c r="JG166">
        <v>514.912</v>
      </c>
      <c r="JH166">
        <v>423.292</v>
      </c>
      <c r="JI166">
        <v>22.6444</v>
      </c>
      <c r="JJ166">
        <v>29.099</v>
      </c>
      <c r="JK166">
        <v>30</v>
      </c>
      <c r="JL166">
        <v>29.1024</v>
      </c>
      <c r="JM166">
        <v>29.0415</v>
      </c>
      <c r="JN166">
        <v>41.1426</v>
      </c>
      <c r="JO166">
        <v>56.5973</v>
      </c>
      <c r="JP166">
        <v>0</v>
      </c>
      <c r="JQ166">
        <v>22.6562</v>
      </c>
      <c r="JR166">
        <v>995.335</v>
      </c>
      <c r="JS166">
        <v>8.715009999999999</v>
      </c>
      <c r="JT166">
        <v>100.302</v>
      </c>
      <c r="JU166">
        <v>100.213</v>
      </c>
    </row>
    <row r="167" spans="1:281">
      <c r="A167">
        <v>151</v>
      </c>
      <c r="B167">
        <v>1651857586.6</v>
      </c>
      <c r="C167">
        <v>586</v>
      </c>
      <c r="D167" t="s">
        <v>729</v>
      </c>
      <c r="E167" t="s">
        <v>730</v>
      </c>
      <c r="F167">
        <v>2</v>
      </c>
      <c r="G167" t="s">
        <v>413</v>
      </c>
      <c r="H167" t="s">
        <v>414</v>
      </c>
      <c r="I167">
        <v>1651857585.6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981.4945768361781</v>
      </c>
      <c r="AK167">
        <v>934.8278727272726</v>
      </c>
      <c r="AL167">
        <v>3.406975295590922</v>
      </c>
      <c r="AM167">
        <v>66.38384787954378</v>
      </c>
      <c r="AN167">
        <f>(AP167 - AO167 + DI167*1E3/(8.314*(DK167+273.15)) * AR167/DH167 * AQ167) * DH167/(100*CV167) * 1000/(1000 - AP167)</f>
        <v>0</v>
      </c>
      <c r="AO167">
        <v>8.630643300334821</v>
      </c>
      <c r="AP167">
        <v>18.27982294117646</v>
      </c>
      <c r="AQ167">
        <v>-0.003969750051956838</v>
      </c>
      <c r="AR167">
        <v>80.44866334591464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417</v>
      </c>
      <c r="AY167" t="s">
        <v>417</v>
      </c>
      <c r="AZ167">
        <v>0</v>
      </c>
      <c r="BA167">
        <v>0</v>
      </c>
      <c r="BB167">
        <f>1-AZ167/BA167</f>
        <v>0</v>
      </c>
      <c r="BC167">
        <v>0</v>
      </c>
      <c r="BD167" t="s">
        <v>417</v>
      </c>
      <c r="BE167" t="s">
        <v>417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1238</v>
      </c>
      <c r="CA167">
        <v>300</v>
      </c>
      <c r="CB167">
        <v>300</v>
      </c>
      <c r="CC167">
        <v>300</v>
      </c>
      <c r="CD167">
        <v>10440.5</v>
      </c>
      <c r="CE167">
        <v>1411.69</v>
      </c>
      <c r="CF167">
        <v>-0.00735121</v>
      </c>
      <c r="CG167">
        <v>-0.77</v>
      </c>
      <c r="CH167" t="s">
        <v>417</v>
      </c>
      <c r="CI167" t="s">
        <v>417</v>
      </c>
      <c r="CJ167" t="s">
        <v>417</v>
      </c>
      <c r="CK167" t="s">
        <v>417</v>
      </c>
      <c r="CL167" t="s">
        <v>417</v>
      </c>
      <c r="CM167" t="s">
        <v>417</v>
      </c>
      <c r="CN167" t="s">
        <v>417</v>
      </c>
      <c r="CO167" t="s">
        <v>417</v>
      </c>
      <c r="CP167" t="s">
        <v>417</v>
      </c>
      <c r="CQ167" t="s">
        <v>417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418</v>
      </c>
      <c r="CY167">
        <v>2</v>
      </c>
      <c r="CZ167" t="b">
        <v>1</v>
      </c>
      <c r="DA167">
        <v>1651857585.6</v>
      </c>
      <c r="DB167">
        <v>916.0679999999999</v>
      </c>
      <c r="DC167">
        <v>978.9643333333333</v>
      </c>
      <c r="DD167">
        <v>18.28273333333334</v>
      </c>
      <c r="DE167">
        <v>8.6312</v>
      </c>
      <c r="DF167">
        <v>918.232</v>
      </c>
      <c r="DG167">
        <v>18.27826666666667</v>
      </c>
      <c r="DH167">
        <v>500.085</v>
      </c>
      <c r="DI167">
        <v>90.06633333333333</v>
      </c>
      <c r="DJ167">
        <v>0.09989233333333332</v>
      </c>
      <c r="DK167">
        <v>25.77323333333333</v>
      </c>
      <c r="DL167">
        <v>25.00926666666667</v>
      </c>
      <c r="DM167">
        <v>999.9</v>
      </c>
      <c r="DN167">
        <v>0</v>
      </c>
      <c r="DO167">
        <v>0</v>
      </c>
      <c r="DP167">
        <v>10018.73333333333</v>
      </c>
      <c r="DQ167">
        <v>0</v>
      </c>
      <c r="DR167">
        <v>3.20383</v>
      </c>
      <c r="DS167">
        <v>-62.89643333333333</v>
      </c>
      <c r="DT167">
        <v>933.128</v>
      </c>
      <c r="DU167">
        <v>987.4876666666665</v>
      </c>
      <c r="DV167">
        <v>9.651539999999999</v>
      </c>
      <c r="DW167">
        <v>978.9643333333333</v>
      </c>
      <c r="DX167">
        <v>8.6312</v>
      </c>
      <c r="DY167">
        <v>1.646656666666667</v>
      </c>
      <c r="DZ167">
        <v>0.7773806666666667</v>
      </c>
      <c r="EA167">
        <v>14.40253333333333</v>
      </c>
      <c r="EB167">
        <v>3.300846666666667</v>
      </c>
      <c r="EC167">
        <v>1499.94</v>
      </c>
      <c r="ED167">
        <v>0.9730053333333334</v>
      </c>
      <c r="EE167">
        <v>0.0269949</v>
      </c>
      <c r="EF167">
        <v>0</v>
      </c>
      <c r="EG167">
        <v>1006.28</v>
      </c>
      <c r="EH167">
        <v>5.00097</v>
      </c>
      <c r="EI167">
        <v>14944.33333333333</v>
      </c>
      <c r="EJ167">
        <v>12491.13333333333</v>
      </c>
      <c r="EK167">
        <v>37.5</v>
      </c>
      <c r="EL167">
        <v>39</v>
      </c>
      <c r="EM167">
        <v>37.875</v>
      </c>
      <c r="EN167">
        <v>38.75</v>
      </c>
      <c r="EO167">
        <v>38.375</v>
      </c>
      <c r="EP167">
        <v>1454.58</v>
      </c>
      <c r="EQ167">
        <v>40.36</v>
      </c>
      <c r="ER167">
        <v>0</v>
      </c>
      <c r="ES167">
        <v>585.6000001430511</v>
      </c>
      <c r="ET167">
        <v>0</v>
      </c>
      <c r="EU167">
        <v>1010.0296</v>
      </c>
      <c r="EV167">
        <v>-38.06076923853417</v>
      </c>
      <c r="EW167">
        <v>-563.2846154310541</v>
      </c>
      <c r="EX167">
        <v>15000.928</v>
      </c>
      <c r="EY167">
        <v>15</v>
      </c>
      <c r="EZ167">
        <v>1651857041.1</v>
      </c>
      <c r="FA167" t="s">
        <v>419</v>
      </c>
      <c r="FB167">
        <v>1651857019.6</v>
      </c>
      <c r="FC167">
        <v>1651857041.1</v>
      </c>
      <c r="FD167">
        <v>1</v>
      </c>
      <c r="FE167">
        <v>0.545</v>
      </c>
      <c r="FF167">
        <v>-0.002</v>
      </c>
      <c r="FG167">
        <v>-1.271</v>
      </c>
      <c r="FH167">
        <v>-0.09</v>
      </c>
      <c r="FI167">
        <v>400</v>
      </c>
      <c r="FJ167">
        <v>10</v>
      </c>
      <c r="FK167">
        <v>0.1</v>
      </c>
      <c r="FL167">
        <v>0.02</v>
      </c>
      <c r="FM167">
        <v>-62.94298999999999</v>
      </c>
      <c r="FN167">
        <v>0.1290078799250861</v>
      </c>
      <c r="FO167">
        <v>0.0430199070198905</v>
      </c>
      <c r="FP167">
        <v>-1</v>
      </c>
      <c r="FQ167">
        <v>9.6939645</v>
      </c>
      <c r="FR167">
        <v>-0.250363677298332</v>
      </c>
      <c r="FS167">
        <v>0.0241698884927093</v>
      </c>
      <c r="FT167">
        <v>-1</v>
      </c>
      <c r="FU167">
        <v>0</v>
      </c>
      <c r="FV167">
        <v>0</v>
      </c>
      <c r="FW167">
        <v>0</v>
      </c>
      <c r="FX167">
        <v>-1</v>
      </c>
      <c r="FY167">
        <v>0</v>
      </c>
      <c r="FZ167">
        <v>0</v>
      </c>
      <c r="GA167" t="s">
        <v>432</v>
      </c>
      <c r="GB167">
        <v>2.98</v>
      </c>
      <c r="GC167">
        <v>2.70622</v>
      </c>
      <c r="GD167">
        <v>0.162079</v>
      </c>
      <c r="GE167">
        <v>0.167136</v>
      </c>
      <c r="GF167">
        <v>0.0874911</v>
      </c>
      <c r="GG167">
        <v>0.0494301</v>
      </c>
      <c r="GH167">
        <v>26438.8</v>
      </c>
      <c r="GI167">
        <v>26336.3</v>
      </c>
      <c r="GJ167">
        <v>29342.4</v>
      </c>
      <c r="GK167">
        <v>29255.4</v>
      </c>
      <c r="GL167">
        <v>35458.4</v>
      </c>
      <c r="GM167">
        <v>37038.1</v>
      </c>
      <c r="GN167">
        <v>41303.7</v>
      </c>
      <c r="GO167">
        <v>41752.1</v>
      </c>
      <c r="GP167">
        <v>1.9553</v>
      </c>
      <c r="GQ167">
        <v>1.83533</v>
      </c>
      <c r="GR167">
        <v>-0.0343472</v>
      </c>
      <c r="GS167">
        <v>0</v>
      </c>
      <c r="GT167">
        <v>25.5697</v>
      </c>
      <c r="GU167">
        <v>999.9</v>
      </c>
      <c r="GV167">
        <v>38.5</v>
      </c>
      <c r="GW167">
        <v>33.9</v>
      </c>
      <c r="GX167">
        <v>22.7107</v>
      </c>
      <c r="GY167">
        <v>62.3876</v>
      </c>
      <c r="GZ167">
        <v>35.3486</v>
      </c>
      <c r="HA167">
        <v>1</v>
      </c>
      <c r="HB167">
        <v>0.136829</v>
      </c>
      <c r="HC167">
        <v>2.1828</v>
      </c>
      <c r="HD167">
        <v>20.3198</v>
      </c>
      <c r="HE167">
        <v>5.21669</v>
      </c>
      <c r="HF167">
        <v>12.0099</v>
      </c>
      <c r="HG167">
        <v>4.98865</v>
      </c>
      <c r="HH167">
        <v>3.28845</v>
      </c>
      <c r="HI167">
        <v>853.9</v>
      </c>
      <c r="HJ167">
        <v>8499.700000000001</v>
      </c>
      <c r="HK167">
        <v>5139.4</v>
      </c>
      <c r="HL167">
        <v>22.9</v>
      </c>
      <c r="HM167">
        <v>1.86752</v>
      </c>
      <c r="HN167">
        <v>1.86648</v>
      </c>
      <c r="HO167">
        <v>1.86601</v>
      </c>
      <c r="HP167">
        <v>1.86586</v>
      </c>
      <c r="HQ167">
        <v>1.86773</v>
      </c>
      <c r="HR167">
        <v>1.87026</v>
      </c>
      <c r="HS167">
        <v>1.8689</v>
      </c>
      <c r="HT167">
        <v>1.87027</v>
      </c>
      <c r="HU167">
        <v>0</v>
      </c>
      <c r="HV167">
        <v>0</v>
      </c>
      <c r="HW167">
        <v>0</v>
      </c>
      <c r="HX167">
        <v>0</v>
      </c>
      <c r="HY167" t="s">
        <v>421</v>
      </c>
      <c r="HZ167" t="s">
        <v>422</v>
      </c>
      <c r="IA167" t="s">
        <v>423</v>
      </c>
      <c r="IB167" t="s">
        <v>423</v>
      </c>
      <c r="IC167" t="s">
        <v>423</v>
      </c>
      <c r="ID167" t="s">
        <v>423</v>
      </c>
      <c r="IE167">
        <v>0</v>
      </c>
      <c r="IF167">
        <v>100</v>
      </c>
      <c r="IG167">
        <v>100</v>
      </c>
      <c r="IH167">
        <v>-2.17</v>
      </c>
      <c r="II167">
        <v>0.0043</v>
      </c>
      <c r="IJ167">
        <v>-0.4995723906072</v>
      </c>
      <c r="IK167">
        <v>-0.002077099775823331</v>
      </c>
      <c r="IL167">
        <v>4.593143279902166E-07</v>
      </c>
      <c r="IM167">
        <v>-1.865383991892071E-10</v>
      </c>
      <c r="IN167">
        <v>-0.07605349583632376</v>
      </c>
      <c r="IO167">
        <v>-0.01129461987421345</v>
      </c>
      <c r="IP167">
        <v>0.00116580895745559</v>
      </c>
      <c r="IQ167">
        <v>-1.679085872906199E-05</v>
      </c>
      <c r="IR167">
        <v>2</v>
      </c>
      <c r="IS167">
        <v>2290</v>
      </c>
      <c r="IT167">
        <v>0</v>
      </c>
      <c r="IU167">
        <v>32</v>
      </c>
      <c r="IV167">
        <v>9.4</v>
      </c>
      <c r="IW167">
        <v>9.1</v>
      </c>
      <c r="IX167">
        <v>2.06665</v>
      </c>
      <c r="IY167">
        <v>2.21191</v>
      </c>
      <c r="IZ167">
        <v>1.39648</v>
      </c>
      <c r="JA167">
        <v>2.35962</v>
      </c>
      <c r="JB167">
        <v>1.49536</v>
      </c>
      <c r="JC167">
        <v>2.36084</v>
      </c>
      <c r="JD167">
        <v>38.4524</v>
      </c>
      <c r="JE167">
        <v>24.0437</v>
      </c>
      <c r="JF167">
        <v>18</v>
      </c>
      <c r="JG167">
        <v>514.912</v>
      </c>
      <c r="JH167">
        <v>423.411</v>
      </c>
      <c r="JI167">
        <v>22.6453</v>
      </c>
      <c r="JJ167">
        <v>29.0985</v>
      </c>
      <c r="JK167">
        <v>30</v>
      </c>
      <c r="JL167">
        <v>29.1023</v>
      </c>
      <c r="JM167">
        <v>29.0415</v>
      </c>
      <c r="JN167">
        <v>41.3675</v>
      </c>
      <c r="JO167">
        <v>56.5973</v>
      </c>
      <c r="JP167">
        <v>0</v>
      </c>
      <c r="JQ167">
        <v>22.6562</v>
      </c>
      <c r="JR167">
        <v>1002.02</v>
      </c>
      <c r="JS167">
        <v>8.73096</v>
      </c>
      <c r="JT167">
        <v>100.303</v>
      </c>
      <c r="JU167">
        <v>100.212</v>
      </c>
    </row>
    <row r="168" spans="1:281">
      <c r="A168">
        <v>152</v>
      </c>
      <c r="B168">
        <v>1651857588.6</v>
      </c>
      <c r="C168">
        <v>588</v>
      </c>
      <c r="D168" t="s">
        <v>731</v>
      </c>
      <c r="E168" t="s">
        <v>732</v>
      </c>
      <c r="F168">
        <v>2</v>
      </c>
      <c r="G168" t="s">
        <v>413</v>
      </c>
      <c r="H168" t="s">
        <v>414</v>
      </c>
      <c r="I168">
        <v>1651857587.225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988.274513445257</v>
      </c>
      <c r="AK168">
        <v>941.5864242424242</v>
      </c>
      <c r="AL168">
        <v>3.386456449459006</v>
      </c>
      <c r="AM168">
        <v>66.38384787954378</v>
      </c>
      <c r="AN168">
        <f>(AP168 - AO168 + DI168*1E3/(8.314*(DK168+273.15)) * AR168/DH168 * AQ168) * DH168/(100*CV168) * 1000/(1000 - AP168)</f>
        <v>0</v>
      </c>
      <c r="AO168">
        <v>8.630984129776655</v>
      </c>
      <c r="AP168">
        <v>18.27190088235293</v>
      </c>
      <c r="AQ168">
        <v>-0.005752793829333016</v>
      </c>
      <c r="AR168">
        <v>80.44866334591464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417</v>
      </c>
      <c r="AY168" t="s">
        <v>417</v>
      </c>
      <c r="AZ168">
        <v>0</v>
      </c>
      <c r="BA168">
        <v>0</v>
      </c>
      <c r="BB168">
        <f>1-AZ168/BA168</f>
        <v>0</v>
      </c>
      <c r="BC168">
        <v>0</v>
      </c>
      <c r="BD168" t="s">
        <v>417</v>
      </c>
      <c r="BE168" t="s">
        <v>417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1238</v>
      </c>
      <c r="CA168">
        <v>300</v>
      </c>
      <c r="CB168">
        <v>300</v>
      </c>
      <c r="CC168">
        <v>300</v>
      </c>
      <c r="CD168">
        <v>10440.5</v>
      </c>
      <c r="CE168">
        <v>1411.69</v>
      </c>
      <c r="CF168">
        <v>-0.00735121</v>
      </c>
      <c r="CG168">
        <v>-0.77</v>
      </c>
      <c r="CH168" t="s">
        <v>417</v>
      </c>
      <c r="CI168" t="s">
        <v>417</v>
      </c>
      <c r="CJ168" t="s">
        <v>417</v>
      </c>
      <c r="CK168" t="s">
        <v>417</v>
      </c>
      <c r="CL168" t="s">
        <v>417</v>
      </c>
      <c r="CM168" t="s">
        <v>417</v>
      </c>
      <c r="CN168" t="s">
        <v>417</v>
      </c>
      <c r="CO168" t="s">
        <v>417</v>
      </c>
      <c r="CP168" t="s">
        <v>417</v>
      </c>
      <c r="CQ168" t="s">
        <v>417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418</v>
      </c>
      <c r="CY168">
        <v>2</v>
      </c>
      <c r="CZ168" t="b">
        <v>1</v>
      </c>
      <c r="DA168">
        <v>1651857587.225</v>
      </c>
      <c r="DB168">
        <v>921.4782499999999</v>
      </c>
      <c r="DC168">
        <v>984.41025</v>
      </c>
      <c r="DD168">
        <v>18.275575</v>
      </c>
      <c r="DE168">
        <v>8.631265000000001</v>
      </c>
      <c r="DF168">
        <v>923.65125</v>
      </c>
      <c r="DG168">
        <v>18.271225</v>
      </c>
      <c r="DH168">
        <v>500.04925</v>
      </c>
      <c r="DI168">
        <v>90.06645</v>
      </c>
      <c r="DJ168">
        <v>0.09995905000000001</v>
      </c>
      <c r="DK168">
        <v>25.775075</v>
      </c>
      <c r="DL168">
        <v>25.00675</v>
      </c>
      <c r="DM168">
        <v>999.9</v>
      </c>
      <c r="DN168">
        <v>0</v>
      </c>
      <c r="DO168">
        <v>0</v>
      </c>
      <c r="DP168">
        <v>10011.1</v>
      </c>
      <c r="DQ168">
        <v>0</v>
      </c>
      <c r="DR168">
        <v>3.20383</v>
      </c>
      <c r="DS168">
        <v>-62.932325</v>
      </c>
      <c r="DT168">
        <v>938.6320000000001</v>
      </c>
      <c r="DU168">
        <v>992.981</v>
      </c>
      <c r="DV168">
        <v>9.644319999999999</v>
      </c>
      <c r="DW168">
        <v>984.41025</v>
      </c>
      <c r="DX168">
        <v>8.631265000000001</v>
      </c>
      <c r="DY168">
        <v>1.6460175</v>
      </c>
      <c r="DZ168">
        <v>0.7773877499999999</v>
      </c>
      <c r="EA168">
        <v>14.396475</v>
      </c>
      <c r="EB168">
        <v>3.30097</v>
      </c>
      <c r="EC168">
        <v>1500.035</v>
      </c>
      <c r="ED168">
        <v>0.973007</v>
      </c>
      <c r="EE168">
        <v>0.0269931</v>
      </c>
      <c r="EF168">
        <v>0</v>
      </c>
      <c r="EG168">
        <v>1005.35</v>
      </c>
      <c r="EH168">
        <v>5.00097</v>
      </c>
      <c r="EI168">
        <v>14930.125</v>
      </c>
      <c r="EJ168">
        <v>12491.95</v>
      </c>
      <c r="EK168">
        <v>37.5</v>
      </c>
      <c r="EL168">
        <v>39</v>
      </c>
      <c r="EM168">
        <v>37.875</v>
      </c>
      <c r="EN168">
        <v>38.75</v>
      </c>
      <c r="EO168">
        <v>38.375</v>
      </c>
      <c r="EP168">
        <v>1454.675</v>
      </c>
      <c r="EQ168">
        <v>40.36</v>
      </c>
      <c r="ER168">
        <v>0</v>
      </c>
      <c r="ES168">
        <v>587.4000000953674</v>
      </c>
      <c r="ET168">
        <v>0</v>
      </c>
      <c r="EU168">
        <v>1009.105384615385</v>
      </c>
      <c r="EV168">
        <v>-37.38188029590152</v>
      </c>
      <c r="EW168">
        <v>-558.5435890307471</v>
      </c>
      <c r="EX168">
        <v>14986.92307692308</v>
      </c>
      <c r="EY168">
        <v>15</v>
      </c>
      <c r="EZ168">
        <v>1651857041.1</v>
      </c>
      <c r="FA168" t="s">
        <v>419</v>
      </c>
      <c r="FB168">
        <v>1651857019.6</v>
      </c>
      <c r="FC168">
        <v>1651857041.1</v>
      </c>
      <c r="FD168">
        <v>1</v>
      </c>
      <c r="FE168">
        <v>0.545</v>
      </c>
      <c r="FF168">
        <v>-0.002</v>
      </c>
      <c r="FG168">
        <v>-1.271</v>
      </c>
      <c r="FH168">
        <v>-0.09</v>
      </c>
      <c r="FI168">
        <v>400</v>
      </c>
      <c r="FJ168">
        <v>10</v>
      </c>
      <c r="FK168">
        <v>0.1</v>
      </c>
      <c r="FL168">
        <v>0.02</v>
      </c>
      <c r="FM168">
        <v>-62.94305999999999</v>
      </c>
      <c r="FN168">
        <v>0.1452270168855701</v>
      </c>
      <c r="FO168">
        <v>0.04302493346886226</v>
      </c>
      <c r="FP168">
        <v>-1</v>
      </c>
      <c r="FQ168">
        <v>9.689699749999999</v>
      </c>
      <c r="FR168">
        <v>-0.2575061538461757</v>
      </c>
      <c r="FS168">
        <v>0.02485972842646312</v>
      </c>
      <c r="FT168">
        <v>-1</v>
      </c>
      <c r="FU168">
        <v>0</v>
      </c>
      <c r="FV168">
        <v>0</v>
      </c>
      <c r="FW168">
        <v>0</v>
      </c>
      <c r="FX168">
        <v>-1</v>
      </c>
      <c r="FY168">
        <v>0</v>
      </c>
      <c r="FZ168">
        <v>0</v>
      </c>
      <c r="GA168" t="s">
        <v>432</v>
      </c>
      <c r="GB168">
        <v>2.98007</v>
      </c>
      <c r="GC168">
        <v>2.70617</v>
      </c>
      <c r="GD168">
        <v>0.162841</v>
      </c>
      <c r="GE168">
        <v>0.167864</v>
      </c>
      <c r="GF168">
        <v>0.087466</v>
      </c>
      <c r="GG168">
        <v>0.0494288</v>
      </c>
      <c r="GH168">
        <v>26414.4</v>
      </c>
      <c r="GI168">
        <v>26313.2</v>
      </c>
      <c r="GJ168">
        <v>29342</v>
      </c>
      <c r="GK168">
        <v>29255.4</v>
      </c>
      <c r="GL168">
        <v>35458.9</v>
      </c>
      <c r="GM168">
        <v>37038</v>
      </c>
      <c r="GN168">
        <v>41303.1</v>
      </c>
      <c r="GO168">
        <v>41752</v>
      </c>
      <c r="GP168">
        <v>1.95545</v>
      </c>
      <c r="GQ168">
        <v>1.8354</v>
      </c>
      <c r="GR168">
        <v>-0.034444</v>
      </c>
      <c r="GS168">
        <v>0</v>
      </c>
      <c r="GT168">
        <v>25.5708</v>
      </c>
      <c r="GU168">
        <v>999.9</v>
      </c>
      <c r="GV168">
        <v>38.5</v>
      </c>
      <c r="GW168">
        <v>33.9</v>
      </c>
      <c r="GX168">
        <v>22.7092</v>
      </c>
      <c r="GY168">
        <v>62.4876</v>
      </c>
      <c r="GZ168">
        <v>35.3566</v>
      </c>
      <c r="HA168">
        <v>1</v>
      </c>
      <c r="HB168">
        <v>0.136692</v>
      </c>
      <c r="HC168">
        <v>2.18093</v>
      </c>
      <c r="HD168">
        <v>20.3192</v>
      </c>
      <c r="HE168">
        <v>5.21669</v>
      </c>
      <c r="HF168">
        <v>12.0099</v>
      </c>
      <c r="HG168">
        <v>4.9885</v>
      </c>
      <c r="HH168">
        <v>3.28848</v>
      </c>
      <c r="HI168">
        <v>853.9</v>
      </c>
      <c r="HJ168">
        <v>8499.700000000001</v>
      </c>
      <c r="HK168">
        <v>5139.4</v>
      </c>
      <c r="HL168">
        <v>22.9</v>
      </c>
      <c r="HM168">
        <v>1.86752</v>
      </c>
      <c r="HN168">
        <v>1.86647</v>
      </c>
      <c r="HO168">
        <v>1.866</v>
      </c>
      <c r="HP168">
        <v>1.86587</v>
      </c>
      <c r="HQ168">
        <v>1.86775</v>
      </c>
      <c r="HR168">
        <v>1.87027</v>
      </c>
      <c r="HS168">
        <v>1.8689</v>
      </c>
      <c r="HT168">
        <v>1.87027</v>
      </c>
      <c r="HU168">
        <v>0</v>
      </c>
      <c r="HV168">
        <v>0</v>
      </c>
      <c r="HW168">
        <v>0</v>
      </c>
      <c r="HX168">
        <v>0</v>
      </c>
      <c r="HY168" t="s">
        <v>421</v>
      </c>
      <c r="HZ168" t="s">
        <v>422</v>
      </c>
      <c r="IA168" t="s">
        <v>423</v>
      </c>
      <c r="IB168" t="s">
        <v>423</v>
      </c>
      <c r="IC168" t="s">
        <v>423</v>
      </c>
      <c r="ID168" t="s">
        <v>423</v>
      </c>
      <c r="IE168">
        <v>0</v>
      </c>
      <c r="IF168">
        <v>100</v>
      </c>
      <c r="IG168">
        <v>100</v>
      </c>
      <c r="IH168">
        <v>-2.181</v>
      </c>
      <c r="II168">
        <v>0.0043</v>
      </c>
      <c r="IJ168">
        <v>-0.4995723906072</v>
      </c>
      <c r="IK168">
        <v>-0.002077099775823331</v>
      </c>
      <c r="IL168">
        <v>4.593143279902166E-07</v>
      </c>
      <c r="IM168">
        <v>-1.865383991892071E-10</v>
      </c>
      <c r="IN168">
        <v>-0.07605349583632376</v>
      </c>
      <c r="IO168">
        <v>-0.01129461987421345</v>
      </c>
      <c r="IP168">
        <v>0.00116580895745559</v>
      </c>
      <c r="IQ168">
        <v>-1.679085872906199E-05</v>
      </c>
      <c r="IR168">
        <v>2</v>
      </c>
      <c r="IS168">
        <v>2290</v>
      </c>
      <c r="IT168">
        <v>0</v>
      </c>
      <c r="IU168">
        <v>32</v>
      </c>
      <c r="IV168">
        <v>9.5</v>
      </c>
      <c r="IW168">
        <v>9.1</v>
      </c>
      <c r="IX168">
        <v>2.07764</v>
      </c>
      <c r="IY168">
        <v>2.2168</v>
      </c>
      <c r="IZ168">
        <v>1.39648</v>
      </c>
      <c r="JA168">
        <v>2.35962</v>
      </c>
      <c r="JB168">
        <v>1.49536</v>
      </c>
      <c r="JC168">
        <v>2.27661</v>
      </c>
      <c r="JD168">
        <v>38.4524</v>
      </c>
      <c r="JE168">
        <v>24.035</v>
      </c>
      <c r="JF168">
        <v>18</v>
      </c>
      <c r="JG168">
        <v>515</v>
      </c>
      <c r="JH168">
        <v>423.456</v>
      </c>
      <c r="JI168">
        <v>22.6494</v>
      </c>
      <c r="JJ168">
        <v>29.0985</v>
      </c>
      <c r="JK168">
        <v>30</v>
      </c>
      <c r="JL168">
        <v>29.1011</v>
      </c>
      <c r="JM168">
        <v>29.0415</v>
      </c>
      <c r="JN168">
        <v>41.5944</v>
      </c>
      <c r="JO168">
        <v>56.2981</v>
      </c>
      <c r="JP168">
        <v>0</v>
      </c>
      <c r="JQ168">
        <v>22.6522</v>
      </c>
      <c r="JR168">
        <v>1008.7</v>
      </c>
      <c r="JS168">
        <v>8.753869999999999</v>
      </c>
      <c r="JT168">
        <v>100.301</v>
      </c>
      <c r="JU168">
        <v>100.212</v>
      </c>
    </row>
    <row r="169" spans="1:281">
      <c r="A169">
        <v>153</v>
      </c>
      <c r="B169">
        <v>1651857590.6</v>
      </c>
      <c r="C169">
        <v>590</v>
      </c>
      <c r="D169" t="s">
        <v>733</v>
      </c>
      <c r="E169" t="s">
        <v>734</v>
      </c>
      <c r="F169">
        <v>2</v>
      </c>
      <c r="G169" t="s">
        <v>413</v>
      </c>
      <c r="H169" t="s">
        <v>414</v>
      </c>
      <c r="I169">
        <v>1651857589.6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995.0121927153954</v>
      </c>
      <c r="AK169">
        <v>948.353593939394</v>
      </c>
      <c r="AL169">
        <v>3.381018593510069</v>
      </c>
      <c r="AM169">
        <v>66.38384787954378</v>
      </c>
      <c r="AN169">
        <f>(AP169 - AO169 + DI169*1E3/(8.314*(DK169+273.15)) * AR169/DH169 * AQ169) * DH169/(100*CV169) * 1000/(1000 - AP169)</f>
        <v>0</v>
      </c>
      <c r="AO169">
        <v>8.63086094299744</v>
      </c>
      <c r="AP169">
        <v>18.26351323529411</v>
      </c>
      <c r="AQ169">
        <v>-0.005165280002080224</v>
      </c>
      <c r="AR169">
        <v>80.44866334591464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417</v>
      </c>
      <c r="AY169" t="s">
        <v>417</v>
      </c>
      <c r="AZ169">
        <v>0</v>
      </c>
      <c r="BA169">
        <v>0</v>
      </c>
      <c r="BB169">
        <f>1-AZ169/BA169</f>
        <v>0</v>
      </c>
      <c r="BC169">
        <v>0</v>
      </c>
      <c r="BD169" t="s">
        <v>417</v>
      </c>
      <c r="BE169" t="s">
        <v>417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1238</v>
      </c>
      <c r="CA169">
        <v>300</v>
      </c>
      <c r="CB169">
        <v>300</v>
      </c>
      <c r="CC169">
        <v>300</v>
      </c>
      <c r="CD169">
        <v>10440.5</v>
      </c>
      <c r="CE169">
        <v>1411.69</v>
      </c>
      <c r="CF169">
        <v>-0.00735121</v>
      </c>
      <c r="CG169">
        <v>-0.77</v>
      </c>
      <c r="CH169" t="s">
        <v>417</v>
      </c>
      <c r="CI169" t="s">
        <v>417</v>
      </c>
      <c r="CJ169" t="s">
        <v>417</v>
      </c>
      <c r="CK169" t="s">
        <v>417</v>
      </c>
      <c r="CL169" t="s">
        <v>417</v>
      </c>
      <c r="CM169" t="s">
        <v>417</v>
      </c>
      <c r="CN169" t="s">
        <v>417</v>
      </c>
      <c r="CO169" t="s">
        <v>417</v>
      </c>
      <c r="CP169" t="s">
        <v>417</v>
      </c>
      <c r="CQ169" t="s">
        <v>417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418</v>
      </c>
      <c r="CY169">
        <v>2</v>
      </c>
      <c r="CZ169" t="b">
        <v>1</v>
      </c>
      <c r="DA169">
        <v>1651857589.6</v>
      </c>
      <c r="DB169">
        <v>929.3740000000001</v>
      </c>
      <c r="DC169">
        <v>992.2996666666667</v>
      </c>
      <c r="DD169">
        <v>18.26526666666667</v>
      </c>
      <c r="DE169">
        <v>8.633686666666668</v>
      </c>
      <c r="DF169">
        <v>931.561</v>
      </c>
      <c r="DG169">
        <v>18.26103333333333</v>
      </c>
      <c r="DH169">
        <v>500.0383333333334</v>
      </c>
      <c r="DI169">
        <v>90.06533333333333</v>
      </c>
      <c r="DJ169">
        <v>0.1000896666666667</v>
      </c>
      <c r="DK169">
        <v>25.7757</v>
      </c>
      <c r="DL169">
        <v>25.0089</v>
      </c>
      <c r="DM169">
        <v>999.9</v>
      </c>
      <c r="DN169">
        <v>0</v>
      </c>
      <c r="DO169">
        <v>0</v>
      </c>
      <c r="DP169">
        <v>9995</v>
      </c>
      <c r="DQ169">
        <v>0</v>
      </c>
      <c r="DR169">
        <v>3.20383</v>
      </c>
      <c r="DS169">
        <v>-62.92529999999999</v>
      </c>
      <c r="DT169">
        <v>946.6656666666667</v>
      </c>
      <c r="DU169">
        <v>1000.941666666667</v>
      </c>
      <c r="DV169">
        <v>9.63157</v>
      </c>
      <c r="DW169">
        <v>992.2996666666667</v>
      </c>
      <c r="DX169">
        <v>8.633686666666668</v>
      </c>
      <c r="DY169">
        <v>1.645066666666667</v>
      </c>
      <c r="DZ169">
        <v>0.777596</v>
      </c>
      <c r="EA169">
        <v>14.38756666666667</v>
      </c>
      <c r="EB169">
        <v>3.304763333333334</v>
      </c>
      <c r="EC169">
        <v>1500.043333333333</v>
      </c>
      <c r="ED169">
        <v>0.973007</v>
      </c>
      <c r="EE169">
        <v>0.0269931</v>
      </c>
      <c r="EF169">
        <v>0</v>
      </c>
      <c r="EG169">
        <v>1003.376666666667</v>
      </c>
      <c r="EH169">
        <v>5.00097</v>
      </c>
      <c r="EI169">
        <v>14906.83333333333</v>
      </c>
      <c r="EJ169">
        <v>12492</v>
      </c>
      <c r="EK169">
        <v>37.5</v>
      </c>
      <c r="EL169">
        <v>39</v>
      </c>
      <c r="EM169">
        <v>37.875</v>
      </c>
      <c r="EN169">
        <v>38.75</v>
      </c>
      <c r="EO169">
        <v>38.375</v>
      </c>
      <c r="EP169">
        <v>1454.683333333333</v>
      </c>
      <c r="EQ169">
        <v>40.36</v>
      </c>
      <c r="ER169">
        <v>0</v>
      </c>
      <c r="ES169">
        <v>589.2000000476837</v>
      </c>
      <c r="ET169">
        <v>0</v>
      </c>
      <c r="EU169">
        <v>1007.7516</v>
      </c>
      <c r="EV169">
        <v>-37.94846159436316</v>
      </c>
      <c r="EW169">
        <v>-554.6307701130204</v>
      </c>
      <c r="EX169">
        <v>14967.408</v>
      </c>
      <c r="EY169">
        <v>15</v>
      </c>
      <c r="EZ169">
        <v>1651857041.1</v>
      </c>
      <c r="FA169" t="s">
        <v>419</v>
      </c>
      <c r="FB169">
        <v>1651857019.6</v>
      </c>
      <c r="FC169">
        <v>1651857041.1</v>
      </c>
      <c r="FD169">
        <v>1</v>
      </c>
      <c r="FE169">
        <v>0.545</v>
      </c>
      <c r="FF169">
        <v>-0.002</v>
      </c>
      <c r="FG169">
        <v>-1.271</v>
      </c>
      <c r="FH169">
        <v>-0.09</v>
      </c>
      <c r="FI169">
        <v>400</v>
      </c>
      <c r="FJ169">
        <v>10</v>
      </c>
      <c r="FK169">
        <v>0.1</v>
      </c>
      <c r="FL169">
        <v>0.02</v>
      </c>
      <c r="FM169">
        <v>-62.941625</v>
      </c>
      <c r="FN169">
        <v>0.187085178236485</v>
      </c>
      <c r="FO169">
        <v>0.04342523315999622</v>
      </c>
      <c r="FP169">
        <v>-1</v>
      </c>
      <c r="FQ169">
        <v>9.676503</v>
      </c>
      <c r="FR169">
        <v>-0.2728505065666448</v>
      </c>
      <c r="FS169">
        <v>0.02633384886415202</v>
      </c>
      <c r="FT169">
        <v>-1</v>
      </c>
      <c r="FU169">
        <v>0</v>
      </c>
      <c r="FV169">
        <v>0</v>
      </c>
      <c r="FW169">
        <v>0</v>
      </c>
      <c r="FX169">
        <v>-1</v>
      </c>
      <c r="FY169">
        <v>0</v>
      </c>
      <c r="FZ169">
        <v>0</v>
      </c>
      <c r="GA169" t="s">
        <v>432</v>
      </c>
      <c r="GB169">
        <v>2.97993</v>
      </c>
      <c r="GC169">
        <v>2.70621</v>
      </c>
      <c r="GD169">
        <v>0.163599</v>
      </c>
      <c r="GE169">
        <v>0.168592</v>
      </c>
      <c r="GF169">
        <v>0.08742800000000001</v>
      </c>
      <c r="GG169">
        <v>0.0494678</v>
      </c>
      <c r="GH169">
        <v>26390.4</v>
      </c>
      <c r="GI169">
        <v>26290.1</v>
      </c>
      <c r="GJ169">
        <v>29341.9</v>
      </c>
      <c r="GK169">
        <v>29255.3</v>
      </c>
      <c r="GL169">
        <v>35460.1</v>
      </c>
      <c r="GM169">
        <v>37036.4</v>
      </c>
      <c r="GN169">
        <v>41302.8</v>
      </c>
      <c r="GO169">
        <v>41751.9</v>
      </c>
      <c r="GP169">
        <v>1.95555</v>
      </c>
      <c r="GQ169">
        <v>1.8355</v>
      </c>
      <c r="GR169">
        <v>-0.0340492</v>
      </c>
      <c r="GS169">
        <v>0</v>
      </c>
      <c r="GT169">
        <v>25.5713</v>
      </c>
      <c r="GU169">
        <v>999.9</v>
      </c>
      <c r="GV169">
        <v>38.5</v>
      </c>
      <c r="GW169">
        <v>33.9</v>
      </c>
      <c r="GX169">
        <v>22.7127</v>
      </c>
      <c r="GY169">
        <v>62.2876</v>
      </c>
      <c r="GZ169">
        <v>35.613</v>
      </c>
      <c r="HA169">
        <v>1</v>
      </c>
      <c r="HB169">
        <v>0.136745</v>
      </c>
      <c r="HC169">
        <v>2.19605</v>
      </c>
      <c r="HD169">
        <v>20.3191</v>
      </c>
      <c r="HE169">
        <v>5.21639</v>
      </c>
      <c r="HF169">
        <v>12.0099</v>
      </c>
      <c r="HG169">
        <v>4.98845</v>
      </c>
      <c r="HH169">
        <v>3.28848</v>
      </c>
      <c r="HI169">
        <v>853.9</v>
      </c>
      <c r="HJ169">
        <v>8499.700000000001</v>
      </c>
      <c r="HK169">
        <v>5139.4</v>
      </c>
      <c r="HL169">
        <v>22.9</v>
      </c>
      <c r="HM169">
        <v>1.86752</v>
      </c>
      <c r="HN169">
        <v>1.86647</v>
      </c>
      <c r="HO169">
        <v>1.866</v>
      </c>
      <c r="HP169">
        <v>1.86588</v>
      </c>
      <c r="HQ169">
        <v>1.86774</v>
      </c>
      <c r="HR169">
        <v>1.87026</v>
      </c>
      <c r="HS169">
        <v>1.8689</v>
      </c>
      <c r="HT169">
        <v>1.87027</v>
      </c>
      <c r="HU169">
        <v>0</v>
      </c>
      <c r="HV169">
        <v>0</v>
      </c>
      <c r="HW169">
        <v>0</v>
      </c>
      <c r="HX169">
        <v>0</v>
      </c>
      <c r="HY169" t="s">
        <v>421</v>
      </c>
      <c r="HZ169" t="s">
        <v>422</v>
      </c>
      <c r="IA169" t="s">
        <v>423</v>
      </c>
      <c r="IB169" t="s">
        <v>423</v>
      </c>
      <c r="IC169" t="s">
        <v>423</v>
      </c>
      <c r="ID169" t="s">
        <v>423</v>
      </c>
      <c r="IE169">
        <v>0</v>
      </c>
      <c r="IF169">
        <v>100</v>
      </c>
      <c r="IG169">
        <v>100</v>
      </c>
      <c r="IH169">
        <v>-2.193</v>
      </c>
      <c r="II169">
        <v>0.0041</v>
      </c>
      <c r="IJ169">
        <v>-0.4995723906072</v>
      </c>
      <c r="IK169">
        <v>-0.002077099775823331</v>
      </c>
      <c r="IL169">
        <v>4.593143279902166E-07</v>
      </c>
      <c r="IM169">
        <v>-1.865383991892071E-10</v>
      </c>
      <c r="IN169">
        <v>-0.07605349583632376</v>
      </c>
      <c r="IO169">
        <v>-0.01129461987421345</v>
      </c>
      <c r="IP169">
        <v>0.00116580895745559</v>
      </c>
      <c r="IQ169">
        <v>-1.679085872906199E-05</v>
      </c>
      <c r="IR169">
        <v>2</v>
      </c>
      <c r="IS169">
        <v>2290</v>
      </c>
      <c r="IT169">
        <v>0</v>
      </c>
      <c r="IU169">
        <v>32</v>
      </c>
      <c r="IV169">
        <v>9.5</v>
      </c>
      <c r="IW169">
        <v>9.199999999999999</v>
      </c>
      <c r="IX169">
        <v>2.08862</v>
      </c>
      <c r="IY169">
        <v>2.21069</v>
      </c>
      <c r="IZ169">
        <v>1.39648</v>
      </c>
      <c r="JA169">
        <v>2.35962</v>
      </c>
      <c r="JB169">
        <v>1.49536</v>
      </c>
      <c r="JC169">
        <v>2.34009</v>
      </c>
      <c r="JD169">
        <v>38.4524</v>
      </c>
      <c r="JE169">
        <v>24.0437</v>
      </c>
      <c r="JF169">
        <v>18</v>
      </c>
      <c r="JG169">
        <v>515.056</v>
      </c>
      <c r="JH169">
        <v>423.515</v>
      </c>
      <c r="JI169">
        <v>22.6521</v>
      </c>
      <c r="JJ169">
        <v>29.0985</v>
      </c>
      <c r="JK169">
        <v>30</v>
      </c>
      <c r="JL169">
        <v>29.1</v>
      </c>
      <c r="JM169">
        <v>29.0415</v>
      </c>
      <c r="JN169">
        <v>41.8198</v>
      </c>
      <c r="JO169">
        <v>56.2981</v>
      </c>
      <c r="JP169">
        <v>0</v>
      </c>
      <c r="JQ169">
        <v>22.6522</v>
      </c>
      <c r="JR169">
        <v>1015.38</v>
      </c>
      <c r="JS169">
        <v>8.77956</v>
      </c>
      <c r="JT169">
        <v>100.301</v>
      </c>
      <c r="JU169">
        <v>100.212</v>
      </c>
    </row>
    <row r="170" spans="1:281">
      <c r="A170">
        <v>154</v>
      </c>
      <c r="B170">
        <v>1651857592.6</v>
      </c>
      <c r="C170">
        <v>592</v>
      </c>
      <c r="D170" t="s">
        <v>735</v>
      </c>
      <c r="E170" t="s">
        <v>736</v>
      </c>
      <c r="F170">
        <v>2</v>
      </c>
      <c r="G170" t="s">
        <v>413</v>
      </c>
      <c r="H170" t="s">
        <v>414</v>
      </c>
      <c r="I170">
        <v>1651857591.225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1001.713195558964</v>
      </c>
      <c r="AK170">
        <v>955.1123878787876</v>
      </c>
      <c r="AL170">
        <v>3.379570956846576</v>
      </c>
      <c r="AM170">
        <v>66.38384787954378</v>
      </c>
      <c r="AN170">
        <f>(AP170 - AO170 + DI170*1E3/(8.314*(DK170+273.15)) * AR170/DH170 * AQ170) * DH170/(100*CV170) * 1000/(1000 - AP170)</f>
        <v>0</v>
      </c>
      <c r="AO170">
        <v>8.630541663986097</v>
      </c>
      <c r="AP170">
        <v>18.25192911764706</v>
      </c>
      <c r="AQ170">
        <v>-0.002031442387185493</v>
      </c>
      <c r="AR170">
        <v>80.44866334591464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417</v>
      </c>
      <c r="AY170" t="s">
        <v>417</v>
      </c>
      <c r="AZ170">
        <v>0</v>
      </c>
      <c r="BA170">
        <v>0</v>
      </c>
      <c r="BB170">
        <f>1-AZ170/BA170</f>
        <v>0</v>
      </c>
      <c r="BC170">
        <v>0</v>
      </c>
      <c r="BD170" t="s">
        <v>417</v>
      </c>
      <c r="BE170" t="s">
        <v>417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1238</v>
      </c>
      <c r="CA170">
        <v>300</v>
      </c>
      <c r="CB170">
        <v>300</v>
      </c>
      <c r="CC170">
        <v>300</v>
      </c>
      <c r="CD170">
        <v>10440.5</v>
      </c>
      <c r="CE170">
        <v>1411.69</v>
      </c>
      <c r="CF170">
        <v>-0.00735121</v>
      </c>
      <c r="CG170">
        <v>-0.77</v>
      </c>
      <c r="CH170" t="s">
        <v>417</v>
      </c>
      <c r="CI170" t="s">
        <v>417</v>
      </c>
      <c r="CJ170" t="s">
        <v>417</v>
      </c>
      <c r="CK170" t="s">
        <v>417</v>
      </c>
      <c r="CL170" t="s">
        <v>417</v>
      </c>
      <c r="CM170" t="s">
        <v>417</v>
      </c>
      <c r="CN170" t="s">
        <v>417</v>
      </c>
      <c r="CO170" t="s">
        <v>417</v>
      </c>
      <c r="CP170" t="s">
        <v>417</v>
      </c>
      <c r="CQ170" t="s">
        <v>417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418</v>
      </c>
      <c r="CY170">
        <v>2</v>
      </c>
      <c r="CZ170" t="b">
        <v>1</v>
      </c>
      <c r="DA170">
        <v>1651857591.225</v>
      </c>
      <c r="DB170">
        <v>934.769</v>
      </c>
      <c r="DC170">
        <v>997.7090000000001</v>
      </c>
      <c r="DD170">
        <v>18.2565</v>
      </c>
      <c r="DE170">
        <v>8.64541</v>
      </c>
      <c r="DF170">
        <v>936.96525</v>
      </c>
      <c r="DG170">
        <v>18.25245</v>
      </c>
      <c r="DH170">
        <v>500.04225</v>
      </c>
      <c r="DI170">
        <v>90.06489999999999</v>
      </c>
      <c r="DJ170">
        <v>0.10007205</v>
      </c>
      <c r="DK170">
        <v>25.775425</v>
      </c>
      <c r="DL170">
        <v>25.012575</v>
      </c>
      <c r="DM170">
        <v>999.9</v>
      </c>
      <c r="DN170">
        <v>0</v>
      </c>
      <c r="DO170">
        <v>0</v>
      </c>
      <c r="DP170">
        <v>9989.2075</v>
      </c>
      <c r="DQ170">
        <v>0</v>
      </c>
      <c r="DR170">
        <v>3.20383</v>
      </c>
      <c r="DS170">
        <v>-62.939575</v>
      </c>
      <c r="DT170">
        <v>952.1522500000001</v>
      </c>
      <c r="DU170">
        <v>1006.4075</v>
      </c>
      <c r="DV170">
        <v>9.611107499999999</v>
      </c>
      <c r="DW170">
        <v>997.7090000000001</v>
      </c>
      <c r="DX170">
        <v>8.64541</v>
      </c>
      <c r="DY170">
        <v>1.64427</v>
      </c>
      <c r="DZ170">
        <v>0.778648</v>
      </c>
      <c r="EA170">
        <v>14.380075</v>
      </c>
      <c r="EB170">
        <v>3.32389</v>
      </c>
      <c r="EC170">
        <v>1499.965</v>
      </c>
      <c r="ED170">
        <v>0.9730045</v>
      </c>
      <c r="EE170">
        <v>0.0269958</v>
      </c>
      <c r="EF170">
        <v>0</v>
      </c>
      <c r="EG170">
        <v>1002.4425</v>
      </c>
      <c r="EH170">
        <v>5.00097</v>
      </c>
      <c r="EI170">
        <v>14892.35</v>
      </c>
      <c r="EJ170">
        <v>12491.3</v>
      </c>
      <c r="EK170">
        <v>37.5</v>
      </c>
      <c r="EL170">
        <v>39</v>
      </c>
      <c r="EM170">
        <v>37.875</v>
      </c>
      <c r="EN170">
        <v>38.75</v>
      </c>
      <c r="EO170">
        <v>38.375</v>
      </c>
      <c r="EP170">
        <v>1454.605</v>
      </c>
      <c r="EQ170">
        <v>40.36</v>
      </c>
      <c r="ER170">
        <v>0</v>
      </c>
      <c r="ES170">
        <v>591.6000001430511</v>
      </c>
      <c r="ET170">
        <v>0</v>
      </c>
      <c r="EU170">
        <v>1006.2208</v>
      </c>
      <c r="EV170">
        <v>-38.13538460303563</v>
      </c>
      <c r="EW170">
        <v>-553.3615385599694</v>
      </c>
      <c r="EX170">
        <v>14945.2</v>
      </c>
      <c r="EY170">
        <v>15</v>
      </c>
      <c r="EZ170">
        <v>1651857041.1</v>
      </c>
      <c r="FA170" t="s">
        <v>419</v>
      </c>
      <c r="FB170">
        <v>1651857019.6</v>
      </c>
      <c r="FC170">
        <v>1651857041.1</v>
      </c>
      <c r="FD170">
        <v>1</v>
      </c>
      <c r="FE170">
        <v>0.545</v>
      </c>
      <c r="FF170">
        <v>-0.002</v>
      </c>
      <c r="FG170">
        <v>-1.271</v>
      </c>
      <c r="FH170">
        <v>-0.09</v>
      </c>
      <c r="FI170">
        <v>400</v>
      </c>
      <c r="FJ170">
        <v>10</v>
      </c>
      <c r="FK170">
        <v>0.1</v>
      </c>
      <c r="FL170">
        <v>0.02</v>
      </c>
      <c r="FM170">
        <v>-62.94205853658538</v>
      </c>
      <c r="FN170">
        <v>0.1933442508710305</v>
      </c>
      <c r="FO170">
        <v>0.04277824826576843</v>
      </c>
      <c r="FP170">
        <v>-1</v>
      </c>
      <c r="FQ170">
        <v>9.669870243902441</v>
      </c>
      <c r="FR170">
        <v>-0.2936816027874538</v>
      </c>
      <c r="FS170">
        <v>0.02923559303213315</v>
      </c>
      <c r="FT170">
        <v>-1</v>
      </c>
      <c r="FU170">
        <v>0</v>
      </c>
      <c r="FV170">
        <v>0</v>
      </c>
      <c r="FW170">
        <v>0</v>
      </c>
      <c r="FX170">
        <v>-1</v>
      </c>
      <c r="FY170">
        <v>0</v>
      </c>
      <c r="FZ170">
        <v>0</v>
      </c>
      <c r="GA170" t="s">
        <v>432</v>
      </c>
      <c r="GB170">
        <v>2.98002</v>
      </c>
      <c r="GC170">
        <v>2.7062</v>
      </c>
      <c r="GD170">
        <v>0.164358</v>
      </c>
      <c r="GE170">
        <v>0.169324</v>
      </c>
      <c r="GF170">
        <v>0.0874007</v>
      </c>
      <c r="GG170">
        <v>0.0495496</v>
      </c>
      <c r="GH170">
        <v>26366.2</v>
      </c>
      <c r="GI170">
        <v>26266.9</v>
      </c>
      <c r="GJ170">
        <v>29341.7</v>
      </c>
      <c r="GK170">
        <v>29255.3</v>
      </c>
      <c r="GL170">
        <v>35461.1</v>
      </c>
      <c r="GM170">
        <v>37033.2</v>
      </c>
      <c r="GN170">
        <v>41302.7</v>
      </c>
      <c r="GO170">
        <v>41751.8</v>
      </c>
      <c r="GP170">
        <v>1.9553</v>
      </c>
      <c r="GQ170">
        <v>1.83545</v>
      </c>
      <c r="GR170">
        <v>-0.0340715</v>
      </c>
      <c r="GS170">
        <v>0</v>
      </c>
      <c r="GT170">
        <v>25.5713</v>
      </c>
      <c r="GU170">
        <v>999.9</v>
      </c>
      <c r="GV170">
        <v>38.5</v>
      </c>
      <c r="GW170">
        <v>33.9</v>
      </c>
      <c r="GX170">
        <v>22.7117</v>
      </c>
      <c r="GY170">
        <v>62.1176</v>
      </c>
      <c r="GZ170">
        <v>35.1803</v>
      </c>
      <c r="HA170">
        <v>1</v>
      </c>
      <c r="HB170">
        <v>0.136745</v>
      </c>
      <c r="HC170">
        <v>2.20339</v>
      </c>
      <c r="HD170">
        <v>20.3192</v>
      </c>
      <c r="HE170">
        <v>5.21609</v>
      </c>
      <c r="HF170">
        <v>12.0099</v>
      </c>
      <c r="HG170">
        <v>4.98865</v>
      </c>
      <c r="HH170">
        <v>3.28848</v>
      </c>
      <c r="HI170">
        <v>854.1</v>
      </c>
      <c r="HJ170">
        <v>8501.9</v>
      </c>
      <c r="HK170">
        <v>5139.4</v>
      </c>
      <c r="HL170">
        <v>22.9</v>
      </c>
      <c r="HM170">
        <v>1.86752</v>
      </c>
      <c r="HN170">
        <v>1.86647</v>
      </c>
      <c r="HO170">
        <v>1.866</v>
      </c>
      <c r="HP170">
        <v>1.86587</v>
      </c>
      <c r="HQ170">
        <v>1.86773</v>
      </c>
      <c r="HR170">
        <v>1.87025</v>
      </c>
      <c r="HS170">
        <v>1.8689</v>
      </c>
      <c r="HT170">
        <v>1.87027</v>
      </c>
      <c r="HU170">
        <v>0</v>
      </c>
      <c r="HV170">
        <v>0</v>
      </c>
      <c r="HW170">
        <v>0</v>
      </c>
      <c r="HX170">
        <v>0</v>
      </c>
      <c r="HY170" t="s">
        <v>421</v>
      </c>
      <c r="HZ170" t="s">
        <v>422</v>
      </c>
      <c r="IA170" t="s">
        <v>423</v>
      </c>
      <c r="IB170" t="s">
        <v>423</v>
      </c>
      <c r="IC170" t="s">
        <v>423</v>
      </c>
      <c r="ID170" t="s">
        <v>423</v>
      </c>
      <c r="IE170">
        <v>0</v>
      </c>
      <c r="IF170">
        <v>100</v>
      </c>
      <c r="IG170">
        <v>100</v>
      </c>
      <c r="IH170">
        <v>-2.204</v>
      </c>
      <c r="II170">
        <v>0.004</v>
      </c>
      <c r="IJ170">
        <v>-0.4995723906072</v>
      </c>
      <c r="IK170">
        <v>-0.002077099775823331</v>
      </c>
      <c r="IL170">
        <v>4.593143279902166E-07</v>
      </c>
      <c r="IM170">
        <v>-1.865383991892071E-10</v>
      </c>
      <c r="IN170">
        <v>-0.07605349583632376</v>
      </c>
      <c r="IO170">
        <v>-0.01129461987421345</v>
      </c>
      <c r="IP170">
        <v>0.00116580895745559</v>
      </c>
      <c r="IQ170">
        <v>-1.679085872906199E-05</v>
      </c>
      <c r="IR170">
        <v>2</v>
      </c>
      <c r="IS170">
        <v>2290</v>
      </c>
      <c r="IT170">
        <v>0</v>
      </c>
      <c r="IU170">
        <v>32</v>
      </c>
      <c r="IV170">
        <v>9.6</v>
      </c>
      <c r="IW170">
        <v>9.199999999999999</v>
      </c>
      <c r="IX170">
        <v>2.09961</v>
      </c>
      <c r="IY170">
        <v>2.20581</v>
      </c>
      <c r="IZ170">
        <v>1.39648</v>
      </c>
      <c r="JA170">
        <v>2.36084</v>
      </c>
      <c r="JB170">
        <v>1.49536</v>
      </c>
      <c r="JC170">
        <v>2.34131</v>
      </c>
      <c r="JD170">
        <v>38.4524</v>
      </c>
      <c r="JE170">
        <v>24.0437</v>
      </c>
      <c r="JF170">
        <v>18</v>
      </c>
      <c r="JG170">
        <v>514.891</v>
      </c>
      <c r="JH170">
        <v>423.481</v>
      </c>
      <c r="JI170">
        <v>22.6523</v>
      </c>
      <c r="JJ170">
        <v>29.0985</v>
      </c>
      <c r="JK170">
        <v>30</v>
      </c>
      <c r="JL170">
        <v>29.1</v>
      </c>
      <c r="JM170">
        <v>29.0409</v>
      </c>
      <c r="JN170">
        <v>42.042</v>
      </c>
      <c r="JO170">
        <v>55.992</v>
      </c>
      <c r="JP170">
        <v>0</v>
      </c>
      <c r="JQ170">
        <v>22.6522</v>
      </c>
      <c r="JR170">
        <v>1022.05</v>
      </c>
      <c r="JS170">
        <v>8.795959999999999</v>
      </c>
      <c r="JT170">
        <v>100.3</v>
      </c>
      <c r="JU170">
        <v>100.212</v>
      </c>
    </row>
    <row r="171" spans="1:281">
      <c r="A171">
        <v>155</v>
      </c>
      <c r="B171">
        <v>1651857594.6</v>
      </c>
      <c r="C171">
        <v>594</v>
      </c>
      <c r="D171" t="s">
        <v>737</v>
      </c>
      <c r="E171" t="s">
        <v>738</v>
      </c>
      <c r="F171">
        <v>2</v>
      </c>
      <c r="G171" t="s">
        <v>413</v>
      </c>
      <c r="H171" t="s">
        <v>414</v>
      </c>
      <c r="I171">
        <v>1651857593.6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1008.457987852781</v>
      </c>
      <c r="AK171">
        <v>961.9051818181812</v>
      </c>
      <c r="AL171">
        <v>3.39219118720444</v>
      </c>
      <c r="AM171">
        <v>66.38384787954378</v>
      </c>
      <c r="AN171">
        <f>(AP171 - AO171 + DI171*1E3/(8.314*(DK171+273.15)) * AR171/DH171 * AQ171) * DH171/(100*CV171) * 1000/(1000 - AP171)</f>
        <v>0</v>
      </c>
      <c r="AO171">
        <v>8.636952888200783</v>
      </c>
      <c r="AP171">
        <v>18.24531499999999</v>
      </c>
      <c r="AQ171">
        <v>-0.005281382888252869</v>
      </c>
      <c r="AR171">
        <v>80.44866334591464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417</v>
      </c>
      <c r="AY171" t="s">
        <v>417</v>
      </c>
      <c r="AZ171">
        <v>0</v>
      </c>
      <c r="BA171">
        <v>0</v>
      </c>
      <c r="BB171">
        <f>1-AZ171/BA171</f>
        <v>0</v>
      </c>
      <c r="BC171">
        <v>0</v>
      </c>
      <c r="BD171" t="s">
        <v>417</v>
      </c>
      <c r="BE171" t="s">
        <v>417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1238</v>
      </c>
      <c r="CA171">
        <v>300</v>
      </c>
      <c r="CB171">
        <v>300</v>
      </c>
      <c r="CC171">
        <v>300</v>
      </c>
      <c r="CD171">
        <v>10440.5</v>
      </c>
      <c r="CE171">
        <v>1411.69</v>
      </c>
      <c r="CF171">
        <v>-0.00735121</v>
      </c>
      <c r="CG171">
        <v>-0.77</v>
      </c>
      <c r="CH171" t="s">
        <v>417</v>
      </c>
      <c r="CI171" t="s">
        <v>417</v>
      </c>
      <c r="CJ171" t="s">
        <v>417</v>
      </c>
      <c r="CK171" t="s">
        <v>417</v>
      </c>
      <c r="CL171" t="s">
        <v>417</v>
      </c>
      <c r="CM171" t="s">
        <v>417</v>
      </c>
      <c r="CN171" t="s">
        <v>417</v>
      </c>
      <c r="CO171" t="s">
        <v>417</v>
      </c>
      <c r="CP171" t="s">
        <v>417</v>
      </c>
      <c r="CQ171" t="s">
        <v>417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418</v>
      </c>
      <c r="CY171">
        <v>2</v>
      </c>
      <c r="CZ171" t="b">
        <v>1</v>
      </c>
      <c r="DA171">
        <v>1651857593.6</v>
      </c>
      <c r="DB171">
        <v>942.6816666666667</v>
      </c>
      <c r="DC171">
        <v>1005.693333333333</v>
      </c>
      <c r="DD171">
        <v>18.24756666666667</v>
      </c>
      <c r="DE171">
        <v>8.666510000000001</v>
      </c>
      <c r="DF171">
        <v>944.8906666666667</v>
      </c>
      <c r="DG171">
        <v>18.24363333333334</v>
      </c>
      <c r="DH171">
        <v>500.0226666666667</v>
      </c>
      <c r="DI171">
        <v>90.06723333333332</v>
      </c>
      <c r="DJ171">
        <v>0.1000496666666667</v>
      </c>
      <c r="DK171">
        <v>25.7747</v>
      </c>
      <c r="DL171">
        <v>25.01203333333333</v>
      </c>
      <c r="DM171">
        <v>999.9</v>
      </c>
      <c r="DN171">
        <v>0</v>
      </c>
      <c r="DO171">
        <v>0</v>
      </c>
      <c r="DP171">
        <v>9985</v>
      </c>
      <c r="DQ171">
        <v>0</v>
      </c>
      <c r="DR171">
        <v>3.20383</v>
      </c>
      <c r="DS171">
        <v>-63.0135</v>
      </c>
      <c r="DT171">
        <v>960.2026666666667</v>
      </c>
      <c r="DU171">
        <v>1014.483333333333</v>
      </c>
      <c r="DV171">
        <v>9.581076666666668</v>
      </c>
      <c r="DW171">
        <v>1005.693333333333</v>
      </c>
      <c r="DX171">
        <v>8.666510000000001</v>
      </c>
      <c r="DY171">
        <v>1.64351</v>
      </c>
      <c r="DZ171">
        <v>0.7805683333333334</v>
      </c>
      <c r="EA171">
        <v>14.3729</v>
      </c>
      <c r="EB171">
        <v>3.358756666666666</v>
      </c>
      <c r="EC171">
        <v>1500.04</v>
      </c>
      <c r="ED171">
        <v>0.973007</v>
      </c>
      <c r="EE171">
        <v>0.0269931</v>
      </c>
      <c r="EF171">
        <v>0</v>
      </c>
      <c r="EG171">
        <v>1001.053333333333</v>
      </c>
      <c r="EH171">
        <v>5.00097</v>
      </c>
      <c r="EI171">
        <v>14872.4</v>
      </c>
      <c r="EJ171">
        <v>12492</v>
      </c>
      <c r="EK171">
        <v>37.5</v>
      </c>
      <c r="EL171">
        <v>39</v>
      </c>
      <c r="EM171">
        <v>37.875</v>
      </c>
      <c r="EN171">
        <v>38.75</v>
      </c>
      <c r="EO171">
        <v>38.375</v>
      </c>
      <c r="EP171">
        <v>1454.68</v>
      </c>
      <c r="EQ171">
        <v>40.36</v>
      </c>
      <c r="ER171">
        <v>0</v>
      </c>
      <c r="ES171">
        <v>593.4000000953674</v>
      </c>
      <c r="ET171">
        <v>0</v>
      </c>
      <c r="EU171">
        <v>1005.276153846154</v>
      </c>
      <c r="EV171">
        <v>-38.06837600325219</v>
      </c>
      <c r="EW171">
        <v>-550.3692301062913</v>
      </c>
      <c r="EX171">
        <v>14931.45</v>
      </c>
      <c r="EY171">
        <v>15</v>
      </c>
      <c r="EZ171">
        <v>1651857041.1</v>
      </c>
      <c r="FA171" t="s">
        <v>419</v>
      </c>
      <c r="FB171">
        <v>1651857019.6</v>
      </c>
      <c r="FC171">
        <v>1651857041.1</v>
      </c>
      <c r="FD171">
        <v>1</v>
      </c>
      <c r="FE171">
        <v>0.545</v>
      </c>
      <c r="FF171">
        <v>-0.002</v>
      </c>
      <c r="FG171">
        <v>-1.271</v>
      </c>
      <c r="FH171">
        <v>-0.09</v>
      </c>
      <c r="FI171">
        <v>400</v>
      </c>
      <c r="FJ171">
        <v>10</v>
      </c>
      <c r="FK171">
        <v>0.1</v>
      </c>
      <c r="FL171">
        <v>0.02</v>
      </c>
      <c r="FM171">
        <v>-62.94473499999999</v>
      </c>
      <c r="FN171">
        <v>0.01305590994377271</v>
      </c>
      <c r="FO171">
        <v>0.04575953206710118</v>
      </c>
      <c r="FP171">
        <v>-1</v>
      </c>
      <c r="FQ171">
        <v>9.65367475</v>
      </c>
      <c r="FR171">
        <v>-0.359249043151982</v>
      </c>
      <c r="FS171">
        <v>0.03539320987050337</v>
      </c>
      <c r="FT171">
        <v>-1</v>
      </c>
      <c r="FU171">
        <v>0</v>
      </c>
      <c r="FV171">
        <v>0</v>
      </c>
      <c r="FW171">
        <v>0</v>
      </c>
      <c r="FX171">
        <v>-1</v>
      </c>
      <c r="FY171">
        <v>0</v>
      </c>
      <c r="FZ171">
        <v>0</v>
      </c>
      <c r="GA171" t="s">
        <v>432</v>
      </c>
      <c r="GB171">
        <v>2.97999</v>
      </c>
      <c r="GC171">
        <v>2.70607</v>
      </c>
      <c r="GD171">
        <v>0.165119</v>
      </c>
      <c r="GE171">
        <v>0.170057</v>
      </c>
      <c r="GF171">
        <v>0.08738029999999999</v>
      </c>
      <c r="GG171">
        <v>0.0496382</v>
      </c>
      <c r="GH171">
        <v>26342</v>
      </c>
      <c r="GI171">
        <v>26243.4</v>
      </c>
      <c r="GJ171">
        <v>29341.4</v>
      </c>
      <c r="GK171">
        <v>29254.9</v>
      </c>
      <c r="GL171">
        <v>35461.8</v>
      </c>
      <c r="GM171">
        <v>37029.3</v>
      </c>
      <c r="GN171">
        <v>41302.6</v>
      </c>
      <c r="GO171">
        <v>41751.4</v>
      </c>
      <c r="GP171">
        <v>1.955</v>
      </c>
      <c r="GQ171">
        <v>1.8354</v>
      </c>
      <c r="GR171">
        <v>-0.0340119</v>
      </c>
      <c r="GS171">
        <v>0</v>
      </c>
      <c r="GT171">
        <v>25.5713</v>
      </c>
      <c r="GU171">
        <v>999.9</v>
      </c>
      <c r="GV171">
        <v>38.5</v>
      </c>
      <c r="GW171">
        <v>33.9</v>
      </c>
      <c r="GX171">
        <v>22.7114</v>
      </c>
      <c r="GY171">
        <v>62.6076</v>
      </c>
      <c r="GZ171">
        <v>35.5048</v>
      </c>
      <c r="HA171">
        <v>1</v>
      </c>
      <c r="HB171">
        <v>0.136768</v>
      </c>
      <c r="HC171">
        <v>2.22206</v>
      </c>
      <c r="HD171">
        <v>20.3189</v>
      </c>
      <c r="HE171">
        <v>5.21639</v>
      </c>
      <c r="HF171">
        <v>12.0099</v>
      </c>
      <c r="HG171">
        <v>4.9886</v>
      </c>
      <c r="HH171">
        <v>3.28842</v>
      </c>
      <c r="HI171">
        <v>854.1</v>
      </c>
      <c r="HJ171">
        <v>8501.9</v>
      </c>
      <c r="HK171">
        <v>5139.4</v>
      </c>
      <c r="HL171">
        <v>22.9</v>
      </c>
      <c r="HM171">
        <v>1.86752</v>
      </c>
      <c r="HN171">
        <v>1.86646</v>
      </c>
      <c r="HO171">
        <v>1.866</v>
      </c>
      <c r="HP171">
        <v>1.86586</v>
      </c>
      <c r="HQ171">
        <v>1.86773</v>
      </c>
      <c r="HR171">
        <v>1.87026</v>
      </c>
      <c r="HS171">
        <v>1.8689</v>
      </c>
      <c r="HT171">
        <v>1.87027</v>
      </c>
      <c r="HU171">
        <v>0</v>
      </c>
      <c r="HV171">
        <v>0</v>
      </c>
      <c r="HW171">
        <v>0</v>
      </c>
      <c r="HX171">
        <v>0</v>
      </c>
      <c r="HY171" t="s">
        <v>421</v>
      </c>
      <c r="HZ171" t="s">
        <v>422</v>
      </c>
      <c r="IA171" t="s">
        <v>423</v>
      </c>
      <c r="IB171" t="s">
        <v>423</v>
      </c>
      <c r="IC171" t="s">
        <v>423</v>
      </c>
      <c r="ID171" t="s">
        <v>423</v>
      </c>
      <c r="IE171">
        <v>0</v>
      </c>
      <c r="IF171">
        <v>100</v>
      </c>
      <c r="IG171">
        <v>100</v>
      </c>
      <c r="IH171">
        <v>-2.216</v>
      </c>
      <c r="II171">
        <v>0.0039</v>
      </c>
      <c r="IJ171">
        <v>-0.4995723906072</v>
      </c>
      <c r="IK171">
        <v>-0.002077099775823331</v>
      </c>
      <c r="IL171">
        <v>4.593143279902166E-07</v>
      </c>
      <c r="IM171">
        <v>-1.865383991892071E-10</v>
      </c>
      <c r="IN171">
        <v>-0.07605349583632376</v>
      </c>
      <c r="IO171">
        <v>-0.01129461987421345</v>
      </c>
      <c r="IP171">
        <v>0.00116580895745559</v>
      </c>
      <c r="IQ171">
        <v>-1.679085872906199E-05</v>
      </c>
      <c r="IR171">
        <v>2</v>
      </c>
      <c r="IS171">
        <v>2290</v>
      </c>
      <c r="IT171">
        <v>0</v>
      </c>
      <c r="IU171">
        <v>32</v>
      </c>
      <c r="IV171">
        <v>9.6</v>
      </c>
      <c r="IW171">
        <v>9.199999999999999</v>
      </c>
      <c r="IX171">
        <v>2.11182</v>
      </c>
      <c r="IY171">
        <v>2.21313</v>
      </c>
      <c r="IZ171">
        <v>1.39648</v>
      </c>
      <c r="JA171">
        <v>2.35962</v>
      </c>
      <c r="JB171">
        <v>1.49536</v>
      </c>
      <c r="JC171">
        <v>2.30591</v>
      </c>
      <c r="JD171">
        <v>38.4524</v>
      </c>
      <c r="JE171">
        <v>24.035</v>
      </c>
      <c r="JF171">
        <v>18</v>
      </c>
      <c r="JG171">
        <v>514.693</v>
      </c>
      <c r="JH171">
        <v>423.443</v>
      </c>
      <c r="JI171">
        <v>22.6517</v>
      </c>
      <c r="JJ171">
        <v>29.0978</v>
      </c>
      <c r="JK171">
        <v>30.0001</v>
      </c>
      <c r="JL171">
        <v>29.1</v>
      </c>
      <c r="JM171">
        <v>29.0396</v>
      </c>
      <c r="JN171">
        <v>42.2677</v>
      </c>
      <c r="JO171">
        <v>55.992</v>
      </c>
      <c r="JP171">
        <v>0</v>
      </c>
      <c r="JQ171">
        <v>22.6414</v>
      </c>
      <c r="JR171">
        <v>1028.73</v>
      </c>
      <c r="JS171">
        <v>8.819850000000001</v>
      </c>
      <c r="JT171">
        <v>100.3</v>
      </c>
      <c r="JU171">
        <v>100.211</v>
      </c>
    </row>
    <row r="172" spans="1:281">
      <c r="A172">
        <v>156</v>
      </c>
      <c r="B172">
        <v>1651857596.6</v>
      </c>
      <c r="C172">
        <v>596</v>
      </c>
      <c r="D172" t="s">
        <v>739</v>
      </c>
      <c r="E172" t="s">
        <v>740</v>
      </c>
      <c r="F172">
        <v>2</v>
      </c>
      <c r="G172" t="s">
        <v>413</v>
      </c>
      <c r="H172" t="s">
        <v>414</v>
      </c>
      <c r="I172">
        <v>1651857595.225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1015.257061072517</v>
      </c>
      <c r="AK172">
        <v>968.6835454545454</v>
      </c>
      <c r="AL172">
        <v>3.392160630515645</v>
      </c>
      <c r="AM172">
        <v>66.38384787954378</v>
      </c>
      <c r="AN172">
        <f>(AP172 - AO172 + DI172*1E3/(8.314*(DK172+273.15)) * AR172/DH172 * AQ172) * DH172/(100*CV172) * 1000/(1000 - AP172)</f>
        <v>0</v>
      </c>
      <c r="AO172">
        <v>8.651894580253437</v>
      </c>
      <c r="AP172">
        <v>18.23989294117646</v>
      </c>
      <c r="AQ172">
        <v>-0.005415365781823298</v>
      </c>
      <c r="AR172">
        <v>80.44866334591464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417</v>
      </c>
      <c r="AY172" t="s">
        <v>417</v>
      </c>
      <c r="AZ172">
        <v>0</v>
      </c>
      <c r="BA172">
        <v>0</v>
      </c>
      <c r="BB172">
        <f>1-AZ172/BA172</f>
        <v>0</v>
      </c>
      <c r="BC172">
        <v>0</v>
      </c>
      <c r="BD172" t="s">
        <v>417</v>
      </c>
      <c r="BE172" t="s">
        <v>417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1238</v>
      </c>
      <c r="CA172">
        <v>300</v>
      </c>
      <c r="CB172">
        <v>300</v>
      </c>
      <c r="CC172">
        <v>300</v>
      </c>
      <c r="CD172">
        <v>10440.5</v>
      </c>
      <c r="CE172">
        <v>1411.69</v>
      </c>
      <c r="CF172">
        <v>-0.00735121</v>
      </c>
      <c r="CG172">
        <v>-0.77</v>
      </c>
      <c r="CH172" t="s">
        <v>417</v>
      </c>
      <c r="CI172" t="s">
        <v>417</v>
      </c>
      <c r="CJ172" t="s">
        <v>417</v>
      </c>
      <c r="CK172" t="s">
        <v>417</v>
      </c>
      <c r="CL172" t="s">
        <v>417</v>
      </c>
      <c r="CM172" t="s">
        <v>417</v>
      </c>
      <c r="CN172" t="s">
        <v>417</v>
      </c>
      <c r="CO172" t="s">
        <v>417</v>
      </c>
      <c r="CP172" t="s">
        <v>417</v>
      </c>
      <c r="CQ172" t="s">
        <v>417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418</v>
      </c>
      <c r="CY172">
        <v>2</v>
      </c>
      <c r="CZ172" t="b">
        <v>1</v>
      </c>
      <c r="DA172">
        <v>1651857595.225</v>
      </c>
      <c r="DB172">
        <v>948.1054999999999</v>
      </c>
      <c r="DC172">
        <v>1011.12</v>
      </c>
      <c r="DD172">
        <v>18.242125</v>
      </c>
      <c r="DE172">
        <v>8.6896375</v>
      </c>
      <c r="DF172">
        <v>950.32425</v>
      </c>
      <c r="DG172">
        <v>18.238225</v>
      </c>
      <c r="DH172">
        <v>500.053</v>
      </c>
      <c r="DI172">
        <v>90.06952499999998</v>
      </c>
      <c r="DJ172">
        <v>0.09998535</v>
      </c>
      <c r="DK172">
        <v>25.773875</v>
      </c>
      <c r="DL172">
        <v>25.0136</v>
      </c>
      <c r="DM172">
        <v>999.9</v>
      </c>
      <c r="DN172">
        <v>0</v>
      </c>
      <c r="DO172">
        <v>0</v>
      </c>
      <c r="DP172">
        <v>9998.450000000001</v>
      </c>
      <c r="DQ172">
        <v>0</v>
      </c>
      <c r="DR172">
        <v>3.20383</v>
      </c>
      <c r="DS172">
        <v>-63.0152</v>
      </c>
      <c r="DT172">
        <v>965.72225</v>
      </c>
      <c r="DU172">
        <v>1019.985</v>
      </c>
      <c r="DV172">
        <v>9.552479999999999</v>
      </c>
      <c r="DW172">
        <v>1011.12</v>
      </c>
      <c r="DX172">
        <v>8.6896375</v>
      </c>
      <c r="DY172">
        <v>1.64306</v>
      </c>
      <c r="DZ172">
        <v>0.78267175</v>
      </c>
      <c r="EA172">
        <v>14.36865</v>
      </c>
      <c r="EB172">
        <v>3.396835</v>
      </c>
      <c r="EC172">
        <v>1499.965</v>
      </c>
      <c r="ED172">
        <v>0.97300575</v>
      </c>
      <c r="EE172">
        <v>0.02699445</v>
      </c>
      <c r="EF172">
        <v>0</v>
      </c>
      <c r="EG172">
        <v>1000.11675</v>
      </c>
      <c r="EH172">
        <v>5.00097</v>
      </c>
      <c r="EI172">
        <v>14855.2</v>
      </c>
      <c r="EJ172">
        <v>12491.325</v>
      </c>
      <c r="EK172">
        <v>37.5</v>
      </c>
      <c r="EL172">
        <v>39</v>
      </c>
      <c r="EM172">
        <v>37.875</v>
      </c>
      <c r="EN172">
        <v>38.75</v>
      </c>
      <c r="EO172">
        <v>38.375</v>
      </c>
      <c r="EP172">
        <v>1454.605</v>
      </c>
      <c r="EQ172">
        <v>40.36</v>
      </c>
      <c r="ER172">
        <v>0</v>
      </c>
      <c r="ES172">
        <v>595.2000000476837</v>
      </c>
      <c r="ET172">
        <v>0</v>
      </c>
      <c r="EU172">
        <v>1003.95828</v>
      </c>
      <c r="EV172">
        <v>-37.89815389619861</v>
      </c>
      <c r="EW172">
        <v>-551.7384624210157</v>
      </c>
      <c r="EX172">
        <v>14912.024</v>
      </c>
      <c r="EY172">
        <v>15</v>
      </c>
      <c r="EZ172">
        <v>1651857041.1</v>
      </c>
      <c r="FA172" t="s">
        <v>419</v>
      </c>
      <c r="FB172">
        <v>1651857019.6</v>
      </c>
      <c r="FC172">
        <v>1651857041.1</v>
      </c>
      <c r="FD172">
        <v>1</v>
      </c>
      <c r="FE172">
        <v>0.545</v>
      </c>
      <c r="FF172">
        <v>-0.002</v>
      </c>
      <c r="FG172">
        <v>-1.271</v>
      </c>
      <c r="FH172">
        <v>-0.09</v>
      </c>
      <c r="FI172">
        <v>400</v>
      </c>
      <c r="FJ172">
        <v>10</v>
      </c>
      <c r="FK172">
        <v>0.1</v>
      </c>
      <c r="FL172">
        <v>0.02</v>
      </c>
      <c r="FM172">
        <v>-62.94619756097561</v>
      </c>
      <c r="FN172">
        <v>-0.1025979094076861</v>
      </c>
      <c r="FO172">
        <v>0.04589126325164419</v>
      </c>
      <c r="FP172">
        <v>-1</v>
      </c>
      <c r="FQ172">
        <v>9.644196585365854</v>
      </c>
      <c r="FR172">
        <v>-0.4084110104529572</v>
      </c>
      <c r="FS172">
        <v>0.04162412402123791</v>
      </c>
      <c r="FT172">
        <v>-1</v>
      </c>
      <c r="FU172">
        <v>0</v>
      </c>
      <c r="FV172">
        <v>0</v>
      </c>
      <c r="FW172">
        <v>0</v>
      </c>
      <c r="FX172">
        <v>-1</v>
      </c>
      <c r="FY172">
        <v>0</v>
      </c>
      <c r="FZ172">
        <v>0</v>
      </c>
      <c r="GA172" t="s">
        <v>432</v>
      </c>
      <c r="GB172">
        <v>2.97987</v>
      </c>
      <c r="GC172">
        <v>2.70612</v>
      </c>
      <c r="GD172">
        <v>0.165872</v>
      </c>
      <c r="GE172">
        <v>0.170784</v>
      </c>
      <c r="GF172">
        <v>0.08736910000000001</v>
      </c>
      <c r="GG172">
        <v>0.0498077</v>
      </c>
      <c r="GH172">
        <v>26318.5</v>
      </c>
      <c r="GI172">
        <v>26220.3</v>
      </c>
      <c r="GJ172">
        <v>29341.8</v>
      </c>
      <c r="GK172">
        <v>29254.8</v>
      </c>
      <c r="GL172">
        <v>35462.8</v>
      </c>
      <c r="GM172">
        <v>37022.5</v>
      </c>
      <c r="GN172">
        <v>41303.2</v>
      </c>
      <c r="GO172">
        <v>41751.1</v>
      </c>
      <c r="GP172">
        <v>1.95545</v>
      </c>
      <c r="GQ172">
        <v>1.8355</v>
      </c>
      <c r="GR172">
        <v>-0.0339672</v>
      </c>
      <c r="GS172">
        <v>0</v>
      </c>
      <c r="GT172">
        <v>25.5719</v>
      </c>
      <c r="GU172">
        <v>999.9</v>
      </c>
      <c r="GV172">
        <v>38.5</v>
      </c>
      <c r="GW172">
        <v>33.9</v>
      </c>
      <c r="GX172">
        <v>22.7118</v>
      </c>
      <c r="GY172">
        <v>62.5576</v>
      </c>
      <c r="GZ172">
        <v>35.4928</v>
      </c>
      <c r="HA172">
        <v>1</v>
      </c>
      <c r="HB172">
        <v>0.136822</v>
      </c>
      <c r="HC172">
        <v>2.24707</v>
      </c>
      <c r="HD172">
        <v>20.3187</v>
      </c>
      <c r="HE172">
        <v>5.21669</v>
      </c>
      <c r="HF172">
        <v>12.0099</v>
      </c>
      <c r="HG172">
        <v>4.9886</v>
      </c>
      <c r="HH172">
        <v>3.2885</v>
      </c>
      <c r="HI172">
        <v>854.1</v>
      </c>
      <c r="HJ172">
        <v>8501.9</v>
      </c>
      <c r="HK172">
        <v>5139.4</v>
      </c>
      <c r="HL172">
        <v>22.9</v>
      </c>
      <c r="HM172">
        <v>1.86752</v>
      </c>
      <c r="HN172">
        <v>1.86646</v>
      </c>
      <c r="HO172">
        <v>1.866</v>
      </c>
      <c r="HP172">
        <v>1.86586</v>
      </c>
      <c r="HQ172">
        <v>1.86771</v>
      </c>
      <c r="HR172">
        <v>1.87026</v>
      </c>
      <c r="HS172">
        <v>1.8689</v>
      </c>
      <c r="HT172">
        <v>1.87027</v>
      </c>
      <c r="HU172">
        <v>0</v>
      </c>
      <c r="HV172">
        <v>0</v>
      </c>
      <c r="HW172">
        <v>0</v>
      </c>
      <c r="HX172">
        <v>0</v>
      </c>
      <c r="HY172" t="s">
        <v>421</v>
      </c>
      <c r="HZ172" t="s">
        <v>422</v>
      </c>
      <c r="IA172" t="s">
        <v>423</v>
      </c>
      <c r="IB172" t="s">
        <v>423</v>
      </c>
      <c r="IC172" t="s">
        <v>423</v>
      </c>
      <c r="ID172" t="s">
        <v>423</v>
      </c>
      <c r="IE172">
        <v>0</v>
      </c>
      <c r="IF172">
        <v>100</v>
      </c>
      <c r="IG172">
        <v>100</v>
      </c>
      <c r="IH172">
        <v>-2.227</v>
      </c>
      <c r="II172">
        <v>0.0039</v>
      </c>
      <c r="IJ172">
        <v>-0.4995723906072</v>
      </c>
      <c r="IK172">
        <v>-0.002077099775823331</v>
      </c>
      <c r="IL172">
        <v>4.593143279902166E-07</v>
      </c>
      <c r="IM172">
        <v>-1.865383991892071E-10</v>
      </c>
      <c r="IN172">
        <v>-0.07605349583632376</v>
      </c>
      <c r="IO172">
        <v>-0.01129461987421345</v>
      </c>
      <c r="IP172">
        <v>0.00116580895745559</v>
      </c>
      <c r="IQ172">
        <v>-1.679085872906199E-05</v>
      </c>
      <c r="IR172">
        <v>2</v>
      </c>
      <c r="IS172">
        <v>2290</v>
      </c>
      <c r="IT172">
        <v>0</v>
      </c>
      <c r="IU172">
        <v>32</v>
      </c>
      <c r="IV172">
        <v>9.6</v>
      </c>
      <c r="IW172">
        <v>9.300000000000001</v>
      </c>
      <c r="IX172">
        <v>2.1228</v>
      </c>
      <c r="IY172">
        <v>2.20581</v>
      </c>
      <c r="IZ172">
        <v>1.39648</v>
      </c>
      <c r="JA172">
        <v>2.35962</v>
      </c>
      <c r="JB172">
        <v>1.49536</v>
      </c>
      <c r="JC172">
        <v>2.36328</v>
      </c>
      <c r="JD172">
        <v>38.4524</v>
      </c>
      <c r="JE172">
        <v>24.0437</v>
      </c>
      <c r="JF172">
        <v>18</v>
      </c>
      <c r="JG172">
        <v>514.99</v>
      </c>
      <c r="JH172">
        <v>423.497</v>
      </c>
      <c r="JI172">
        <v>22.6494</v>
      </c>
      <c r="JJ172">
        <v>29.0965</v>
      </c>
      <c r="JK172">
        <v>30.0001</v>
      </c>
      <c r="JL172">
        <v>29.1</v>
      </c>
      <c r="JM172">
        <v>29.039</v>
      </c>
      <c r="JN172">
        <v>42.4907</v>
      </c>
      <c r="JO172">
        <v>55.992</v>
      </c>
      <c r="JP172">
        <v>0</v>
      </c>
      <c r="JQ172">
        <v>22.6414</v>
      </c>
      <c r="JR172">
        <v>1035.43</v>
      </c>
      <c r="JS172">
        <v>8.83175</v>
      </c>
      <c r="JT172">
        <v>100.301</v>
      </c>
      <c r="JU172">
        <v>100.21</v>
      </c>
    </row>
    <row r="173" spans="1:281">
      <c r="A173">
        <v>157</v>
      </c>
      <c r="B173">
        <v>1651857598.6</v>
      </c>
      <c r="C173">
        <v>598</v>
      </c>
      <c r="D173" t="s">
        <v>741</v>
      </c>
      <c r="E173" t="s">
        <v>742</v>
      </c>
      <c r="F173">
        <v>2</v>
      </c>
      <c r="G173" t="s">
        <v>413</v>
      </c>
      <c r="H173" t="s">
        <v>414</v>
      </c>
      <c r="I173">
        <v>1651857597.6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1022.044082215183</v>
      </c>
      <c r="AK173">
        <v>975.4845333333329</v>
      </c>
      <c r="AL173">
        <v>3.394603819311508</v>
      </c>
      <c r="AM173">
        <v>66.38384787954378</v>
      </c>
      <c r="AN173">
        <f>(AP173 - AO173 + DI173*1E3/(8.314*(DK173+273.15)) * AR173/DH173 * AQ173) * DH173/(100*CV173) * 1000/(1000 - AP173)</f>
        <v>0</v>
      </c>
      <c r="AO173">
        <v>8.672483366007052</v>
      </c>
      <c r="AP173">
        <v>18.241935</v>
      </c>
      <c r="AQ173">
        <v>-0.00506821886750836</v>
      </c>
      <c r="AR173">
        <v>80.44866334591464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417</v>
      </c>
      <c r="AY173" t="s">
        <v>417</v>
      </c>
      <c r="AZ173">
        <v>0</v>
      </c>
      <c r="BA173">
        <v>0</v>
      </c>
      <c r="BB173">
        <f>1-AZ173/BA173</f>
        <v>0</v>
      </c>
      <c r="BC173">
        <v>0</v>
      </c>
      <c r="BD173" t="s">
        <v>417</v>
      </c>
      <c r="BE173" t="s">
        <v>417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1238</v>
      </c>
      <c r="CA173">
        <v>300</v>
      </c>
      <c r="CB173">
        <v>300</v>
      </c>
      <c r="CC173">
        <v>300</v>
      </c>
      <c r="CD173">
        <v>10440.5</v>
      </c>
      <c r="CE173">
        <v>1411.69</v>
      </c>
      <c r="CF173">
        <v>-0.00735121</v>
      </c>
      <c r="CG173">
        <v>-0.77</v>
      </c>
      <c r="CH173" t="s">
        <v>417</v>
      </c>
      <c r="CI173" t="s">
        <v>417</v>
      </c>
      <c r="CJ173" t="s">
        <v>417</v>
      </c>
      <c r="CK173" t="s">
        <v>417</v>
      </c>
      <c r="CL173" t="s">
        <v>417</v>
      </c>
      <c r="CM173" t="s">
        <v>417</v>
      </c>
      <c r="CN173" t="s">
        <v>417</v>
      </c>
      <c r="CO173" t="s">
        <v>417</v>
      </c>
      <c r="CP173" t="s">
        <v>417</v>
      </c>
      <c r="CQ173" t="s">
        <v>417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418</v>
      </c>
      <c r="CY173">
        <v>2</v>
      </c>
      <c r="CZ173" t="b">
        <v>1</v>
      </c>
      <c r="DA173">
        <v>1651857597.6</v>
      </c>
      <c r="DB173">
        <v>956.0219999999999</v>
      </c>
      <c r="DC173">
        <v>1019.056666666667</v>
      </c>
      <c r="DD173">
        <v>18.2421</v>
      </c>
      <c r="DE173">
        <v>8.735846666666667</v>
      </c>
      <c r="DF173">
        <v>958.2543333333333</v>
      </c>
      <c r="DG173">
        <v>18.23823333333334</v>
      </c>
      <c r="DH173">
        <v>500.036</v>
      </c>
      <c r="DI173">
        <v>90.06983333333334</v>
      </c>
      <c r="DJ173">
        <v>0.09989389999999999</v>
      </c>
      <c r="DK173">
        <v>25.77666666666667</v>
      </c>
      <c r="DL173">
        <v>25.01543333333333</v>
      </c>
      <c r="DM173">
        <v>999.9</v>
      </c>
      <c r="DN173">
        <v>0</v>
      </c>
      <c r="DO173">
        <v>0</v>
      </c>
      <c r="DP173">
        <v>10013.76666666667</v>
      </c>
      <c r="DQ173">
        <v>0</v>
      </c>
      <c r="DR173">
        <v>3.20383</v>
      </c>
      <c r="DS173">
        <v>-63.037</v>
      </c>
      <c r="DT173">
        <v>973.7860000000001</v>
      </c>
      <c r="DU173">
        <v>1028.04</v>
      </c>
      <c r="DV173">
        <v>9.506270000000001</v>
      </c>
      <c r="DW173">
        <v>1019.056666666667</v>
      </c>
      <c r="DX173">
        <v>8.735846666666667</v>
      </c>
      <c r="DY173">
        <v>1.643063333333333</v>
      </c>
      <c r="DZ173">
        <v>0.786836</v>
      </c>
      <c r="EA173">
        <v>14.3687</v>
      </c>
      <c r="EB173">
        <v>3.472003333333333</v>
      </c>
      <c r="EC173">
        <v>1499.933333333333</v>
      </c>
      <c r="ED173">
        <v>0.9730053333333334</v>
      </c>
      <c r="EE173">
        <v>0.0269949</v>
      </c>
      <c r="EF173">
        <v>0</v>
      </c>
      <c r="EG173">
        <v>998.918</v>
      </c>
      <c r="EH173">
        <v>5.00097</v>
      </c>
      <c r="EI173">
        <v>14834.76666666666</v>
      </c>
      <c r="EJ173">
        <v>12491.06666666667</v>
      </c>
      <c r="EK173">
        <v>37.5</v>
      </c>
      <c r="EL173">
        <v>39</v>
      </c>
      <c r="EM173">
        <v>37.875</v>
      </c>
      <c r="EN173">
        <v>38.75</v>
      </c>
      <c r="EO173">
        <v>38.375</v>
      </c>
      <c r="EP173">
        <v>1454.573333333333</v>
      </c>
      <c r="EQ173">
        <v>40.36</v>
      </c>
      <c r="ER173">
        <v>0</v>
      </c>
      <c r="ES173">
        <v>597.6000001430511</v>
      </c>
      <c r="ET173">
        <v>0</v>
      </c>
      <c r="EU173">
        <v>1002.49476</v>
      </c>
      <c r="EV173">
        <v>-36.95253844991893</v>
      </c>
      <c r="EW173">
        <v>-546.5307693175746</v>
      </c>
      <c r="EX173">
        <v>14889.892</v>
      </c>
      <c r="EY173">
        <v>15</v>
      </c>
      <c r="EZ173">
        <v>1651857041.1</v>
      </c>
      <c r="FA173" t="s">
        <v>419</v>
      </c>
      <c r="FB173">
        <v>1651857019.6</v>
      </c>
      <c r="FC173">
        <v>1651857041.1</v>
      </c>
      <c r="FD173">
        <v>1</v>
      </c>
      <c r="FE173">
        <v>0.545</v>
      </c>
      <c r="FF173">
        <v>-0.002</v>
      </c>
      <c r="FG173">
        <v>-1.271</v>
      </c>
      <c r="FH173">
        <v>-0.09</v>
      </c>
      <c r="FI173">
        <v>400</v>
      </c>
      <c r="FJ173">
        <v>10</v>
      </c>
      <c r="FK173">
        <v>0.1</v>
      </c>
      <c r="FL173">
        <v>0.02</v>
      </c>
      <c r="FM173">
        <v>-62.95898999999999</v>
      </c>
      <c r="FN173">
        <v>-0.2829410881799105</v>
      </c>
      <c r="FO173">
        <v>0.05623748216270039</v>
      </c>
      <c r="FP173">
        <v>-1</v>
      </c>
      <c r="FQ173">
        <v>9.620666</v>
      </c>
      <c r="FR173">
        <v>-0.5405752345216085</v>
      </c>
      <c r="FS173">
        <v>0.05425043740837486</v>
      </c>
      <c r="FT173">
        <v>-1</v>
      </c>
      <c r="FU173">
        <v>0</v>
      </c>
      <c r="FV173">
        <v>0</v>
      </c>
      <c r="FW173">
        <v>0</v>
      </c>
      <c r="FX173">
        <v>-1</v>
      </c>
      <c r="FY173">
        <v>0</v>
      </c>
      <c r="FZ173">
        <v>0</v>
      </c>
      <c r="GA173" t="s">
        <v>432</v>
      </c>
      <c r="GB173">
        <v>2.97994</v>
      </c>
      <c r="GC173">
        <v>2.70619</v>
      </c>
      <c r="GD173">
        <v>0.166625</v>
      </c>
      <c r="GE173">
        <v>0.171505</v>
      </c>
      <c r="GF173">
        <v>0.0873834</v>
      </c>
      <c r="GG173">
        <v>0.0499564</v>
      </c>
      <c r="GH173">
        <v>26295</v>
      </c>
      <c r="GI173">
        <v>26197.8</v>
      </c>
      <c r="GJ173">
        <v>29342.1</v>
      </c>
      <c r="GK173">
        <v>29255.1</v>
      </c>
      <c r="GL173">
        <v>35462.5</v>
      </c>
      <c r="GM173">
        <v>37017</v>
      </c>
      <c r="GN173">
        <v>41303.5</v>
      </c>
      <c r="GO173">
        <v>41751.5</v>
      </c>
      <c r="GP173">
        <v>1.95535</v>
      </c>
      <c r="GQ173">
        <v>1.83565</v>
      </c>
      <c r="GR173">
        <v>-0.0339746</v>
      </c>
      <c r="GS173">
        <v>0</v>
      </c>
      <c r="GT173">
        <v>25.573</v>
      </c>
      <c r="GU173">
        <v>999.9</v>
      </c>
      <c r="GV173">
        <v>38.5</v>
      </c>
      <c r="GW173">
        <v>33.9</v>
      </c>
      <c r="GX173">
        <v>22.7102</v>
      </c>
      <c r="GY173">
        <v>62.3276</v>
      </c>
      <c r="GZ173">
        <v>35.3005</v>
      </c>
      <c r="HA173">
        <v>1</v>
      </c>
      <c r="HB173">
        <v>0.136799</v>
      </c>
      <c r="HC173">
        <v>2.25486</v>
      </c>
      <c r="HD173">
        <v>20.3188</v>
      </c>
      <c r="HE173">
        <v>5.21639</v>
      </c>
      <c r="HF173">
        <v>12.0099</v>
      </c>
      <c r="HG173">
        <v>4.9885</v>
      </c>
      <c r="HH173">
        <v>3.28858</v>
      </c>
      <c r="HI173">
        <v>854.1</v>
      </c>
      <c r="HJ173">
        <v>8501.9</v>
      </c>
      <c r="HK173">
        <v>5139.4</v>
      </c>
      <c r="HL173">
        <v>22.9</v>
      </c>
      <c r="HM173">
        <v>1.86751</v>
      </c>
      <c r="HN173">
        <v>1.86646</v>
      </c>
      <c r="HO173">
        <v>1.866</v>
      </c>
      <c r="HP173">
        <v>1.86586</v>
      </c>
      <c r="HQ173">
        <v>1.86774</v>
      </c>
      <c r="HR173">
        <v>1.87026</v>
      </c>
      <c r="HS173">
        <v>1.8689</v>
      </c>
      <c r="HT173">
        <v>1.87027</v>
      </c>
      <c r="HU173">
        <v>0</v>
      </c>
      <c r="HV173">
        <v>0</v>
      </c>
      <c r="HW173">
        <v>0</v>
      </c>
      <c r="HX173">
        <v>0</v>
      </c>
      <c r="HY173" t="s">
        <v>421</v>
      </c>
      <c r="HZ173" t="s">
        <v>422</v>
      </c>
      <c r="IA173" t="s">
        <v>423</v>
      </c>
      <c r="IB173" t="s">
        <v>423</v>
      </c>
      <c r="IC173" t="s">
        <v>423</v>
      </c>
      <c r="ID173" t="s">
        <v>423</v>
      </c>
      <c r="IE173">
        <v>0</v>
      </c>
      <c r="IF173">
        <v>100</v>
      </c>
      <c r="IG173">
        <v>100</v>
      </c>
      <c r="IH173">
        <v>-2.239</v>
      </c>
      <c r="II173">
        <v>0.0039</v>
      </c>
      <c r="IJ173">
        <v>-0.4995723906072</v>
      </c>
      <c r="IK173">
        <v>-0.002077099775823331</v>
      </c>
      <c r="IL173">
        <v>4.593143279902166E-07</v>
      </c>
      <c r="IM173">
        <v>-1.865383991892071E-10</v>
      </c>
      <c r="IN173">
        <v>-0.07605349583632376</v>
      </c>
      <c r="IO173">
        <v>-0.01129461987421345</v>
      </c>
      <c r="IP173">
        <v>0.00116580895745559</v>
      </c>
      <c r="IQ173">
        <v>-1.679085872906199E-05</v>
      </c>
      <c r="IR173">
        <v>2</v>
      </c>
      <c r="IS173">
        <v>2290</v>
      </c>
      <c r="IT173">
        <v>0</v>
      </c>
      <c r="IU173">
        <v>32</v>
      </c>
      <c r="IV173">
        <v>9.699999999999999</v>
      </c>
      <c r="IW173">
        <v>9.300000000000001</v>
      </c>
      <c r="IX173">
        <v>2.13379</v>
      </c>
      <c r="IY173">
        <v>2.21313</v>
      </c>
      <c r="IZ173">
        <v>1.39648</v>
      </c>
      <c r="JA173">
        <v>2.35962</v>
      </c>
      <c r="JB173">
        <v>1.49536</v>
      </c>
      <c r="JC173">
        <v>2.28394</v>
      </c>
      <c r="JD173">
        <v>38.4524</v>
      </c>
      <c r="JE173">
        <v>24.0437</v>
      </c>
      <c r="JF173">
        <v>18</v>
      </c>
      <c r="JG173">
        <v>514.924</v>
      </c>
      <c r="JH173">
        <v>423.587</v>
      </c>
      <c r="JI173">
        <v>22.6454</v>
      </c>
      <c r="JJ173">
        <v>29.096</v>
      </c>
      <c r="JK173">
        <v>30.0001</v>
      </c>
      <c r="JL173">
        <v>29.1</v>
      </c>
      <c r="JM173">
        <v>29.039</v>
      </c>
      <c r="JN173">
        <v>42.7222</v>
      </c>
      <c r="JO173">
        <v>55.992</v>
      </c>
      <c r="JP173">
        <v>0</v>
      </c>
      <c r="JQ173">
        <v>22.6273</v>
      </c>
      <c r="JR173">
        <v>1042.48</v>
      </c>
      <c r="JS173">
        <v>8.84714</v>
      </c>
      <c r="JT173">
        <v>100.302</v>
      </c>
      <c r="JU173">
        <v>100.211</v>
      </c>
    </row>
    <row r="174" spans="1:281">
      <c r="A174">
        <v>158</v>
      </c>
      <c r="B174">
        <v>1651857600.6</v>
      </c>
      <c r="C174">
        <v>600</v>
      </c>
      <c r="D174" t="s">
        <v>743</v>
      </c>
      <c r="E174" t="s">
        <v>744</v>
      </c>
      <c r="F174">
        <v>2</v>
      </c>
      <c r="G174" t="s">
        <v>413</v>
      </c>
      <c r="H174" t="s">
        <v>414</v>
      </c>
      <c r="I174">
        <v>1651857599.225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1028.82547679667</v>
      </c>
      <c r="AK174">
        <v>982.2908484848487</v>
      </c>
      <c r="AL174">
        <v>3.402586931400304</v>
      </c>
      <c r="AM174">
        <v>66.38384787954378</v>
      </c>
      <c r="AN174">
        <f>(AP174 - AO174 + DI174*1E3/(8.314*(DK174+273.15)) * AR174/DH174 * AQ174) * DH174/(100*CV174) * 1000/(1000 - AP174)</f>
        <v>0</v>
      </c>
      <c r="AO174">
        <v>8.70773718076714</v>
      </c>
      <c r="AP174">
        <v>18.24867764705882</v>
      </c>
      <c r="AQ174">
        <v>-0.002531378040412251</v>
      </c>
      <c r="AR174">
        <v>80.44866334591464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417</v>
      </c>
      <c r="AY174" t="s">
        <v>417</v>
      </c>
      <c r="AZ174">
        <v>0</v>
      </c>
      <c r="BA174">
        <v>0</v>
      </c>
      <c r="BB174">
        <f>1-AZ174/BA174</f>
        <v>0</v>
      </c>
      <c r="BC174">
        <v>0</v>
      </c>
      <c r="BD174" t="s">
        <v>417</v>
      </c>
      <c r="BE174" t="s">
        <v>417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1238</v>
      </c>
      <c r="CA174">
        <v>300</v>
      </c>
      <c r="CB174">
        <v>300</v>
      </c>
      <c r="CC174">
        <v>300</v>
      </c>
      <c r="CD174">
        <v>10440.5</v>
      </c>
      <c r="CE174">
        <v>1411.69</v>
      </c>
      <c r="CF174">
        <v>-0.00735121</v>
      </c>
      <c r="CG174">
        <v>-0.77</v>
      </c>
      <c r="CH174" t="s">
        <v>417</v>
      </c>
      <c r="CI174" t="s">
        <v>417</v>
      </c>
      <c r="CJ174" t="s">
        <v>417</v>
      </c>
      <c r="CK174" t="s">
        <v>417</v>
      </c>
      <c r="CL174" t="s">
        <v>417</v>
      </c>
      <c r="CM174" t="s">
        <v>417</v>
      </c>
      <c r="CN174" t="s">
        <v>417</v>
      </c>
      <c r="CO174" t="s">
        <v>417</v>
      </c>
      <c r="CP174" t="s">
        <v>417</v>
      </c>
      <c r="CQ174" t="s">
        <v>417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418</v>
      </c>
      <c r="CY174">
        <v>2</v>
      </c>
      <c r="CZ174" t="b">
        <v>1</v>
      </c>
      <c r="DA174">
        <v>1651857599.225</v>
      </c>
      <c r="DB174">
        <v>961.44475</v>
      </c>
      <c r="DC174">
        <v>1024.49</v>
      </c>
      <c r="DD174">
        <v>18.245725</v>
      </c>
      <c r="DE174">
        <v>8.752297499999999</v>
      </c>
      <c r="DF174">
        <v>963.686</v>
      </c>
      <c r="DG174">
        <v>18.2418</v>
      </c>
      <c r="DH174">
        <v>500.0395</v>
      </c>
      <c r="DI174">
        <v>90.07010000000001</v>
      </c>
      <c r="DJ174">
        <v>0.099976475</v>
      </c>
      <c r="DK174">
        <v>25.779175</v>
      </c>
      <c r="DL174">
        <v>25.01775</v>
      </c>
      <c r="DM174">
        <v>999.9</v>
      </c>
      <c r="DN174">
        <v>0</v>
      </c>
      <c r="DO174">
        <v>0</v>
      </c>
      <c r="DP174">
        <v>10004.525</v>
      </c>
      <c r="DQ174">
        <v>0</v>
      </c>
      <c r="DR174">
        <v>3.20383</v>
      </c>
      <c r="DS174">
        <v>-63.0455</v>
      </c>
      <c r="DT174">
        <v>979.3127500000001</v>
      </c>
      <c r="DU174">
        <v>1033.535</v>
      </c>
      <c r="DV174">
        <v>9.493432499999999</v>
      </c>
      <c r="DW174">
        <v>1024.49</v>
      </c>
      <c r="DX174">
        <v>8.752297499999999</v>
      </c>
      <c r="DY174">
        <v>1.643395</v>
      </c>
      <c r="DZ174">
        <v>0.7883202500000001</v>
      </c>
      <c r="EA174">
        <v>14.371825</v>
      </c>
      <c r="EB174">
        <v>3.498705</v>
      </c>
      <c r="EC174">
        <v>1500.04</v>
      </c>
      <c r="ED174">
        <v>0.973007</v>
      </c>
      <c r="EE174">
        <v>0.0269931</v>
      </c>
      <c r="EF174">
        <v>0</v>
      </c>
      <c r="EG174">
        <v>997.64725</v>
      </c>
      <c r="EH174">
        <v>5.00097</v>
      </c>
      <c r="EI174">
        <v>14819.95</v>
      </c>
      <c r="EJ174">
        <v>12491.9</v>
      </c>
      <c r="EK174">
        <v>37.5</v>
      </c>
      <c r="EL174">
        <v>39</v>
      </c>
      <c r="EM174">
        <v>37.875</v>
      </c>
      <c r="EN174">
        <v>38.75</v>
      </c>
      <c r="EO174">
        <v>38.375</v>
      </c>
      <c r="EP174">
        <v>1454.68</v>
      </c>
      <c r="EQ174">
        <v>40.36</v>
      </c>
      <c r="ER174">
        <v>0</v>
      </c>
      <c r="ES174">
        <v>599.4000000953674</v>
      </c>
      <c r="ET174">
        <v>0</v>
      </c>
      <c r="EU174">
        <v>1001.558653846154</v>
      </c>
      <c r="EV174">
        <v>-37.30150421829628</v>
      </c>
      <c r="EW174">
        <v>-546.7692300823935</v>
      </c>
      <c r="EX174">
        <v>14876.56153846154</v>
      </c>
      <c r="EY174">
        <v>15</v>
      </c>
      <c r="EZ174">
        <v>1651857041.1</v>
      </c>
      <c r="FA174" t="s">
        <v>419</v>
      </c>
      <c r="FB174">
        <v>1651857019.6</v>
      </c>
      <c r="FC174">
        <v>1651857041.1</v>
      </c>
      <c r="FD174">
        <v>1</v>
      </c>
      <c r="FE174">
        <v>0.545</v>
      </c>
      <c r="FF174">
        <v>-0.002</v>
      </c>
      <c r="FG174">
        <v>-1.271</v>
      </c>
      <c r="FH174">
        <v>-0.09</v>
      </c>
      <c r="FI174">
        <v>400</v>
      </c>
      <c r="FJ174">
        <v>10</v>
      </c>
      <c r="FK174">
        <v>0.1</v>
      </c>
      <c r="FL174">
        <v>0.02</v>
      </c>
      <c r="FM174">
        <v>-62.96600731707317</v>
      </c>
      <c r="FN174">
        <v>-0.3818843205575381</v>
      </c>
      <c r="FO174">
        <v>0.06124296829818662</v>
      </c>
      <c r="FP174">
        <v>-1</v>
      </c>
      <c r="FQ174">
        <v>9.608122439024392</v>
      </c>
      <c r="FR174">
        <v>-0.594128571428565</v>
      </c>
      <c r="FS174">
        <v>0.0607065198322941</v>
      </c>
      <c r="FT174">
        <v>-1</v>
      </c>
      <c r="FU174">
        <v>0</v>
      </c>
      <c r="FV174">
        <v>0</v>
      </c>
      <c r="FW174">
        <v>0</v>
      </c>
      <c r="FX174">
        <v>-1</v>
      </c>
      <c r="FY174">
        <v>0</v>
      </c>
      <c r="FZ174">
        <v>0</v>
      </c>
      <c r="GA174" t="s">
        <v>432</v>
      </c>
      <c r="GB174">
        <v>2.97993</v>
      </c>
      <c r="GC174">
        <v>2.70619</v>
      </c>
      <c r="GD174">
        <v>0.167378</v>
      </c>
      <c r="GE174">
        <v>0.172226</v>
      </c>
      <c r="GF174">
        <v>0.08738899999999999</v>
      </c>
      <c r="GG174">
        <v>0.0499905</v>
      </c>
      <c r="GH174">
        <v>26271.2</v>
      </c>
      <c r="GI174">
        <v>26175</v>
      </c>
      <c r="GJ174">
        <v>29342</v>
      </c>
      <c r="GK174">
        <v>29255.1</v>
      </c>
      <c r="GL174">
        <v>35462.2</v>
      </c>
      <c r="GM174">
        <v>37016</v>
      </c>
      <c r="GN174">
        <v>41303.4</v>
      </c>
      <c r="GO174">
        <v>41751.8</v>
      </c>
      <c r="GP174">
        <v>1.95518</v>
      </c>
      <c r="GQ174">
        <v>1.83598</v>
      </c>
      <c r="GR174">
        <v>-0.0337586</v>
      </c>
      <c r="GS174">
        <v>0</v>
      </c>
      <c r="GT174">
        <v>25.5735</v>
      </c>
      <c r="GU174">
        <v>999.9</v>
      </c>
      <c r="GV174">
        <v>38.5</v>
      </c>
      <c r="GW174">
        <v>33.9</v>
      </c>
      <c r="GX174">
        <v>22.7099</v>
      </c>
      <c r="GY174">
        <v>62.5776</v>
      </c>
      <c r="GZ174">
        <v>35.625</v>
      </c>
      <c r="HA174">
        <v>1</v>
      </c>
      <c r="HB174">
        <v>0.136852</v>
      </c>
      <c r="HC174">
        <v>2.27959</v>
      </c>
      <c r="HD174">
        <v>20.3187</v>
      </c>
      <c r="HE174">
        <v>5.21684</v>
      </c>
      <c r="HF174">
        <v>12.0099</v>
      </c>
      <c r="HG174">
        <v>4.98855</v>
      </c>
      <c r="HH174">
        <v>3.28855</v>
      </c>
      <c r="HI174">
        <v>854.1</v>
      </c>
      <c r="HJ174">
        <v>8501.9</v>
      </c>
      <c r="HK174">
        <v>5139.4</v>
      </c>
      <c r="HL174">
        <v>22.9</v>
      </c>
      <c r="HM174">
        <v>1.8675</v>
      </c>
      <c r="HN174">
        <v>1.86647</v>
      </c>
      <c r="HO174">
        <v>1.866</v>
      </c>
      <c r="HP174">
        <v>1.86585</v>
      </c>
      <c r="HQ174">
        <v>1.86776</v>
      </c>
      <c r="HR174">
        <v>1.87024</v>
      </c>
      <c r="HS174">
        <v>1.8689</v>
      </c>
      <c r="HT174">
        <v>1.87025</v>
      </c>
      <c r="HU174">
        <v>0</v>
      </c>
      <c r="HV174">
        <v>0</v>
      </c>
      <c r="HW174">
        <v>0</v>
      </c>
      <c r="HX174">
        <v>0</v>
      </c>
      <c r="HY174" t="s">
        <v>421</v>
      </c>
      <c r="HZ174" t="s">
        <v>422</v>
      </c>
      <c r="IA174" t="s">
        <v>423</v>
      </c>
      <c r="IB174" t="s">
        <v>423</v>
      </c>
      <c r="IC174" t="s">
        <v>423</v>
      </c>
      <c r="ID174" t="s">
        <v>423</v>
      </c>
      <c r="IE174">
        <v>0</v>
      </c>
      <c r="IF174">
        <v>100</v>
      </c>
      <c r="IG174">
        <v>100</v>
      </c>
      <c r="IH174">
        <v>-2.249</v>
      </c>
      <c r="II174">
        <v>0.0039</v>
      </c>
      <c r="IJ174">
        <v>-0.4995723906072</v>
      </c>
      <c r="IK174">
        <v>-0.002077099775823331</v>
      </c>
      <c r="IL174">
        <v>4.593143279902166E-07</v>
      </c>
      <c r="IM174">
        <v>-1.865383991892071E-10</v>
      </c>
      <c r="IN174">
        <v>-0.07605349583632376</v>
      </c>
      <c r="IO174">
        <v>-0.01129461987421345</v>
      </c>
      <c r="IP174">
        <v>0.00116580895745559</v>
      </c>
      <c r="IQ174">
        <v>-1.679085872906199E-05</v>
      </c>
      <c r="IR174">
        <v>2</v>
      </c>
      <c r="IS174">
        <v>2290</v>
      </c>
      <c r="IT174">
        <v>0</v>
      </c>
      <c r="IU174">
        <v>32</v>
      </c>
      <c r="IV174">
        <v>9.699999999999999</v>
      </c>
      <c r="IW174">
        <v>9.300000000000001</v>
      </c>
      <c r="IX174">
        <v>2.146</v>
      </c>
      <c r="IY174">
        <v>2.21069</v>
      </c>
      <c r="IZ174">
        <v>1.39648</v>
      </c>
      <c r="JA174">
        <v>2.35962</v>
      </c>
      <c r="JB174">
        <v>1.49536</v>
      </c>
      <c r="JC174">
        <v>2.34619</v>
      </c>
      <c r="JD174">
        <v>38.4524</v>
      </c>
      <c r="JE174">
        <v>24.0437</v>
      </c>
      <c r="JF174">
        <v>18</v>
      </c>
      <c r="JG174">
        <v>514.803</v>
      </c>
      <c r="JH174">
        <v>423.78</v>
      </c>
      <c r="JI174">
        <v>22.6407</v>
      </c>
      <c r="JJ174">
        <v>29.096</v>
      </c>
      <c r="JK174">
        <v>30.0001</v>
      </c>
      <c r="JL174">
        <v>29.0992</v>
      </c>
      <c r="JM174">
        <v>29.039</v>
      </c>
      <c r="JN174">
        <v>42.9531</v>
      </c>
      <c r="JO174">
        <v>55.6913</v>
      </c>
      <c r="JP174">
        <v>0</v>
      </c>
      <c r="JQ174">
        <v>22.6273</v>
      </c>
      <c r="JR174">
        <v>1049.18</v>
      </c>
      <c r="JS174">
        <v>8.86509</v>
      </c>
      <c r="JT174">
        <v>100.302</v>
      </c>
      <c r="JU174">
        <v>100.212</v>
      </c>
    </row>
    <row r="175" spans="1:281">
      <c r="A175">
        <v>159</v>
      </c>
      <c r="B175">
        <v>1651857602.6</v>
      </c>
      <c r="C175">
        <v>602</v>
      </c>
      <c r="D175" t="s">
        <v>745</v>
      </c>
      <c r="E175" t="s">
        <v>746</v>
      </c>
      <c r="F175">
        <v>2</v>
      </c>
      <c r="G175" t="s">
        <v>413</v>
      </c>
      <c r="H175" t="s">
        <v>414</v>
      </c>
      <c r="I175">
        <v>1651857601.6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1035.574326570396</v>
      </c>
      <c r="AK175">
        <v>989.0707757575759</v>
      </c>
      <c r="AL175">
        <v>3.39493831262765</v>
      </c>
      <c r="AM175">
        <v>66.38384787954378</v>
      </c>
      <c r="AN175">
        <f>(AP175 - AO175 + DI175*1E3/(8.314*(DK175+273.15)) * AR175/DH175 * AQ175) * DH175/(100*CV175) * 1000/(1000 - AP175)</f>
        <v>0</v>
      </c>
      <c r="AO175">
        <v>8.741521382449703</v>
      </c>
      <c r="AP175">
        <v>18.2454505882353</v>
      </c>
      <c r="AQ175">
        <v>0.0007156364905513571</v>
      </c>
      <c r="AR175">
        <v>80.44866334591464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417</v>
      </c>
      <c r="AY175" t="s">
        <v>417</v>
      </c>
      <c r="AZ175">
        <v>0</v>
      </c>
      <c r="BA175">
        <v>0</v>
      </c>
      <c r="BB175">
        <f>1-AZ175/BA175</f>
        <v>0</v>
      </c>
      <c r="BC175">
        <v>0</v>
      </c>
      <c r="BD175" t="s">
        <v>417</v>
      </c>
      <c r="BE175" t="s">
        <v>417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1238</v>
      </c>
      <c r="CA175">
        <v>300</v>
      </c>
      <c r="CB175">
        <v>300</v>
      </c>
      <c r="CC175">
        <v>300</v>
      </c>
      <c r="CD175">
        <v>10440.5</v>
      </c>
      <c r="CE175">
        <v>1411.69</v>
      </c>
      <c r="CF175">
        <v>-0.00735121</v>
      </c>
      <c r="CG175">
        <v>-0.77</v>
      </c>
      <c r="CH175" t="s">
        <v>417</v>
      </c>
      <c r="CI175" t="s">
        <v>417</v>
      </c>
      <c r="CJ175" t="s">
        <v>417</v>
      </c>
      <c r="CK175" t="s">
        <v>417</v>
      </c>
      <c r="CL175" t="s">
        <v>417</v>
      </c>
      <c r="CM175" t="s">
        <v>417</v>
      </c>
      <c r="CN175" t="s">
        <v>417</v>
      </c>
      <c r="CO175" t="s">
        <v>417</v>
      </c>
      <c r="CP175" t="s">
        <v>417</v>
      </c>
      <c r="CQ175" t="s">
        <v>417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418</v>
      </c>
      <c r="CY175">
        <v>2</v>
      </c>
      <c r="CZ175" t="b">
        <v>1</v>
      </c>
      <c r="DA175">
        <v>1651857601.6</v>
      </c>
      <c r="DB175">
        <v>969.3559999999999</v>
      </c>
      <c r="DC175">
        <v>1032.43</v>
      </c>
      <c r="DD175">
        <v>18.24493333333333</v>
      </c>
      <c r="DE175">
        <v>8.764606666666667</v>
      </c>
      <c r="DF175">
        <v>971.611</v>
      </c>
      <c r="DG175">
        <v>18.24103333333333</v>
      </c>
      <c r="DH175">
        <v>500.0303333333334</v>
      </c>
      <c r="DI175">
        <v>90.07296666666666</v>
      </c>
      <c r="DJ175">
        <v>0.09997256666666665</v>
      </c>
      <c r="DK175">
        <v>25.7785</v>
      </c>
      <c r="DL175">
        <v>25.02143333333333</v>
      </c>
      <c r="DM175">
        <v>999.9</v>
      </c>
      <c r="DN175">
        <v>0</v>
      </c>
      <c r="DO175">
        <v>0</v>
      </c>
      <c r="DP175">
        <v>10003.12666666667</v>
      </c>
      <c r="DQ175">
        <v>0</v>
      </c>
      <c r="DR175">
        <v>3.20383</v>
      </c>
      <c r="DS175">
        <v>-63.07463333333334</v>
      </c>
      <c r="DT175">
        <v>987.3706666666667</v>
      </c>
      <c r="DU175">
        <v>1041.56</v>
      </c>
      <c r="DV175">
        <v>9.48034</v>
      </c>
      <c r="DW175">
        <v>1032.43</v>
      </c>
      <c r="DX175">
        <v>8.764606666666667</v>
      </c>
      <c r="DY175">
        <v>1.643376666666667</v>
      </c>
      <c r="DZ175">
        <v>0.789454</v>
      </c>
      <c r="EA175">
        <v>14.37166666666667</v>
      </c>
      <c r="EB175">
        <v>3.519076666666667</v>
      </c>
      <c r="EC175">
        <v>1500.026666666667</v>
      </c>
      <c r="ED175">
        <v>0.973007</v>
      </c>
      <c r="EE175">
        <v>0.0269931</v>
      </c>
      <c r="EF175">
        <v>0</v>
      </c>
      <c r="EG175">
        <v>996.346</v>
      </c>
      <c r="EH175">
        <v>5.00097</v>
      </c>
      <c r="EI175">
        <v>14799</v>
      </c>
      <c r="EJ175">
        <v>12491.86666666667</v>
      </c>
      <c r="EK175">
        <v>37.5</v>
      </c>
      <c r="EL175">
        <v>39</v>
      </c>
      <c r="EM175">
        <v>37.875</v>
      </c>
      <c r="EN175">
        <v>38.75</v>
      </c>
      <c r="EO175">
        <v>38.375</v>
      </c>
      <c r="EP175">
        <v>1454.666666666667</v>
      </c>
      <c r="EQ175">
        <v>40.36</v>
      </c>
      <c r="ER175">
        <v>0</v>
      </c>
      <c r="ES175">
        <v>601.2000000476837</v>
      </c>
      <c r="ET175">
        <v>0</v>
      </c>
      <c r="EU175">
        <v>1000.26492</v>
      </c>
      <c r="EV175">
        <v>-36.51453851610437</v>
      </c>
      <c r="EW175">
        <v>-540.5692316640873</v>
      </c>
      <c r="EX175">
        <v>14857.568</v>
      </c>
      <c r="EY175">
        <v>15</v>
      </c>
      <c r="EZ175">
        <v>1651857041.1</v>
      </c>
      <c r="FA175" t="s">
        <v>419</v>
      </c>
      <c r="FB175">
        <v>1651857019.6</v>
      </c>
      <c r="FC175">
        <v>1651857041.1</v>
      </c>
      <c r="FD175">
        <v>1</v>
      </c>
      <c r="FE175">
        <v>0.545</v>
      </c>
      <c r="FF175">
        <v>-0.002</v>
      </c>
      <c r="FG175">
        <v>-1.271</v>
      </c>
      <c r="FH175">
        <v>-0.09</v>
      </c>
      <c r="FI175">
        <v>400</v>
      </c>
      <c r="FJ175">
        <v>10</v>
      </c>
      <c r="FK175">
        <v>0.1</v>
      </c>
      <c r="FL175">
        <v>0.02</v>
      </c>
      <c r="FM175">
        <v>-62.97463</v>
      </c>
      <c r="FN175">
        <v>-0.6630393996247891</v>
      </c>
      <c r="FO175">
        <v>0.06718628282618452</v>
      </c>
      <c r="FP175">
        <v>-1</v>
      </c>
      <c r="FQ175">
        <v>9.5822745</v>
      </c>
      <c r="FR175">
        <v>-0.6703960975609911</v>
      </c>
      <c r="FS175">
        <v>0.06577716035790837</v>
      </c>
      <c r="FT175">
        <v>-1</v>
      </c>
      <c r="FU175">
        <v>0</v>
      </c>
      <c r="FV175">
        <v>0</v>
      </c>
      <c r="FW175">
        <v>0</v>
      </c>
      <c r="FX175">
        <v>-1</v>
      </c>
      <c r="FY175">
        <v>0</v>
      </c>
      <c r="FZ175">
        <v>0</v>
      </c>
      <c r="GA175" t="s">
        <v>432</v>
      </c>
      <c r="GB175">
        <v>2.97996</v>
      </c>
      <c r="GC175">
        <v>2.70619</v>
      </c>
      <c r="GD175">
        <v>0.16813</v>
      </c>
      <c r="GE175">
        <v>0.172954</v>
      </c>
      <c r="GF175">
        <v>0.08738310000000001</v>
      </c>
      <c r="GG175">
        <v>0.0500927</v>
      </c>
      <c r="GH175">
        <v>26247.3</v>
      </c>
      <c r="GI175">
        <v>26151.8</v>
      </c>
      <c r="GJ175">
        <v>29341.8</v>
      </c>
      <c r="GK175">
        <v>29255</v>
      </c>
      <c r="GL175">
        <v>35462</v>
      </c>
      <c r="GM175">
        <v>37011.8</v>
      </c>
      <c r="GN175">
        <v>41302.9</v>
      </c>
      <c r="GO175">
        <v>41751.6</v>
      </c>
      <c r="GP175">
        <v>1.95545</v>
      </c>
      <c r="GQ175">
        <v>1.8361</v>
      </c>
      <c r="GR175">
        <v>-0.033766</v>
      </c>
      <c r="GS175">
        <v>0</v>
      </c>
      <c r="GT175">
        <v>25.5735</v>
      </c>
      <c r="GU175">
        <v>999.9</v>
      </c>
      <c r="GV175">
        <v>38.5</v>
      </c>
      <c r="GW175">
        <v>33.9</v>
      </c>
      <c r="GX175">
        <v>22.7117</v>
      </c>
      <c r="GY175">
        <v>62.7376</v>
      </c>
      <c r="GZ175">
        <v>35.2404</v>
      </c>
      <c r="HA175">
        <v>1</v>
      </c>
      <c r="HB175">
        <v>0.13689</v>
      </c>
      <c r="HC175">
        <v>2.28786</v>
      </c>
      <c r="HD175">
        <v>20.3181</v>
      </c>
      <c r="HE175">
        <v>5.21744</v>
      </c>
      <c r="HF175">
        <v>12.0099</v>
      </c>
      <c r="HG175">
        <v>4.9888</v>
      </c>
      <c r="HH175">
        <v>3.28863</v>
      </c>
      <c r="HI175">
        <v>854.1</v>
      </c>
      <c r="HJ175">
        <v>8501.9</v>
      </c>
      <c r="HK175">
        <v>5139.4</v>
      </c>
      <c r="HL175">
        <v>22.9</v>
      </c>
      <c r="HM175">
        <v>1.86752</v>
      </c>
      <c r="HN175">
        <v>1.86647</v>
      </c>
      <c r="HO175">
        <v>1.866</v>
      </c>
      <c r="HP175">
        <v>1.86585</v>
      </c>
      <c r="HQ175">
        <v>1.86773</v>
      </c>
      <c r="HR175">
        <v>1.87024</v>
      </c>
      <c r="HS175">
        <v>1.8689</v>
      </c>
      <c r="HT175">
        <v>1.87025</v>
      </c>
      <c r="HU175">
        <v>0</v>
      </c>
      <c r="HV175">
        <v>0</v>
      </c>
      <c r="HW175">
        <v>0</v>
      </c>
      <c r="HX175">
        <v>0</v>
      </c>
      <c r="HY175" t="s">
        <v>421</v>
      </c>
      <c r="HZ175" t="s">
        <v>422</v>
      </c>
      <c r="IA175" t="s">
        <v>423</v>
      </c>
      <c r="IB175" t="s">
        <v>423</v>
      </c>
      <c r="IC175" t="s">
        <v>423</v>
      </c>
      <c r="ID175" t="s">
        <v>423</v>
      </c>
      <c r="IE175">
        <v>0</v>
      </c>
      <c r="IF175">
        <v>100</v>
      </c>
      <c r="IG175">
        <v>100</v>
      </c>
      <c r="IH175">
        <v>-2.261</v>
      </c>
      <c r="II175">
        <v>0.0039</v>
      </c>
      <c r="IJ175">
        <v>-0.4995723906072</v>
      </c>
      <c r="IK175">
        <v>-0.002077099775823331</v>
      </c>
      <c r="IL175">
        <v>4.593143279902166E-07</v>
      </c>
      <c r="IM175">
        <v>-1.865383991892071E-10</v>
      </c>
      <c r="IN175">
        <v>-0.07605349583632376</v>
      </c>
      <c r="IO175">
        <v>-0.01129461987421345</v>
      </c>
      <c r="IP175">
        <v>0.00116580895745559</v>
      </c>
      <c r="IQ175">
        <v>-1.679085872906199E-05</v>
      </c>
      <c r="IR175">
        <v>2</v>
      </c>
      <c r="IS175">
        <v>2290</v>
      </c>
      <c r="IT175">
        <v>0</v>
      </c>
      <c r="IU175">
        <v>32</v>
      </c>
      <c r="IV175">
        <v>9.699999999999999</v>
      </c>
      <c r="IW175">
        <v>9.4</v>
      </c>
      <c r="IX175">
        <v>2.15698</v>
      </c>
      <c r="IY175">
        <v>2.20703</v>
      </c>
      <c r="IZ175">
        <v>1.39648</v>
      </c>
      <c r="JA175">
        <v>2.35962</v>
      </c>
      <c r="JB175">
        <v>1.49536</v>
      </c>
      <c r="JC175">
        <v>2.32056</v>
      </c>
      <c r="JD175">
        <v>38.4524</v>
      </c>
      <c r="JE175">
        <v>24.0437</v>
      </c>
      <c r="JF175">
        <v>18</v>
      </c>
      <c r="JG175">
        <v>514.974</v>
      </c>
      <c r="JH175">
        <v>423.855</v>
      </c>
      <c r="JI175">
        <v>22.6339</v>
      </c>
      <c r="JJ175">
        <v>29.096</v>
      </c>
      <c r="JK175">
        <v>30.0001</v>
      </c>
      <c r="JL175">
        <v>29.0979</v>
      </c>
      <c r="JM175">
        <v>29.039</v>
      </c>
      <c r="JN175">
        <v>43.1831</v>
      </c>
      <c r="JO175">
        <v>55.6913</v>
      </c>
      <c r="JP175">
        <v>0</v>
      </c>
      <c r="JQ175">
        <v>22.6273</v>
      </c>
      <c r="JR175">
        <v>1055.87</v>
      </c>
      <c r="JS175">
        <v>8.88104</v>
      </c>
      <c r="JT175">
        <v>100.301</v>
      </c>
      <c r="JU175">
        <v>100.211</v>
      </c>
    </row>
    <row r="176" spans="1:281">
      <c r="A176">
        <v>160</v>
      </c>
      <c r="B176">
        <v>1651857604.6</v>
      </c>
      <c r="C176">
        <v>604</v>
      </c>
      <c r="D176" t="s">
        <v>747</v>
      </c>
      <c r="E176" t="s">
        <v>748</v>
      </c>
      <c r="F176">
        <v>2</v>
      </c>
      <c r="G176" t="s">
        <v>413</v>
      </c>
      <c r="H176" t="s">
        <v>414</v>
      </c>
      <c r="I176">
        <v>1651857603.225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1042.34367118128</v>
      </c>
      <c r="AK176">
        <v>995.9533757575761</v>
      </c>
      <c r="AL176">
        <v>3.424752771450732</v>
      </c>
      <c r="AM176">
        <v>66.38384787954378</v>
      </c>
      <c r="AN176">
        <f>(AP176 - AO176 + DI176*1E3/(8.314*(DK176+273.15)) * AR176/DH176 * AQ176) * DH176/(100*CV176) * 1000/(1000 - AP176)</f>
        <v>0</v>
      </c>
      <c r="AO176">
        <v>8.754462601210578</v>
      </c>
      <c r="AP176">
        <v>18.24132617647058</v>
      </c>
      <c r="AQ176">
        <v>0.0005951295402844619</v>
      </c>
      <c r="AR176">
        <v>80.44866334591464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417</v>
      </c>
      <c r="AY176" t="s">
        <v>417</v>
      </c>
      <c r="AZ176">
        <v>0</v>
      </c>
      <c r="BA176">
        <v>0</v>
      </c>
      <c r="BB176">
        <f>1-AZ176/BA176</f>
        <v>0</v>
      </c>
      <c r="BC176">
        <v>0</v>
      </c>
      <c r="BD176" t="s">
        <v>417</v>
      </c>
      <c r="BE176" t="s">
        <v>417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1238</v>
      </c>
      <c r="CA176">
        <v>300</v>
      </c>
      <c r="CB176">
        <v>300</v>
      </c>
      <c r="CC176">
        <v>300</v>
      </c>
      <c r="CD176">
        <v>10440.5</v>
      </c>
      <c r="CE176">
        <v>1411.69</v>
      </c>
      <c r="CF176">
        <v>-0.00735121</v>
      </c>
      <c r="CG176">
        <v>-0.77</v>
      </c>
      <c r="CH176" t="s">
        <v>417</v>
      </c>
      <c r="CI176" t="s">
        <v>417</v>
      </c>
      <c r="CJ176" t="s">
        <v>417</v>
      </c>
      <c r="CK176" t="s">
        <v>417</v>
      </c>
      <c r="CL176" t="s">
        <v>417</v>
      </c>
      <c r="CM176" t="s">
        <v>417</v>
      </c>
      <c r="CN176" t="s">
        <v>417</v>
      </c>
      <c r="CO176" t="s">
        <v>417</v>
      </c>
      <c r="CP176" t="s">
        <v>417</v>
      </c>
      <c r="CQ176" t="s">
        <v>417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418</v>
      </c>
      <c r="CY176">
        <v>2</v>
      </c>
      <c r="CZ176" t="b">
        <v>1</v>
      </c>
      <c r="DA176">
        <v>1651857603.225</v>
      </c>
      <c r="DB176">
        <v>974.8245000000001</v>
      </c>
      <c r="DC176">
        <v>1037.9675</v>
      </c>
      <c r="DD176">
        <v>18.24305</v>
      </c>
      <c r="DE176">
        <v>8.793787500000001</v>
      </c>
      <c r="DF176">
        <v>977.0892500000001</v>
      </c>
      <c r="DG176">
        <v>18.239175</v>
      </c>
      <c r="DH176">
        <v>500.01225</v>
      </c>
      <c r="DI176">
        <v>90.073925</v>
      </c>
      <c r="DJ176">
        <v>0.09990805</v>
      </c>
      <c r="DK176">
        <v>25.777775</v>
      </c>
      <c r="DL176">
        <v>25.0169</v>
      </c>
      <c r="DM176">
        <v>999.9</v>
      </c>
      <c r="DN176">
        <v>0</v>
      </c>
      <c r="DO176">
        <v>0</v>
      </c>
      <c r="DP176">
        <v>10015.62</v>
      </c>
      <c r="DQ176">
        <v>0</v>
      </c>
      <c r="DR176">
        <v>3.20383</v>
      </c>
      <c r="DS176">
        <v>-63.14425</v>
      </c>
      <c r="DT176">
        <v>992.93875</v>
      </c>
      <c r="DU176">
        <v>1047.175</v>
      </c>
      <c r="DV176">
        <v>9.449275</v>
      </c>
      <c r="DW176">
        <v>1037.9675</v>
      </c>
      <c r="DX176">
        <v>8.793787500000001</v>
      </c>
      <c r="DY176">
        <v>1.6432225</v>
      </c>
      <c r="DZ176">
        <v>0.7920907500000001</v>
      </c>
      <c r="EA176">
        <v>14.37025</v>
      </c>
      <c r="EB176">
        <v>3.56633</v>
      </c>
      <c r="EC176">
        <v>1500.0225</v>
      </c>
      <c r="ED176">
        <v>0.973007</v>
      </c>
      <c r="EE176">
        <v>0.0269931</v>
      </c>
      <c r="EF176">
        <v>0</v>
      </c>
      <c r="EG176">
        <v>995.3515</v>
      </c>
      <c r="EH176">
        <v>5.00097</v>
      </c>
      <c r="EI176">
        <v>14785.825</v>
      </c>
      <c r="EJ176">
        <v>12491.825</v>
      </c>
      <c r="EK176">
        <v>37.5</v>
      </c>
      <c r="EL176">
        <v>39</v>
      </c>
      <c r="EM176">
        <v>37.875</v>
      </c>
      <c r="EN176">
        <v>38.75</v>
      </c>
      <c r="EO176">
        <v>38.375</v>
      </c>
      <c r="EP176">
        <v>1454.6625</v>
      </c>
      <c r="EQ176">
        <v>40.36</v>
      </c>
      <c r="ER176">
        <v>0</v>
      </c>
      <c r="ES176">
        <v>603.6000001430511</v>
      </c>
      <c r="ET176">
        <v>0</v>
      </c>
      <c r="EU176">
        <v>998.7574</v>
      </c>
      <c r="EV176">
        <v>-36.1640000058455</v>
      </c>
      <c r="EW176">
        <v>-536.3000000867793</v>
      </c>
      <c r="EX176">
        <v>14835.872</v>
      </c>
      <c r="EY176">
        <v>15</v>
      </c>
      <c r="EZ176">
        <v>1651857041.1</v>
      </c>
      <c r="FA176" t="s">
        <v>419</v>
      </c>
      <c r="FB176">
        <v>1651857019.6</v>
      </c>
      <c r="FC176">
        <v>1651857041.1</v>
      </c>
      <c r="FD176">
        <v>1</v>
      </c>
      <c r="FE176">
        <v>0.545</v>
      </c>
      <c r="FF176">
        <v>-0.002</v>
      </c>
      <c r="FG176">
        <v>-1.271</v>
      </c>
      <c r="FH176">
        <v>-0.09</v>
      </c>
      <c r="FI176">
        <v>400</v>
      </c>
      <c r="FJ176">
        <v>10</v>
      </c>
      <c r="FK176">
        <v>0.1</v>
      </c>
      <c r="FL176">
        <v>0.02</v>
      </c>
      <c r="FM176">
        <v>-62.99148292682926</v>
      </c>
      <c r="FN176">
        <v>-0.7323930313587544</v>
      </c>
      <c r="FO176">
        <v>0.07609251718744423</v>
      </c>
      <c r="FP176">
        <v>-1</v>
      </c>
      <c r="FQ176">
        <v>9.568643658536585</v>
      </c>
      <c r="FR176">
        <v>-0.7021066202090593</v>
      </c>
      <c r="FS176">
        <v>0.07022710562641667</v>
      </c>
      <c r="FT176">
        <v>-1</v>
      </c>
      <c r="FU176">
        <v>0</v>
      </c>
      <c r="FV176">
        <v>0</v>
      </c>
      <c r="FW176">
        <v>0</v>
      </c>
      <c r="FX176">
        <v>-1</v>
      </c>
      <c r="FY176">
        <v>0</v>
      </c>
      <c r="FZ176">
        <v>0</v>
      </c>
      <c r="GA176" t="s">
        <v>432</v>
      </c>
      <c r="GB176">
        <v>2.97998</v>
      </c>
      <c r="GC176">
        <v>2.70628</v>
      </c>
      <c r="GD176">
        <v>0.168885</v>
      </c>
      <c r="GE176">
        <v>0.173695</v>
      </c>
      <c r="GF176">
        <v>0.08738269999999999</v>
      </c>
      <c r="GG176">
        <v>0.0502844</v>
      </c>
      <c r="GH176">
        <v>26223.3</v>
      </c>
      <c r="GI176">
        <v>26128.3</v>
      </c>
      <c r="GJ176">
        <v>29341.7</v>
      </c>
      <c r="GK176">
        <v>29255</v>
      </c>
      <c r="GL176">
        <v>35461.8</v>
      </c>
      <c r="GM176">
        <v>37004.1</v>
      </c>
      <c r="GN176">
        <v>41302.7</v>
      </c>
      <c r="GO176">
        <v>41751.3</v>
      </c>
      <c r="GP176">
        <v>1.95535</v>
      </c>
      <c r="GQ176">
        <v>1.83602</v>
      </c>
      <c r="GR176">
        <v>-0.0341237</v>
      </c>
      <c r="GS176">
        <v>0</v>
      </c>
      <c r="GT176">
        <v>25.5746</v>
      </c>
      <c r="GU176">
        <v>999.9</v>
      </c>
      <c r="GV176">
        <v>38.5</v>
      </c>
      <c r="GW176">
        <v>33.9</v>
      </c>
      <c r="GX176">
        <v>22.7093</v>
      </c>
      <c r="GY176">
        <v>62.5976</v>
      </c>
      <c r="GZ176">
        <v>35.4487</v>
      </c>
      <c r="HA176">
        <v>1</v>
      </c>
      <c r="HB176">
        <v>0.136845</v>
      </c>
      <c r="HC176">
        <v>2.30353</v>
      </c>
      <c r="HD176">
        <v>20.3182</v>
      </c>
      <c r="HE176">
        <v>5.21729</v>
      </c>
      <c r="HF176">
        <v>12.0099</v>
      </c>
      <c r="HG176">
        <v>4.9887</v>
      </c>
      <c r="HH176">
        <v>3.28865</v>
      </c>
      <c r="HI176">
        <v>854.3</v>
      </c>
      <c r="HJ176">
        <v>8504.1</v>
      </c>
      <c r="HK176">
        <v>5139.4</v>
      </c>
      <c r="HL176">
        <v>22.9</v>
      </c>
      <c r="HM176">
        <v>1.86751</v>
      </c>
      <c r="HN176">
        <v>1.86646</v>
      </c>
      <c r="HO176">
        <v>1.866</v>
      </c>
      <c r="HP176">
        <v>1.86586</v>
      </c>
      <c r="HQ176">
        <v>1.86775</v>
      </c>
      <c r="HR176">
        <v>1.87026</v>
      </c>
      <c r="HS176">
        <v>1.8689</v>
      </c>
      <c r="HT176">
        <v>1.87027</v>
      </c>
      <c r="HU176">
        <v>0</v>
      </c>
      <c r="HV176">
        <v>0</v>
      </c>
      <c r="HW176">
        <v>0</v>
      </c>
      <c r="HX176">
        <v>0</v>
      </c>
      <c r="HY176" t="s">
        <v>421</v>
      </c>
      <c r="HZ176" t="s">
        <v>422</v>
      </c>
      <c r="IA176" t="s">
        <v>423</v>
      </c>
      <c r="IB176" t="s">
        <v>423</v>
      </c>
      <c r="IC176" t="s">
        <v>423</v>
      </c>
      <c r="ID176" t="s">
        <v>423</v>
      </c>
      <c r="IE176">
        <v>0</v>
      </c>
      <c r="IF176">
        <v>100</v>
      </c>
      <c r="IG176">
        <v>100</v>
      </c>
      <c r="IH176">
        <v>-2.273</v>
      </c>
      <c r="II176">
        <v>0.0039</v>
      </c>
      <c r="IJ176">
        <v>-0.4995723906072</v>
      </c>
      <c r="IK176">
        <v>-0.002077099775823331</v>
      </c>
      <c r="IL176">
        <v>4.593143279902166E-07</v>
      </c>
      <c r="IM176">
        <v>-1.865383991892071E-10</v>
      </c>
      <c r="IN176">
        <v>-0.07605349583632376</v>
      </c>
      <c r="IO176">
        <v>-0.01129461987421345</v>
      </c>
      <c r="IP176">
        <v>0.00116580895745559</v>
      </c>
      <c r="IQ176">
        <v>-1.679085872906199E-05</v>
      </c>
      <c r="IR176">
        <v>2</v>
      </c>
      <c r="IS176">
        <v>2290</v>
      </c>
      <c r="IT176">
        <v>0</v>
      </c>
      <c r="IU176">
        <v>32</v>
      </c>
      <c r="IV176">
        <v>9.800000000000001</v>
      </c>
      <c r="IW176">
        <v>9.4</v>
      </c>
      <c r="IX176">
        <v>2.16797</v>
      </c>
      <c r="IY176">
        <v>2.21802</v>
      </c>
      <c r="IZ176">
        <v>1.39648</v>
      </c>
      <c r="JA176">
        <v>2.35962</v>
      </c>
      <c r="JB176">
        <v>1.49536</v>
      </c>
      <c r="JC176">
        <v>2.29126</v>
      </c>
      <c r="JD176">
        <v>38.4524</v>
      </c>
      <c r="JE176">
        <v>24.035</v>
      </c>
      <c r="JF176">
        <v>18</v>
      </c>
      <c r="JG176">
        <v>514.903</v>
      </c>
      <c r="JH176">
        <v>423.81</v>
      </c>
      <c r="JI176">
        <v>22.6276</v>
      </c>
      <c r="JJ176">
        <v>29.096</v>
      </c>
      <c r="JK176">
        <v>30.0001</v>
      </c>
      <c r="JL176">
        <v>29.0975</v>
      </c>
      <c r="JM176">
        <v>29.039</v>
      </c>
      <c r="JN176">
        <v>43.4036</v>
      </c>
      <c r="JO176">
        <v>55.6913</v>
      </c>
      <c r="JP176">
        <v>0</v>
      </c>
      <c r="JQ176">
        <v>22.6081</v>
      </c>
      <c r="JR176">
        <v>1062.57</v>
      </c>
      <c r="JS176">
        <v>8.89695</v>
      </c>
      <c r="JT176">
        <v>100.3</v>
      </c>
      <c r="JU176">
        <v>100.211</v>
      </c>
    </row>
    <row r="177" spans="1:281">
      <c r="A177">
        <v>161</v>
      </c>
      <c r="B177">
        <v>1651857606.6</v>
      </c>
      <c r="C177">
        <v>606</v>
      </c>
      <c r="D177" t="s">
        <v>749</v>
      </c>
      <c r="E177" t="s">
        <v>750</v>
      </c>
      <c r="F177">
        <v>2</v>
      </c>
      <c r="G177" t="s">
        <v>413</v>
      </c>
      <c r="H177" t="s">
        <v>414</v>
      </c>
      <c r="I177">
        <v>1651857605.6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1049.288871850471</v>
      </c>
      <c r="AK177">
        <v>1002.816775757576</v>
      </c>
      <c r="AL177">
        <v>3.436204324555156</v>
      </c>
      <c r="AM177">
        <v>66.38384787954378</v>
      </c>
      <c r="AN177">
        <f>(AP177 - AO177 + DI177*1E3/(8.314*(DK177+273.15)) * AR177/DH177 * AQ177) * DH177/(100*CV177) * 1000/(1000 - AP177)</f>
        <v>0</v>
      </c>
      <c r="AO177">
        <v>8.773361073757176</v>
      </c>
      <c r="AP177">
        <v>18.24375470588236</v>
      </c>
      <c r="AQ177">
        <v>-0.0003496909768250628</v>
      </c>
      <c r="AR177">
        <v>80.44866334591464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417</v>
      </c>
      <c r="AY177" t="s">
        <v>417</v>
      </c>
      <c r="AZ177">
        <v>0</v>
      </c>
      <c r="BA177">
        <v>0</v>
      </c>
      <c r="BB177">
        <f>1-AZ177/BA177</f>
        <v>0</v>
      </c>
      <c r="BC177">
        <v>0</v>
      </c>
      <c r="BD177" t="s">
        <v>417</v>
      </c>
      <c r="BE177" t="s">
        <v>417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1238</v>
      </c>
      <c r="CA177">
        <v>300</v>
      </c>
      <c r="CB177">
        <v>300</v>
      </c>
      <c r="CC177">
        <v>300</v>
      </c>
      <c r="CD177">
        <v>10440.5</v>
      </c>
      <c r="CE177">
        <v>1411.69</v>
      </c>
      <c r="CF177">
        <v>-0.00735121</v>
      </c>
      <c r="CG177">
        <v>-0.77</v>
      </c>
      <c r="CH177" t="s">
        <v>417</v>
      </c>
      <c r="CI177" t="s">
        <v>417</v>
      </c>
      <c r="CJ177" t="s">
        <v>417</v>
      </c>
      <c r="CK177" t="s">
        <v>417</v>
      </c>
      <c r="CL177" t="s">
        <v>417</v>
      </c>
      <c r="CM177" t="s">
        <v>417</v>
      </c>
      <c r="CN177" t="s">
        <v>417</v>
      </c>
      <c r="CO177" t="s">
        <v>417</v>
      </c>
      <c r="CP177" t="s">
        <v>417</v>
      </c>
      <c r="CQ177" t="s">
        <v>417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418</v>
      </c>
      <c r="CY177">
        <v>2</v>
      </c>
      <c r="CZ177" t="b">
        <v>1</v>
      </c>
      <c r="DA177">
        <v>1651857605.6</v>
      </c>
      <c r="DB177">
        <v>982.8366666666666</v>
      </c>
      <c r="DC177">
        <v>1046.22</v>
      </c>
      <c r="DD177">
        <v>18.2436</v>
      </c>
      <c r="DE177">
        <v>8.841036666666666</v>
      </c>
      <c r="DF177">
        <v>985.1150000000001</v>
      </c>
      <c r="DG177">
        <v>18.2397</v>
      </c>
      <c r="DH177">
        <v>500.0673333333334</v>
      </c>
      <c r="DI177">
        <v>90.07453333333332</v>
      </c>
      <c r="DJ177">
        <v>0.1000893333333333</v>
      </c>
      <c r="DK177">
        <v>25.7788</v>
      </c>
      <c r="DL177">
        <v>25.01156666666667</v>
      </c>
      <c r="DM177">
        <v>999.9</v>
      </c>
      <c r="DN177">
        <v>0</v>
      </c>
      <c r="DO177">
        <v>0</v>
      </c>
      <c r="DP177">
        <v>10008.93333333333</v>
      </c>
      <c r="DQ177">
        <v>0</v>
      </c>
      <c r="DR177">
        <v>3.20383</v>
      </c>
      <c r="DS177">
        <v>-63.38303333333334</v>
      </c>
      <c r="DT177">
        <v>1001.100333333333</v>
      </c>
      <c r="DU177">
        <v>1055.553333333333</v>
      </c>
      <c r="DV177">
        <v>9.402569999999999</v>
      </c>
      <c r="DW177">
        <v>1046.22</v>
      </c>
      <c r="DX177">
        <v>8.841036666666666</v>
      </c>
      <c r="DY177">
        <v>1.643283333333333</v>
      </c>
      <c r="DZ177">
        <v>0.7963523333333334</v>
      </c>
      <c r="EA177">
        <v>14.3708</v>
      </c>
      <c r="EB177">
        <v>3.642443333333334</v>
      </c>
      <c r="EC177">
        <v>1500.026666666667</v>
      </c>
      <c r="ED177">
        <v>0.973007</v>
      </c>
      <c r="EE177">
        <v>0.0269931</v>
      </c>
      <c r="EF177">
        <v>0</v>
      </c>
      <c r="EG177">
        <v>993.8083333333334</v>
      </c>
      <c r="EH177">
        <v>5.00097</v>
      </c>
      <c r="EI177">
        <v>14764.96666666667</v>
      </c>
      <c r="EJ177">
        <v>12491.83333333333</v>
      </c>
      <c r="EK177">
        <v>37.5</v>
      </c>
      <c r="EL177">
        <v>39</v>
      </c>
      <c r="EM177">
        <v>37.875</v>
      </c>
      <c r="EN177">
        <v>38.75</v>
      </c>
      <c r="EO177">
        <v>38.375</v>
      </c>
      <c r="EP177">
        <v>1454.666666666667</v>
      </c>
      <c r="EQ177">
        <v>40.36</v>
      </c>
      <c r="ER177">
        <v>0</v>
      </c>
      <c r="ES177">
        <v>605.4000000953674</v>
      </c>
      <c r="ET177">
        <v>0</v>
      </c>
      <c r="EU177">
        <v>997.8416153846154</v>
      </c>
      <c r="EV177">
        <v>-36.3758632119827</v>
      </c>
      <c r="EW177">
        <v>-536.9538454643383</v>
      </c>
      <c r="EX177">
        <v>14822.58076923077</v>
      </c>
      <c r="EY177">
        <v>15</v>
      </c>
      <c r="EZ177">
        <v>1651857041.1</v>
      </c>
      <c r="FA177" t="s">
        <v>419</v>
      </c>
      <c r="FB177">
        <v>1651857019.6</v>
      </c>
      <c r="FC177">
        <v>1651857041.1</v>
      </c>
      <c r="FD177">
        <v>1</v>
      </c>
      <c r="FE177">
        <v>0.545</v>
      </c>
      <c r="FF177">
        <v>-0.002</v>
      </c>
      <c r="FG177">
        <v>-1.271</v>
      </c>
      <c r="FH177">
        <v>-0.09</v>
      </c>
      <c r="FI177">
        <v>400</v>
      </c>
      <c r="FJ177">
        <v>10</v>
      </c>
      <c r="FK177">
        <v>0.1</v>
      </c>
      <c r="FL177">
        <v>0.02</v>
      </c>
      <c r="FM177">
        <v>-63.0484725</v>
      </c>
      <c r="FN177">
        <v>-1.110001125703416</v>
      </c>
      <c r="FO177">
        <v>0.1240576055457706</v>
      </c>
      <c r="FP177">
        <v>-1</v>
      </c>
      <c r="FQ177">
        <v>9.536003750000001</v>
      </c>
      <c r="FR177">
        <v>-0.7970653283302208</v>
      </c>
      <c r="FS177">
        <v>0.07721336340580875</v>
      </c>
      <c r="FT177">
        <v>-1</v>
      </c>
      <c r="FU177">
        <v>0</v>
      </c>
      <c r="FV177">
        <v>0</v>
      </c>
      <c r="FW177">
        <v>0</v>
      </c>
      <c r="FX177">
        <v>-1</v>
      </c>
      <c r="FY177">
        <v>0</v>
      </c>
      <c r="FZ177">
        <v>0</v>
      </c>
      <c r="GA177" t="s">
        <v>432</v>
      </c>
      <c r="GB177">
        <v>2.98</v>
      </c>
      <c r="GC177">
        <v>2.70632</v>
      </c>
      <c r="GD177">
        <v>0.169637</v>
      </c>
      <c r="GE177">
        <v>0.174437</v>
      </c>
      <c r="GF177">
        <v>0.08739130000000001</v>
      </c>
      <c r="GG177">
        <v>0.0504003</v>
      </c>
      <c r="GH177">
        <v>26199.7</v>
      </c>
      <c r="GI177">
        <v>26104.9</v>
      </c>
      <c r="GJ177">
        <v>29341.8</v>
      </c>
      <c r="GK177">
        <v>29255</v>
      </c>
      <c r="GL177">
        <v>35461.8</v>
      </c>
      <c r="GM177">
        <v>36999.9</v>
      </c>
      <c r="GN177">
        <v>41303</v>
      </c>
      <c r="GO177">
        <v>41751.6</v>
      </c>
      <c r="GP177">
        <v>1.9553</v>
      </c>
      <c r="GQ177">
        <v>1.83602</v>
      </c>
      <c r="GR177">
        <v>-0.0345632</v>
      </c>
      <c r="GS177">
        <v>0</v>
      </c>
      <c r="GT177">
        <v>25.5757</v>
      </c>
      <c r="GU177">
        <v>999.9</v>
      </c>
      <c r="GV177">
        <v>38.5</v>
      </c>
      <c r="GW177">
        <v>33.9</v>
      </c>
      <c r="GX177">
        <v>22.7106</v>
      </c>
      <c r="GY177">
        <v>62.4576</v>
      </c>
      <c r="GZ177">
        <v>35.4888</v>
      </c>
      <c r="HA177">
        <v>1</v>
      </c>
      <c r="HB177">
        <v>0.136928</v>
      </c>
      <c r="HC177">
        <v>2.32878</v>
      </c>
      <c r="HD177">
        <v>20.3185</v>
      </c>
      <c r="HE177">
        <v>5.21789</v>
      </c>
      <c r="HF177">
        <v>12.0099</v>
      </c>
      <c r="HG177">
        <v>4.9889</v>
      </c>
      <c r="HH177">
        <v>3.28865</v>
      </c>
      <c r="HI177">
        <v>854.3</v>
      </c>
      <c r="HJ177">
        <v>8504.1</v>
      </c>
      <c r="HK177">
        <v>5139.4</v>
      </c>
      <c r="HL177">
        <v>22.9</v>
      </c>
      <c r="HM177">
        <v>1.86751</v>
      </c>
      <c r="HN177">
        <v>1.86646</v>
      </c>
      <c r="HO177">
        <v>1.866</v>
      </c>
      <c r="HP177">
        <v>1.86586</v>
      </c>
      <c r="HQ177">
        <v>1.86777</v>
      </c>
      <c r="HR177">
        <v>1.87026</v>
      </c>
      <c r="HS177">
        <v>1.8689</v>
      </c>
      <c r="HT177">
        <v>1.87027</v>
      </c>
      <c r="HU177">
        <v>0</v>
      </c>
      <c r="HV177">
        <v>0</v>
      </c>
      <c r="HW177">
        <v>0</v>
      </c>
      <c r="HX177">
        <v>0</v>
      </c>
      <c r="HY177" t="s">
        <v>421</v>
      </c>
      <c r="HZ177" t="s">
        <v>422</v>
      </c>
      <c r="IA177" t="s">
        <v>423</v>
      </c>
      <c r="IB177" t="s">
        <v>423</v>
      </c>
      <c r="IC177" t="s">
        <v>423</v>
      </c>
      <c r="ID177" t="s">
        <v>423</v>
      </c>
      <c r="IE177">
        <v>0</v>
      </c>
      <c r="IF177">
        <v>100</v>
      </c>
      <c r="IG177">
        <v>100</v>
      </c>
      <c r="IH177">
        <v>-2.284</v>
      </c>
      <c r="II177">
        <v>0.0039</v>
      </c>
      <c r="IJ177">
        <v>-0.4995723906072</v>
      </c>
      <c r="IK177">
        <v>-0.002077099775823331</v>
      </c>
      <c r="IL177">
        <v>4.593143279902166E-07</v>
      </c>
      <c r="IM177">
        <v>-1.865383991892071E-10</v>
      </c>
      <c r="IN177">
        <v>-0.07605349583632376</v>
      </c>
      <c r="IO177">
        <v>-0.01129461987421345</v>
      </c>
      <c r="IP177">
        <v>0.00116580895745559</v>
      </c>
      <c r="IQ177">
        <v>-1.679085872906199E-05</v>
      </c>
      <c r="IR177">
        <v>2</v>
      </c>
      <c r="IS177">
        <v>2290</v>
      </c>
      <c r="IT177">
        <v>0</v>
      </c>
      <c r="IU177">
        <v>32</v>
      </c>
      <c r="IV177">
        <v>9.800000000000001</v>
      </c>
      <c r="IW177">
        <v>9.4</v>
      </c>
      <c r="IX177">
        <v>2.17773</v>
      </c>
      <c r="IY177">
        <v>2.20825</v>
      </c>
      <c r="IZ177">
        <v>1.39648</v>
      </c>
      <c r="JA177">
        <v>2.3584</v>
      </c>
      <c r="JB177">
        <v>1.49536</v>
      </c>
      <c r="JC177">
        <v>2.36084</v>
      </c>
      <c r="JD177">
        <v>38.4524</v>
      </c>
      <c r="JE177">
        <v>24.0437</v>
      </c>
      <c r="JF177">
        <v>18</v>
      </c>
      <c r="JG177">
        <v>514.87</v>
      </c>
      <c r="JH177">
        <v>423.806</v>
      </c>
      <c r="JI177">
        <v>22.6198</v>
      </c>
      <c r="JJ177">
        <v>29.0953</v>
      </c>
      <c r="JK177">
        <v>30.0002</v>
      </c>
      <c r="JL177">
        <v>29.0975</v>
      </c>
      <c r="JM177">
        <v>29.0384</v>
      </c>
      <c r="JN177">
        <v>43.5967</v>
      </c>
      <c r="JO177">
        <v>55.6913</v>
      </c>
      <c r="JP177">
        <v>0</v>
      </c>
      <c r="JQ177">
        <v>22.6081</v>
      </c>
      <c r="JR177">
        <v>1069.26</v>
      </c>
      <c r="JS177">
        <v>8.90939</v>
      </c>
      <c r="JT177">
        <v>100.301</v>
      </c>
      <c r="JU177">
        <v>100.211</v>
      </c>
    </row>
    <row r="178" spans="1:281">
      <c r="A178">
        <v>162</v>
      </c>
      <c r="B178">
        <v>1651857608.6</v>
      </c>
      <c r="C178">
        <v>608</v>
      </c>
      <c r="D178" t="s">
        <v>751</v>
      </c>
      <c r="E178" t="s">
        <v>752</v>
      </c>
      <c r="F178">
        <v>2</v>
      </c>
      <c r="G178" t="s">
        <v>413</v>
      </c>
      <c r="H178" t="s">
        <v>414</v>
      </c>
      <c r="I178">
        <v>1651857607.225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1056.366375626219</v>
      </c>
      <c r="AK178">
        <v>1009.74946060606</v>
      </c>
      <c r="AL178">
        <v>3.452025522833031</v>
      </c>
      <c r="AM178">
        <v>66.38384787954378</v>
      </c>
      <c r="AN178">
        <f>(AP178 - AO178 + DI178*1E3/(8.314*(DK178+273.15)) * AR178/DH178 * AQ178) * DH178/(100*CV178) * 1000/(1000 - AP178)</f>
        <v>0</v>
      </c>
      <c r="AO178">
        <v>8.81385362563204</v>
      </c>
      <c r="AP178">
        <v>18.24626705882353</v>
      </c>
      <c r="AQ178">
        <v>-0.0001978045744475763</v>
      </c>
      <c r="AR178">
        <v>80.44866334591464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417</v>
      </c>
      <c r="AY178" t="s">
        <v>417</v>
      </c>
      <c r="AZ178">
        <v>0</v>
      </c>
      <c r="BA178">
        <v>0</v>
      </c>
      <c r="BB178">
        <f>1-AZ178/BA178</f>
        <v>0</v>
      </c>
      <c r="BC178">
        <v>0</v>
      </c>
      <c r="BD178" t="s">
        <v>417</v>
      </c>
      <c r="BE178" t="s">
        <v>417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1238</v>
      </c>
      <c r="CA178">
        <v>300</v>
      </c>
      <c r="CB178">
        <v>300</v>
      </c>
      <c r="CC178">
        <v>300</v>
      </c>
      <c r="CD178">
        <v>10440.5</v>
      </c>
      <c r="CE178">
        <v>1411.69</v>
      </c>
      <c r="CF178">
        <v>-0.00735121</v>
      </c>
      <c r="CG178">
        <v>-0.77</v>
      </c>
      <c r="CH178" t="s">
        <v>417</v>
      </c>
      <c r="CI178" t="s">
        <v>417</v>
      </c>
      <c r="CJ178" t="s">
        <v>417</v>
      </c>
      <c r="CK178" t="s">
        <v>417</v>
      </c>
      <c r="CL178" t="s">
        <v>417</v>
      </c>
      <c r="CM178" t="s">
        <v>417</v>
      </c>
      <c r="CN178" t="s">
        <v>417</v>
      </c>
      <c r="CO178" t="s">
        <v>417</v>
      </c>
      <c r="CP178" t="s">
        <v>417</v>
      </c>
      <c r="CQ178" t="s">
        <v>417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418</v>
      </c>
      <c r="CY178">
        <v>2</v>
      </c>
      <c r="CZ178" t="b">
        <v>1</v>
      </c>
      <c r="DA178">
        <v>1651857607.225</v>
      </c>
      <c r="DB178">
        <v>988.35</v>
      </c>
      <c r="DC178">
        <v>1051.81</v>
      </c>
      <c r="DD178">
        <v>18.245125</v>
      </c>
      <c r="DE178">
        <v>8.851857499999999</v>
      </c>
      <c r="DF178">
        <v>990.6377499999999</v>
      </c>
      <c r="DG178">
        <v>18.241175</v>
      </c>
      <c r="DH178">
        <v>500.069</v>
      </c>
      <c r="DI178">
        <v>90.07457500000001</v>
      </c>
      <c r="DJ178">
        <v>0.100060625</v>
      </c>
      <c r="DK178">
        <v>25.77795</v>
      </c>
      <c r="DL178">
        <v>25.013</v>
      </c>
      <c r="DM178">
        <v>999.9</v>
      </c>
      <c r="DN178">
        <v>0</v>
      </c>
      <c r="DO178">
        <v>0</v>
      </c>
      <c r="DP178">
        <v>10006.57</v>
      </c>
      <c r="DQ178">
        <v>0</v>
      </c>
      <c r="DR178">
        <v>3.20383</v>
      </c>
      <c r="DS178">
        <v>-63.462575</v>
      </c>
      <c r="DT178">
        <v>1006.7175</v>
      </c>
      <c r="DU178">
        <v>1061.2075</v>
      </c>
      <c r="DV178">
        <v>9.393247500000001</v>
      </c>
      <c r="DW178">
        <v>1051.81</v>
      </c>
      <c r="DX178">
        <v>8.851857499999999</v>
      </c>
      <c r="DY178">
        <v>1.64342</v>
      </c>
      <c r="DZ178">
        <v>0.7973275</v>
      </c>
      <c r="EA178">
        <v>14.372075</v>
      </c>
      <c r="EB178">
        <v>3.6598125</v>
      </c>
      <c r="EC178">
        <v>1500.035</v>
      </c>
      <c r="ED178">
        <v>0.973007</v>
      </c>
      <c r="EE178">
        <v>0.0269931</v>
      </c>
      <c r="EF178">
        <v>0</v>
      </c>
      <c r="EG178">
        <v>992.9085</v>
      </c>
      <c r="EH178">
        <v>5.00097</v>
      </c>
      <c r="EI178">
        <v>14749.25</v>
      </c>
      <c r="EJ178">
        <v>12491.875</v>
      </c>
      <c r="EK178">
        <v>37.5</v>
      </c>
      <c r="EL178">
        <v>39</v>
      </c>
      <c r="EM178">
        <v>37.875</v>
      </c>
      <c r="EN178">
        <v>38.75</v>
      </c>
      <c r="EO178">
        <v>38.375</v>
      </c>
      <c r="EP178">
        <v>1454.675</v>
      </c>
      <c r="EQ178">
        <v>40.36</v>
      </c>
      <c r="ER178">
        <v>0</v>
      </c>
      <c r="ES178">
        <v>607.2000000476837</v>
      </c>
      <c r="ET178">
        <v>0</v>
      </c>
      <c r="EU178">
        <v>996.6129999999998</v>
      </c>
      <c r="EV178">
        <v>-36.76707700407305</v>
      </c>
      <c r="EW178">
        <v>-531.3692316139923</v>
      </c>
      <c r="EX178">
        <v>14803.712</v>
      </c>
      <c r="EY178">
        <v>15</v>
      </c>
      <c r="EZ178">
        <v>1651857041.1</v>
      </c>
      <c r="FA178" t="s">
        <v>419</v>
      </c>
      <c r="FB178">
        <v>1651857019.6</v>
      </c>
      <c r="FC178">
        <v>1651857041.1</v>
      </c>
      <c r="FD178">
        <v>1</v>
      </c>
      <c r="FE178">
        <v>0.545</v>
      </c>
      <c r="FF178">
        <v>-0.002</v>
      </c>
      <c r="FG178">
        <v>-1.271</v>
      </c>
      <c r="FH178">
        <v>-0.09</v>
      </c>
      <c r="FI178">
        <v>400</v>
      </c>
      <c r="FJ178">
        <v>10</v>
      </c>
      <c r="FK178">
        <v>0.1</v>
      </c>
      <c r="FL178">
        <v>0.02</v>
      </c>
      <c r="FM178">
        <v>-63.08427560975609</v>
      </c>
      <c r="FN178">
        <v>-1.421701045296243</v>
      </c>
      <c r="FO178">
        <v>0.1600691554518462</v>
      </c>
      <c r="FP178">
        <v>-1</v>
      </c>
      <c r="FQ178">
        <v>9.520262926829268</v>
      </c>
      <c r="FR178">
        <v>-0.8116032752613258</v>
      </c>
      <c r="FS178">
        <v>0.08042980788433915</v>
      </c>
      <c r="FT178">
        <v>-1</v>
      </c>
      <c r="FU178">
        <v>0</v>
      </c>
      <c r="FV178">
        <v>0</v>
      </c>
      <c r="FW178">
        <v>0</v>
      </c>
      <c r="FX178">
        <v>-1</v>
      </c>
      <c r="FY178">
        <v>0</v>
      </c>
      <c r="FZ178">
        <v>0</v>
      </c>
      <c r="GA178" t="s">
        <v>432</v>
      </c>
      <c r="GB178">
        <v>2.98004</v>
      </c>
      <c r="GC178">
        <v>2.70618</v>
      </c>
      <c r="GD178">
        <v>0.170388</v>
      </c>
      <c r="GE178">
        <v>0.175149</v>
      </c>
      <c r="GF178">
        <v>0.0873872</v>
      </c>
      <c r="GG178">
        <v>0.0504261</v>
      </c>
      <c r="GH178">
        <v>26176.1</v>
      </c>
      <c r="GI178">
        <v>26082.8</v>
      </c>
      <c r="GJ178">
        <v>29341.9</v>
      </c>
      <c r="GK178">
        <v>29255.5</v>
      </c>
      <c r="GL178">
        <v>35462.1</v>
      </c>
      <c r="GM178">
        <v>36999.5</v>
      </c>
      <c r="GN178">
        <v>41303.1</v>
      </c>
      <c r="GO178">
        <v>41752.3</v>
      </c>
      <c r="GP178">
        <v>1.9553</v>
      </c>
      <c r="GQ178">
        <v>1.83598</v>
      </c>
      <c r="GR178">
        <v>-0.0340268</v>
      </c>
      <c r="GS178">
        <v>0</v>
      </c>
      <c r="GT178">
        <v>25.5757</v>
      </c>
      <c r="GU178">
        <v>999.9</v>
      </c>
      <c r="GV178">
        <v>38.5</v>
      </c>
      <c r="GW178">
        <v>33.9</v>
      </c>
      <c r="GX178">
        <v>22.7111</v>
      </c>
      <c r="GY178">
        <v>62.4676</v>
      </c>
      <c r="GZ178">
        <v>35.2604</v>
      </c>
      <c r="HA178">
        <v>1</v>
      </c>
      <c r="HB178">
        <v>0.136905</v>
      </c>
      <c r="HC178">
        <v>2.31713</v>
      </c>
      <c r="HD178">
        <v>20.3178</v>
      </c>
      <c r="HE178">
        <v>5.21789</v>
      </c>
      <c r="HF178">
        <v>12.0099</v>
      </c>
      <c r="HG178">
        <v>4.98895</v>
      </c>
      <c r="HH178">
        <v>3.28865</v>
      </c>
      <c r="HI178">
        <v>854.3</v>
      </c>
      <c r="HJ178">
        <v>8504.1</v>
      </c>
      <c r="HK178">
        <v>5139.4</v>
      </c>
      <c r="HL178">
        <v>22.9</v>
      </c>
      <c r="HM178">
        <v>1.86752</v>
      </c>
      <c r="HN178">
        <v>1.86646</v>
      </c>
      <c r="HO178">
        <v>1.866</v>
      </c>
      <c r="HP178">
        <v>1.86586</v>
      </c>
      <c r="HQ178">
        <v>1.86777</v>
      </c>
      <c r="HR178">
        <v>1.87026</v>
      </c>
      <c r="HS178">
        <v>1.8689</v>
      </c>
      <c r="HT178">
        <v>1.87027</v>
      </c>
      <c r="HU178">
        <v>0</v>
      </c>
      <c r="HV178">
        <v>0</v>
      </c>
      <c r="HW178">
        <v>0</v>
      </c>
      <c r="HX178">
        <v>0</v>
      </c>
      <c r="HY178" t="s">
        <v>421</v>
      </c>
      <c r="HZ178" t="s">
        <v>422</v>
      </c>
      <c r="IA178" t="s">
        <v>423</v>
      </c>
      <c r="IB178" t="s">
        <v>423</v>
      </c>
      <c r="IC178" t="s">
        <v>423</v>
      </c>
      <c r="ID178" t="s">
        <v>423</v>
      </c>
      <c r="IE178">
        <v>0</v>
      </c>
      <c r="IF178">
        <v>100</v>
      </c>
      <c r="IG178">
        <v>100</v>
      </c>
      <c r="IH178">
        <v>-2.296</v>
      </c>
      <c r="II178">
        <v>0.0039</v>
      </c>
      <c r="IJ178">
        <v>-0.4995723906072</v>
      </c>
      <c r="IK178">
        <v>-0.002077099775823331</v>
      </c>
      <c r="IL178">
        <v>4.593143279902166E-07</v>
      </c>
      <c r="IM178">
        <v>-1.865383991892071E-10</v>
      </c>
      <c r="IN178">
        <v>-0.07605349583632376</v>
      </c>
      <c r="IO178">
        <v>-0.01129461987421345</v>
      </c>
      <c r="IP178">
        <v>0.00116580895745559</v>
      </c>
      <c r="IQ178">
        <v>-1.679085872906199E-05</v>
      </c>
      <c r="IR178">
        <v>2</v>
      </c>
      <c r="IS178">
        <v>2290</v>
      </c>
      <c r="IT178">
        <v>0</v>
      </c>
      <c r="IU178">
        <v>32</v>
      </c>
      <c r="IV178">
        <v>9.800000000000001</v>
      </c>
      <c r="IW178">
        <v>9.5</v>
      </c>
      <c r="IX178">
        <v>2.1875</v>
      </c>
      <c r="IY178">
        <v>2.21313</v>
      </c>
      <c r="IZ178">
        <v>1.39648</v>
      </c>
      <c r="JA178">
        <v>2.35962</v>
      </c>
      <c r="JB178">
        <v>1.49536</v>
      </c>
      <c r="JC178">
        <v>2.28516</v>
      </c>
      <c r="JD178">
        <v>38.4524</v>
      </c>
      <c r="JE178">
        <v>24.035</v>
      </c>
      <c r="JF178">
        <v>18</v>
      </c>
      <c r="JG178">
        <v>514.87</v>
      </c>
      <c r="JH178">
        <v>423.768</v>
      </c>
      <c r="JI178">
        <v>22.6107</v>
      </c>
      <c r="JJ178">
        <v>29.0941</v>
      </c>
      <c r="JK178">
        <v>30.0002</v>
      </c>
      <c r="JL178">
        <v>29.0975</v>
      </c>
      <c r="JM178">
        <v>29.0372</v>
      </c>
      <c r="JN178">
        <v>43.7956</v>
      </c>
      <c r="JO178">
        <v>55.6913</v>
      </c>
      <c r="JP178">
        <v>0</v>
      </c>
      <c r="JQ178">
        <v>22.595</v>
      </c>
      <c r="JR178">
        <v>1075.96</v>
      </c>
      <c r="JS178">
        <v>8.933350000000001</v>
      </c>
      <c r="JT178">
        <v>100.301</v>
      </c>
      <c r="JU178">
        <v>100.213</v>
      </c>
    </row>
    <row r="179" spans="1:281">
      <c r="A179">
        <v>163</v>
      </c>
      <c r="B179">
        <v>1651857610.6</v>
      </c>
      <c r="C179">
        <v>610</v>
      </c>
      <c r="D179" t="s">
        <v>753</v>
      </c>
      <c r="E179" t="s">
        <v>754</v>
      </c>
      <c r="F179">
        <v>2</v>
      </c>
      <c r="G179" t="s">
        <v>413</v>
      </c>
      <c r="H179" t="s">
        <v>414</v>
      </c>
      <c r="I179">
        <v>1651857609.6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1063.275625770593</v>
      </c>
      <c r="AK179">
        <v>1016.675878787878</v>
      </c>
      <c r="AL179">
        <v>3.462363685964896</v>
      </c>
      <c r="AM179">
        <v>66.38384787954378</v>
      </c>
      <c r="AN179">
        <f>(AP179 - AO179 + DI179*1E3/(8.314*(DK179+273.15)) * AR179/DH179 * AQ179) * DH179/(100*CV179) * 1000/(1000 - AP179)</f>
        <v>0</v>
      </c>
      <c r="AO179">
        <v>8.845205672249975</v>
      </c>
      <c r="AP179">
        <v>18.24437323529411</v>
      </c>
      <c r="AQ179">
        <v>0.0001811367276371735</v>
      </c>
      <c r="AR179">
        <v>80.44866334591464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417</v>
      </c>
      <c r="AY179" t="s">
        <v>417</v>
      </c>
      <c r="AZ179">
        <v>0</v>
      </c>
      <c r="BA179">
        <v>0</v>
      </c>
      <c r="BB179">
        <f>1-AZ179/BA179</f>
        <v>0</v>
      </c>
      <c r="BC179">
        <v>0</v>
      </c>
      <c r="BD179" t="s">
        <v>417</v>
      </c>
      <c r="BE179" t="s">
        <v>417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1238</v>
      </c>
      <c r="CA179">
        <v>300</v>
      </c>
      <c r="CB179">
        <v>300</v>
      </c>
      <c r="CC179">
        <v>300</v>
      </c>
      <c r="CD179">
        <v>10440.5</v>
      </c>
      <c r="CE179">
        <v>1411.69</v>
      </c>
      <c r="CF179">
        <v>-0.00735121</v>
      </c>
      <c r="CG179">
        <v>-0.77</v>
      </c>
      <c r="CH179" t="s">
        <v>417</v>
      </c>
      <c r="CI179" t="s">
        <v>417</v>
      </c>
      <c r="CJ179" t="s">
        <v>417</v>
      </c>
      <c r="CK179" t="s">
        <v>417</v>
      </c>
      <c r="CL179" t="s">
        <v>417</v>
      </c>
      <c r="CM179" t="s">
        <v>417</v>
      </c>
      <c r="CN179" t="s">
        <v>417</v>
      </c>
      <c r="CO179" t="s">
        <v>417</v>
      </c>
      <c r="CP179" t="s">
        <v>417</v>
      </c>
      <c r="CQ179" t="s">
        <v>417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418</v>
      </c>
      <c r="CY179">
        <v>2</v>
      </c>
      <c r="CZ179" t="b">
        <v>1</v>
      </c>
      <c r="DA179">
        <v>1651857609.6</v>
      </c>
      <c r="DB179">
        <v>996.4299999999999</v>
      </c>
      <c r="DC179">
        <v>1059.593333333333</v>
      </c>
      <c r="DD179">
        <v>18.2447</v>
      </c>
      <c r="DE179">
        <v>8.856870000000001</v>
      </c>
      <c r="DF179">
        <v>998.7330000000001</v>
      </c>
      <c r="DG179">
        <v>18.24076666666667</v>
      </c>
      <c r="DH179">
        <v>500.044</v>
      </c>
      <c r="DI179">
        <v>90.07430000000001</v>
      </c>
      <c r="DJ179">
        <v>0.09983883333333332</v>
      </c>
      <c r="DK179">
        <v>25.77453333333333</v>
      </c>
      <c r="DL179">
        <v>25.01753333333333</v>
      </c>
      <c r="DM179">
        <v>999.9</v>
      </c>
      <c r="DN179">
        <v>0</v>
      </c>
      <c r="DO179">
        <v>0</v>
      </c>
      <c r="DP179">
        <v>10013.3</v>
      </c>
      <c r="DQ179">
        <v>0</v>
      </c>
      <c r="DR179">
        <v>3.20383</v>
      </c>
      <c r="DS179">
        <v>-63.16183333333333</v>
      </c>
      <c r="DT179">
        <v>1014.95</v>
      </c>
      <c r="DU179">
        <v>1069.06</v>
      </c>
      <c r="DV179">
        <v>9.387806666666666</v>
      </c>
      <c r="DW179">
        <v>1059.593333333333</v>
      </c>
      <c r="DX179">
        <v>8.856870000000001</v>
      </c>
      <c r="DY179">
        <v>1.643376666666667</v>
      </c>
      <c r="DZ179">
        <v>0.7977766666666666</v>
      </c>
      <c r="EA179">
        <v>14.37166666666667</v>
      </c>
      <c r="EB179">
        <v>3.667803333333334</v>
      </c>
      <c r="EC179">
        <v>1500.03</v>
      </c>
      <c r="ED179">
        <v>0.973007</v>
      </c>
      <c r="EE179">
        <v>0.0269931</v>
      </c>
      <c r="EF179">
        <v>0</v>
      </c>
      <c r="EG179">
        <v>991.747</v>
      </c>
      <c r="EH179">
        <v>5.00097</v>
      </c>
      <c r="EI179">
        <v>14729.76666666667</v>
      </c>
      <c r="EJ179">
        <v>12491.86666666667</v>
      </c>
      <c r="EK179">
        <v>37.5</v>
      </c>
      <c r="EL179">
        <v>39</v>
      </c>
      <c r="EM179">
        <v>37.875</v>
      </c>
      <c r="EN179">
        <v>38.75</v>
      </c>
      <c r="EO179">
        <v>38.375</v>
      </c>
      <c r="EP179">
        <v>1454.67</v>
      </c>
      <c r="EQ179">
        <v>40.36</v>
      </c>
      <c r="ER179">
        <v>0</v>
      </c>
      <c r="ES179">
        <v>609.6000001430511</v>
      </c>
      <c r="ET179">
        <v>0</v>
      </c>
      <c r="EU179">
        <v>995.1744799999999</v>
      </c>
      <c r="EV179">
        <v>-36.17661540905657</v>
      </c>
      <c r="EW179">
        <v>-525.869230805309</v>
      </c>
      <c r="EX179">
        <v>14782.436</v>
      </c>
      <c r="EY179">
        <v>15</v>
      </c>
      <c r="EZ179">
        <v>1651857041.1</v>
      </c>
      <c r="FA179" t="s">
        <v>419</v>
      </c>
      <c r="FB179">
        <v>1651857019.6</v>
      </c>
      <c r="FC179">
        <v>1651857041.1</v>
      </c>
      <c r="FD179">
        <v>1</v>
      </c>
      <c r="FE179">
        <v>0.545</v>
      </c>
      <c r="FF179">
        <v>-0.002</v>
      </c>
      <c r="FG179">
        <v>-1.271</v>
      </c>
      <c r="FH179">
        <v>-0.09</v>
      </c>
      <c r="FI179">
        <v>400</v>
      </c>
      <c r="FJ179">
        <v>10</v>
      </c>
      <c r="FK179">
        <v>0.1</v>
      </c>
      <c r="FL179">
        <v>0.02</v>
      </c>
      <c r="FM179">
        <v>-63.1296775</v>
      </c>
      <c r="FN179">
        <v>-1.381633395872391</v>
      </c>
      <c r="FO179">
        <v>0.1647374979892253</v>
      </c>
      <c r="FP179">
        <v>-1</v>
      </c>
      <c r="FQ179">
        <v>9.486362250000003</v>
      </c>
      <c r="FR179">
        <v>-0.771939174484057</v>
      </c>
      <c r="FS179">
        <v>0.07501903596712961</v>
      </c>
      <c r="FT179">
        <v>-1</v>
      </c>
      <c r="FU179">
        <v>0</v>
      </c>
      <c r="FV179">
        <v>0</v>
      </c>
      <c r="FW179">
        <v>0</v>
      </c>
      <c r="FX179">
        <v>-1</v>
      </c>
      <c r="FY179">
        <v>0</v>
      </c>
      <c r="FZ179">
        <v>0</v>
      </c>
      <c r="GA179" t="s">
        <v>432</v>
      </c>
      <c r="GB179">
        <v>2.97994</v>
      </c>
      <c r="GC179">
        <v>2.70615</v>
      </c>
      <c r="GD179">
        <v>0.171135</v>
      </c>
      <c r="GE179">
        <v>0.175816</v>
      </c>
      <c r="GF179">
        <v>0.0873782</v>
      </c>
      <c r="GG179">
        <v>0.0504332</v>
      </c>
      <c r="GH179">
        <v>26152.4</v>
      </c>
      <c r="GI179">
        <v>26061.8</v>
      </c>
      <c r="GJ179">
        <v>29341.8</v>
      </c>
      <c r="GK179">
        <v>29255.6</v>
      </c>
      <c r="GL179">
        <v>35462.2</v>
      </c>
      <c r="GM179">
        <v>36999.3</v>
      </c>
      <c r="GN179">
        <v>41302.8</v>
      </c>
      <c r="GO179">
        <v>41752.3</v>
      </c>
      <c r="GP179">
        <v>1.9552</v>
      </c>
      <c r="GQ179">
        <v>1.83595</v>
      </c>
      <c r="GR179">
        <v>-0.033997</v>
      </c>
      <c r="GS179">
        <v>0</v>
      </c>
      <c r="GT179">
        <v>25.5767</v>
      </c>
      <c r="GU179">
        <v>999.9</v>
      </c>
      <c r="GV179">
        <v>38.5</v>
      </c>
      <c r="GW179">
        <v>34</v>
      </c>
      <c r="GX179">
        <v>22.8382</v>
      </c>
      <c r="GY179">
        <v>62.3276</v>
      </c>
      <c r="GZ179">
        <v>35.621</v>
      </c>
      <c r="HA179">
        <v>1</v>
      </c>
      <c r="HB179">
        <v>0.136961</v>
      </c>
      <c r="HC179">
        <v>2.32657</v>
      </c>
      <c r="HD179">
        <v>20.3167</v>
      </c>
      <c r="HE179">
        <v>5.21819</v>
      </c>
      <c r="HF179">
        <v>12.0099</v>
      </c>
      <c r="HG179">
        <v>4.9888</v>
      </c>
      <c r="HH179">
        <v>3.28865</v>
      </c>
      <c r="HI179">
        <v>854.3</v>
      </c>
      <c r="HJ179">
        <v>8504.1</v>
      </c>
      <c r="HK179">
        <v>5139.4</v>
      </c>
      <c r="HL179">
        <v>22.9</v>
      </c>
      <c r="HM179">
        <v>1.86752</v>
      </c>
      <c r="HN179">
        <v>1.86646</v>
      </c>
      <c r="HO179">
        <v>1.866</v>
      </c>
      <c r="HP179">
        <v>1.86586</v>
      </c>
      <c r="HQ179">
        <v>1.86775</v>
      </c>
      <c r="HR179">
        <v>1.87026</v>
      </c>
      <c r="HS179">
        <v>1.86891</v>
      </c>
      <c r="HT179">
        <v>1.87027</v>
      </c>
      <c r="HU179">
        <v>0</v>
      </c>
      <c r="HV179">
        <v>0</v>
      </c>
      <c r="HW179">
        <v>0</v>
      </c>
      <c r="HX179">
        <v>0</v>
      </c>
      <c r="HY179" t="s">
        <v>421</v>
      </c>
      <c r="HZ179" t="s">
        <v>422</v>
      </c>
      <c r="IA179" t="s">
        <v>423</v>
      </c>
      <c r="IB179" t="s">
        <v>423</v>
      </c>
      <c r="IC179" t="s">
        <v>423</v>
      </c>
      <c r="ID179" t="s">
        <v>423</v>
      </c>
      <c r="IE179">
        <v>0</v>
      </c>
      <c r="IF179">
        <v>100</v>
      </c>
      <c r="IG179">
        <v>100</v>
      </c>
      <c r="IH179">
        <v>-2.307</v>
      </c>
      <c r="II179">
        <v>0.0038</v>
      </c>
      <c r="IJ179">
        <v>-0.4995723906072</v>
      </c>
      <c r="IK179">
        <v>-0.002077099775823331</v>
      </c>
      <c r="IL179">
        <v>4.593143279902166E-07</v>
      </c>
      <c r="IM179">
        <v>-1.865383991892071E-10</v>
      </c>
      <c r="IN179">
        <v>-0.07605349583632376</v>
      </c>
      <c r="IO179">
        <v>-0.01129461987421345</v>
      </c>
      <c r="IP179">
        <v>0.00116580895745559</v>
      </c>
      <c r="IQ179">
        <v>-1.679085872906199E-05</v>
      </c>
      <c r="IR179">
        <v>2</v>
      </c>
      <c r="IS179">
        <v>2290</v>
      </c>
      <c r="IT179">
        <v>0</v>
      </c>
      <c r="IU179">
        <v>32</v>
      </c>
      <c r="IV179">
        <v>9.800000000000001</v>
      </c>
      <c r="IW179">
        <v>9.5</v>
      </c>
      <c r="IX179">
        <v>2.19849</v>
      </c>
      <c r="IY179">
        <v>2.20581</v>
      </c>
      <c r="IZ179">
        <v>1.39648</v>
      </c>
      <c r="JA179">
        <v>2.3584</v>
      </c>
      <c r="JB179">
        <v>1.49536</v>
      </c>
      <c r="JC179">
        <v>2.35474</v>
      </c>
      <c r="JD179">
        <v>38.4524</v>
      </c>
      <c r="JE179">
        <v>24.035</v>
      </c>
      <c r="JF179">
        <v>18</v>
      </c>
      <c r="JG179">
        <v>514.804</v>
      </c>
      <c r="JH179">
        <v>423.748</v>
      </c>
      <c r="JI179">
        <v>22.6045</v>
      </c>
      <c r="JJ179">
        <v>29.0936</v>
      </c>
      <c r="JK179">
        <v>30.0001</v>
      </c>
      <c r="JL179">
        <v>29.0975</v>
      </c>
      <c r="JM179">
        <v>29.0366</v>
      </c>
      <c r="JN179">
        <v>44.0059</v>
      </c>
      <c r="JO179">
        <v>55.6913</v>
      </c>
      <c r="JP179">
        <v>0</v>
      </c>
      <c r="JQ179">
        <v>22.595</v>
      </c>
      <c r="JR179">
        <v>1082.64</v>
      </c>
      <c r="JS179">
        <v>8.953239999999999</v>
      </c>
      <c r="JT179">
        <v>100.3</v>
      </c>
      <c r="JU179">
        <v>100.213</v>
      </c>
    </row>
    <row r="180" spans="1:281">
      <c r="A180">
        <v>164</v>
      </c>
      <c r="B180">
        <v>1651857612.6</v>
      </c>
      <c r="C180">
        <v>612</v>
      </c>
      <c r="D180" t="s">
        <v>755</v>
      </c>
      <c r="E180" t="s">
        <v>756</v>
      </c>
      <c r="F180">
        <v>2</v>
      </c>
      <c r="G180" t="s">
        <v>413</v>
      </c>
      <c r="H180" t="s">
        <v>414</v>
      </c>
      <c r="I180">
        <v>1651857611.225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1069.777955529955</v>
      </c>
      <c r="AK180">
        <v>1023.44096969697</v>
      </c>
      <c r="AL180">
        <v>3.412400384126103</v>
      </c>
      <c r="AM180">
        <v>66.38384787954378</v>
      </c>
      <c r="AN180">
        <f>(AP180 - AO180 + DI180*1E3/(8.314*(DK180+273.15)) * AR180/DH180 * AQ180) * DH180/(100*CV180) * 1000/(1000 - AP180)</f>
        <v>0</v>
      </c>
      <c r="AO180">
        <v>8.854628216349367</v>
      </c>
      <c r="AP180">
        <v>18.23844676470588</v>
      </c>
      <c r="AQ180">
        <v>0.0002056700776643811</v>
      </c>
      <c r="AR180">
        <v>80.44866334591464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417</v>
      </c>
      <c r="AY180" t="s">
        <v>417</v>
      </c>
      <c r="AZ180">
        <v>0</v>
      </c>
      <c r="BA180">
        <v>0</v>
      </c>
      <c r="BB180">
        <f>1-AZ180/BA180</f>
        <v>0</v>
      </c>
      <c r="BC180">
        <v>0</v>
      </c>
      <c r="BD180" t="s">
        <v>417</v>
      </c>
      <c r="BE180" t="s">
        <v>417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1238</v>
      </c>
      <c r="CA180">
        <v>300</v>
      </c>
      <c r="CB180">
        <v>300</v>
      </c>
      <c r="CC180">
        <v>300</v>
      </c>
      <c r="CD180">
        <v>10440.5</v>
      </c>
      <c r="CE180">
        <v>1411.69</v>
      </c>
      <c r="CF180">
        <v>-0.00735121</v>
      </c>
      <c r="CG180">
        <v>-0.77</v>
      </c>
      <c r="CH180" t="s">
        <v>417</v>
      </c>
      <c r="CI180" t="s">
        <v>417</v>
      </c>
      <c r="CJ180" t="s">
        <v>417</v>
      </c>
      <c r="CK180" t="s">
        <v>417</v>
      </c>
      <c r="CL180" t="s">
        <v>417</v>
      </c>
      <c r="CM180" t="s">
        <v>417</v>
      </c>
      <c r="CN180" t="s">
        <v>417</v>
      </c>
      <c r="CO180" t="s">
        <v>417</v>
      </c>
      <c r="CP180" t="s">
        <v>417</v>
      </c>
      <c r="CQ180" t="s">
        <v>417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418</v>
      </c>
      <c r="CY180">
        <v>2</v>
      </c>
      <c r="CZ180" t="b">
        <v>1</v>
      </c>
      <c r="DA180">
        <v>1651857611.225</v>
      </c>
      <c r="DB180">
        <v>1001.8755</v>
      </c>
      <c r="DC180">
        <v>1064.5925</v>
      </c>
      <c r="DD180">
        <v>18.2408</v>
      </c>
      <c r="DE180">
        <v>8.857585</v>
      </c>
      <c r="DF180">
        <v>1004.185</v>
      </c>
      <c r="DG180">
        <v>18.23695</v>
      </c>
      <c r="DH180">
        <v>500.02875</v>
      </c>
      <c r="DI180">
        <v>90.07429999999999</v>
      </c>
      <c r="DJ180">
        <v>0.09989197499999999</v>
      </c>
      <c r="DK180">
        <v>25.774125</v>
      </c>
      <c r="DL180">
        <v>25.018775</v>
      </c>
      <c r="DM180">
        <v>999.9</v>
      </c>
      <c r="DN180">
        <v>0</v>
      </c>
      <c r="DO180">
        <v>0</v>
      </c>
      <c r="DP180">
        <v>10006.225</v>
      </c>
      <c r="DQ180">
        <v>0</v>
      </c>
      <c r="DR180">
        <v>3.20383</v>
      </c>
      <c r="DS180">
        <v>-62.71865</v>
      </c>
      <c r="DT180">
        <v>1020.4875</v>
      </c>
      <c r="DU180">
        <v>1074.105</v>
      </c>
      <c r="DV180">
        <v>9.3832225</v>
      </c>
      <c r="DW180">
        <v>1064.5925</v>
      </c>
      <c r="DX180">
        <v>8.857585</v>
      </c>
      <c r="DY180">
        <v>1.64303</v>
      </c>
      <c r="DZ180">
        <v>0.79784075</v>
      </c>
      <c r="EA180">
        <v>14.368375</v>
      </c>
      <c r="EB180">
        <v>3.668945</v>
      </c>
      <c r="EC180">
        <v>1500.03</v>
      </c>
      <c r="ED180">
        <v>0.973007</v>
      </c>
      <c r="EE180">
        <v>0.0269931</v>
      </c>
      <c r="EF180">
        <v>0</v>
      </c>
      <c r="EG180">
        <v>990.78725</v>
      </c>
      <c r="EH180">
        <v>5.00097</v>
      </c>
      <c r="EI180">
        <v>14715.725</v>
      </c>
      <c r="EJ180">
        <v>12491.825</v>
      </c>
      <c r="EK180">
        <v>37.5</v>
      </c>
      <c r="EL180">
        <v>39</v>
      </c>
      <c r="EM180">
        <v>37.875</v>
      </c>
      <c r="EN180">
        <v>38.75</v>
      </c>
      <c r="EO180">
        <v>38.375</v>
      </c>
      <c r="EP180">
        <v>1454.67</v>
      </c>
      <c r="EQ180">
        <v>40.36</v>
      </c>
      <c r="ER180">
        <v>0</v>
      </c>
      <c r="ES180">
        <v>611.4000000953674</v>
      </c>
      <c r="ET180">
        <v>0</v>
      </c>
      <c r="EU180">
        <v>994.301153846154</v>
      </c>
      <c r="EV180">
        <v>-36.3460512548229</v>
      </c>
      <c r="EW180">
        <v>-532.622221504836</v>
      </c>
      <c r="EX180">
        <v>14769.4</v>
      </c>
      <c r="EY180">
        <v>15</v>
      </c>
      <c r="EZ180">
        <v>1651857041.1</v>
      </c>
      <c r="FA180" t="s">
        <v>419</v>
      </c>
      <c r="FB180">
        <v>1651857019.6</v>
      </c>
      <c r="FC180">
        <v>1651857041.1</v>
      </c>
      <c r="FD180">
        <v>1</v>
      </c>
      <c r="FE180">
        <v>0.545</v>
      </c>
      <c r="FF180">
        <v>-0.002</v>
      </c>
      <c r="FG180">
        <v>-1.271</v>
      </c>
      <c r="FH180">
        <v>-0.09</v>
      </c>
      <c r="FI180">
        <v>400</v>
      </c>
      <c r="FJ180">
        <v>10</v>
      </c>
      <c r="FK180">
        <v>0.1</v>
      </c>
      <c r="FL180">
        <v>0.02</v>
      </c>
      <c r="FM180">
        <v>-63.11013658536586</v>
      </c>
      <c r="FN180">
        <v>-0.6457254355401985</v>
      </c>
      <c r="FO180">
        <v>0.1914118580266602</v>
      </c>
      <c r="FP180">
        <v>-1</v>
      </c>
      <c r="FQ180">
        <v>9.472505609756098</v>
      </c>
      <c r="FR180">
        <v>-0.7233474564459661</v>
      </c>
      <c r="FS180">
        <v>0.07252293867725086</v>
      </c>
      <c r="FT180">
        <v>-1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0</v>
      </c>
      <c r="GA180" t="s">
        <v>432</v>
      </c>
      <c r="GB180">
        <v>2.98001</v>
      </c>
      <c r="GC180">
        <v>2.70615</v>
      </c>
      <c r="GD180">
        <v>0.171863</v>
      </c>
      <c r="GE180">
        <v>0.176461</v>
      </c>
      <c r="GF180">
        <v>0.0873664</v>
      </c>
      <c r="GG180">
        <v>0.0504376</v>
      </c>
      <c r="GH180">
        <v>26129.5</v>
      </c>
      <c r="GI180">
        <v>26041.3</v>
      </c>
      <c r="GJ180">
        <v>29341.9</v>
      </c>
      <c r="GK180">
        <v>29255.5</v>
      </c>
      <c r="GL180">
        <v>35462.9</v>
      </c>
      <c r="GM180">
        <v>36999</v>
      </c>
      <c r="GN180">
        <v>41303.1</v>
      </c>
      <c r="GO180">
        <v>41752.2</v>
      </c>
      <c r="GP180">
        <v>1.95522</v>
      </c>
      <c r="GQ180">
        <v>1.83592</v>
      </c>
      <c r="GR180">
        <v>-0.0344142</v>
      </c>
      <c r="GS180">
        <v>0</v>
      </c>
      <c r="GT180">
        <v>25.5778</v>
      </c>
      <c r="GU180">
        <v>999.9</v>
      </c>
      <c r="GV180">
        <v>38.5</v>
      </c>
      <c r="GW180">
        <v>34</v>
      </c>
      <c r="GX180">
        <v>22.8374</v>
      </c>
      <c r="GY180">
        <v>62.5476</v>
      </c>
      <c r="GZ180">
        <v>35.2364</v>
      </c>
      <c r="HA180">
        <v>1</v>
      </c>
      <c r="HB180">
        <v>0.136898</v>
      </c>
      <c r="HC180">
        <v>2.32837</v>
      </c>
      <c r="HD180">
        <v>20.3172</v>
      </c>
      <c r="HE180">
        <v>5.21804</v>
      </c>
      <c r="HF180">
        <v>12.0099</v>
      </c>
      <c r="HG180">
        <v>4.98885</v>
      </c>
      <c r="HH180">
        <v>3.28858</v>
      </c>
      <c r="HI180">
        <v>854.3</v>
      </c>
      <c r="HJ180">
        <v>8504.1</v>
      </c>
      <c r="HK180">
        <v>5139.4</v>
      </c>
      <c r="HL180">
        <v>22.9</v>
      </c>
      <c r="HM180">
        <v>1.86752</v>
      </c>
      <c r="HN180">
        <v>1.86646</v>
      </c>
      <c r="HO180">
        <v>1.866</v>
      </c>
      <c r="HP180">
        <v>1.86585</v>
      </c>
      <c r="HQ180">
        <v>1.86774</v>
      </c>
      <c r="HR180">
        <v>1.87027</v>
      </c>
      <c r="HS180">
        <v>1.8689</v>
      </c>
      <c r="HT180">
        <v>1.87027</v>
      </c>
      <c r="HU180">
        <v>0</v>
      </c>
      <c r="HV180">
        <v>0</v>
      </c>
      <c r="HW180">
        <v>0</v>
      </c>
      <c r="HX180">
        <v>0</v>
      </c>
      <c r="HY180" t="s">
        <v>421</v>
      </c>
      <c r="HZ180" t="s">
        <v>422</v>
      </c>
      <c r="IA180" t="s">
        <v>423</v>
      </c>
      <c r="IB180" t="s">
        <v>423</v>
      </c>
      <c r="IC180" t="s">
        <v>423</v>
      </c>
      <c r="ID180" t="s">
        <v>423</v>
      </c>
      <c r="IE180">
        <v>0</v>
      </c>
      <c r="IF180">
        <v>100</v>
      </c>
      <c r="IG180">
        <v>100</v>
      </c>
      <c r="IH180">
        <v>-2.32</v>
      </c>
      <c r="II180">
        <v>0.0038</v>
      </c>
      <c r="IJ180">
        <v>-0.4995723906072</v>
      </c>
      <c r="IK180">
        <v>-0.002077099775823331</v>
      </c>
      <c r="IL180">
        <v>4.593143279902166E-07</v>
      </c>
      <c r="IM180">
        <v>-1.865383991892071E-10</v>
      </c>
      <c r="IN180">
        <v>-0.07605349583632376</v>
      </c>
      <c r="IO180">
        <v>-0.01129461987421345</v>
      </c>
      <c r="IP180">
        <v>0.00116580895745559</v>
      </c>
      <c r="IQ180">
        <v>-1.679085872906199E-05</v>
      </c>
      <c r="IR180">
        <v>2</v>
      </c>
      <c r="IS180">
        <v>2290</v>
      </c>
      <c r="IT180">
        <v>0</v>
      </c>
      <c r="IU180">
        <v>32</v>
      </c>
      <c r="IV180">
        <v>9.9</v>
      </c>
      <c r="IW180">
        <v>9.5</v>
      </c>
      <c r="IX180">
        <v>2.20947</v>
      </c>
      <c r="IY180">
        <v>2.20337</v>
      </c>
      <c r="IZ180">
        <v>1.39648</v>
      </c>
      <c r="JA180">
        <v>2.35962</v>
      </c>
      <c r="JB180">
        <v>1.49536</v>
      </c>
      <c r="JC180">
        <v>2.34131</v>
      </c>
      <c r="JD180">
        <v>38.4524</v>
      </c>
      <c r="JE180">
        <v>24.035</v>
      </c>
      <c r="JF180">
        <v>18</v>
      </c>
      <c r="JG180">
        <v>514.8150000000001</v>
      </c>
      <c r="JH180">
        <v>423.733</v>
      </c>
      <c r="JI180">
        <v>22.5981</v>
      </c>
      <c r="JJ180">
        <v>29.0936</v>
      </c>
      <c r="JK180">
        <v>30.0001</v>
      </c>
      <c r="JL180">
        <v>29.0967</v>
      </c>
      <c r="JM180">
        <v>29.0366</v>
      </c>
      <c r="JN180">
        <v>44.2225</v>
      </c>
      <c r="JO180">
        <v>55.4057</v>
      </c>
      <c r="JP180">
        <v>0</v>
      </c>
      <c r="JQ180">
        <v>22.595</v>
      </c>
      <c r="JR180">
        <v>1089.32</v>
      </c>
      <c r="JS180">
        <v>8.97275</v>
      </c>
      <c r="JT180">
        <v>100.301</v>
      </c>
      <c r="JU180">
        <v>100.213</v>
      </c>
    </row>
    <row r="181" spans="1:281">
      <c r="A181">
        <v>165</v>
      </c>
      <c r="B181">
        <v>1651857614.1</v>
      </c>
      <c r="C181">
        <v>613.5</v>
      </c>
      <c r="D181" t="s">
        <v>757</v>
      </c>
      <c r="E181" t="s">
        <v>758</v>
      </c>
      <c r="F181">
        <v>2</v>
      </c>
      <c r="G181" t="s">
        <v>413</v>
      </c>
      <c r="H181" t="s">
        <v>414</v>
      </c>
      <c r="I181">
        <v>1651857612.6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1074.426730774939</v>
      </c>
      <c r="AK181">
        <v>1028.393818181818</v>
      </c>
      <c r="AL181">
        <v>3.343853491138408</v>
      </c>
      <c r="AM181">
        <v>66.38384787954378</v>
      </c>
      <c r="AN181">
        <f>(AP181 - AO181 + DI181*1E3/(8.314*(DK181+273.15)) * AR181/DH181 * AQ181) * DH181/(100*CV181) * 1000/(1000 - AP181)</f>
        <v>0</v>
      </c>
      <c r="AO181">
        <v>8.856560247601939</v>
      </c>
      <c r="AP181">
        <v>18.23363558823529</v>
      </c>
      <c r="AQ181">
        <v>2.200487123900069E-05</v>
      </c>
      <c r="AR181">
        <v>80.44866334591464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417</v>
      </c>
      <c r="AY181" t="s">
        <v>417</v>
      </c>
      <c r="AZ181">
        <v>0</v>
      </c>
      <c r="BA181">
        <v>0</v>
      </c>
      <c r="BB181">
        <f>1-AZ181/BA181</f>
        <v>0</v>
      </c>
      <c r="BC181">
        <v>0</v>
      </c>
      <c r="BD181" t="s">
        <v>417</v>
      </c>
      <c r="BE181" t="s">
        <v>417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1238</v>
      </c>
      <c r="CA181">
        <v>300</v>
      </c>
      <c r="CB181">
        <v>300</v>
      </c>
      <c r="CC181">
        <v>300</v>
      </c>
      <c r="CD181">
        <v>10440.5</v>
      </c>
      <c r="CE181">
        <v>1411.69</v>
      </c>
      <c r="CF181">
        <v>-0.00735121</v>
      </c>
      <c r="CG181">
        <v>-0.77</v>
      </c>
      <c r="CH181" t="s">
        <v>417</v>
      </c>
      <c r="CI181" t="s">
        <v>417</v>
      </c>
      <c r="CJ181" t="s">
        <v>417</v>
      </c>
      <c r="CK181" t="s">
        <v>417</v>
      </c>
      <c r="CL181" t="s">
        <v>417</v>
      </c>
      <c r="CM181" t="s">
        <v>417</v>
      </c>
      <c r="CN181" t="s">
        <v>417</v>
      </c>
      <c r="CO181" t="s">
        <v>417</v>
      </c>
      <c r="CP181" t="s">
        <v>417</v>
      </c>
      <c r="CQ181" t="s">
        <v>417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418</v>
      </c>
      <c r="CY181">
        <v>2</v>
      </c>
      <c r="CZ181" t="b">
        <v>1</v>
      </c>
      <c r="DA181">
        <v>1651857612.6</v>
      </c>
      <c r="DB181">
        <v>1006.395</v>
      </c>
      <c r="DC181">
        <v>1068.8</v>
      </c>
      <c r="DD181">
        <v>18.236875</v>
      </c>
      <c r="DE181">
        <v>8.858952499999999</v>
      </c>
      <c r="DF181">
        <v>1008.71</v>
      </c>
      <c r="DG181">
        <v>18.2331</v>
      </c>
      <c r="DH181">
        <v>500.0242500000001</v>
      </c>
      <c r="DI181">
        <v>90.07435000000001</v>
      </c>
      <c r="DJ181">
        <v>0.100048475</v>
      </c>
      <c r="DK181">
        <v>25.77495</v>
      </c>
      <c r="DL181">
        <v>25.01545</v>
      </c>
      <c r="DM181">
        <v>999.9</v>
      </c>
      <c r="DN181">
        <v>0</v>
      </c>
      <c r="DO181">
        <v>0</v>
      </c>
      <c r="DP181">
        <v>9992.799999999999</v>
      </c>
      <c r="DQ181">
        <v>0</v>
      </c>
      <c r="DR181">
        <v>3.20383</v>
      </c>
      <c r="DS181">
        <v>-62.409275</v>
      </c>
      <c r="DT181">
        <v>1025.085</v>
      </c>
      <c r="DU181">
        <v>1078.355</v>
      </c>
      <c r="DV181">
        <v>9.377955</v>
      </c>
      <c r="DW181">
        <v>1068.8</v>
      </c>
      <c r="DX181">
        <v>8.858952499999999</v>
      </c>
      <c r="DY181">
        <v>1.6426775</v>
      </c>
      <c r="DZ181">
        <v>0.7979645000000001</v>
      </c>
      <c r="EA181">
        <v>14.3651</v>
      </c>
      <c r="EB181">
        <v>3.671145</v>
      </c>
      <c r="EC181">
        <v>1500.025</v>
      </c>
      <c r="ED181">
        <v>0.97300575</v>
      </c>
      <c r="EE181">
        <v>0.02699445</v>
      </c>
      <c r="EF181">
        <v>0</v>
      </c>
      <c r="EG181">
        <v>989.8955</v>
      </c>
      <c r="EH181">
        <v>5.00097</v>
      </c>
      <c r="EI181">
        <v>14704.125</v>
      </c>
      <c r="EJ181">
        <v>12491.8</v>
      </c>
      <c r="EK181">
        <v>37.5</v>
      </c>
      <c r="EL181">
        <v>39</v>
      </c>
      <c r="EM181">
        <v>37.875</v>
      </c>
      <c r="EN181">
        <v>38.75</v>
      </c>
      <c r="EO181">
        <v>38.375</v>
      </c>
      <c r="EP181">
        <v>1454.665</v>
      </c>
      <c r="EQ181">
        <v>40.36</v>
      </c>
      <c r="ER181">
        <v>0</v>
      </c>
      <c r="ES181">
        <v>613.2000000476837</v>
      </c>
      <c r="ET181">
        <v>0</v>
      </c>
      <c r="EU181">
        <v>993.00728</v>
      </c>
      <c r="EV181">
        <v>-34.89869238562054</v>
      </c>
      <c r="EW181">
        <v>-528.8230777515273</v>
      </c>
      <c r="EX181">
        <v>14750.96</v>
      </c>
      <c r="EY181">
        <v>15</v>
      </c>
      <c r="EZ181">
        <v>1651857041.1</v>
      </c>
      <c r="FA181" t="s">
        <v>419</v>
      </c>
      <c r="FB181">
        <v>1651857019.6</v>
      </c>
      <c r="FC181">
        <v>1651857041.1</v>
      </c>
      <c r="FD181">
        <v>1</v>
      </c>
      <c r="FE181">
        <v>0.545</v>
      </c>
      <c r="FF181">
        <v>-0.002</v>
      </c>
      <c r="FG181">
        <v>-1.271</v>
      </c>
      <c r="FH181">
        <v>-0.09</v>
      </c>
      <c r="FI181">
        <v>400</v>
      </c>
      <c r="FJ181">
        <v>10</v>
      </c>
      <c r="FK181">
        <v>0.1</v>
      </c>
      <c r="FL181">
        <v>0.02</v>
      </c>
      <c r="FM181">
        <v>-63.08579512195121</v>
      </c>
      <c r="FN181">
        <v>0.05301951219505483</v>
      </c>
      <c r="FO181">
        <v>0.237831098041692</v>
      </c>
      <c r="FP181">
        <v>-1</v>
      </c>
      <c r="FQ181">
        <v>9.461669268292683</v>
      </c>
      <c r="FR181">
        <v>-0.6812583972125577</v>
      </c>
      <c r="FS181">
        <v>0.0687578154986583</v>
      </c>
      <c r="FT181">
        <v>-1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0</v>
      </c>
      <c r="GA181" t="s">
        <v>432</v>
      </c>
      <c r="GB181">
        <v>2.98001</v>
      </c>
      <c r="GC181">
        <v>2.70621</v>
      </c>
      <c r="GD181">
        <v>0.172395</v>
      </c>
      <c r="GE181">
        <v>0.176949</v>
      </c>
      <c r="GF181">
        <v>0.0873398</v>
      </c>
      <c r="GG181">
        <v>0.0504672</v>
      </c>
      <c r="GH181">
        <v>26112.9</v>
      </c>
      <c r="GI181">
        <v>26025.7</v>
      </c>
      <c r="GJ181">
        <v>29342.1</v>
      </c>
      <c r="GK181">
        <v>29255.4</v>
      </c>
      <c r="GL181">
        <v>35464.3</v>
      </c>
      <c r="GM181">
        <v>36997.7</v>
      </c>
      <c r="GN181">
        <v>41303.5</v>
      </c>
      <c r="GO181">
        <v>41752.1</v>
      </c>
      <c r="GP181">
        <v>1.95537</v>
      </c>
      <c r="GQ181">
        <v>1.836</v>
      </c>
      <c r="GR181">
        <v>-0.0344031</v>
      </c>
      <c r="GS181">
        <v>0</v>
      </c>
      <c r="GT181">
        <v>25.5778</v>
      </c>
      <c r="GU181">
        <v>999.9</v>
      </c>
      <c r="GV181">
        <v>38.5</v>
      </c>
      <c r="GW181">
        <v>34</v>
      </c>
      <c r="GX181">
        <v>22.8376</v>
      </c>
      <c r="GY181">
        <v>62.6776</v>
      </c>
      <c r="GZ181">
        <v>35.5088</v>
      </c>
      <c r="HA181">
        <v>1</v>
      </c>
      <c r="HB181">
        <v>0.13686</v>
      </c>
      <c r="HC181">
        <v>2.32729</v>
      </c>
      <c r="HD181">
        <v>20.317</v>
      </c>
      <c r="HE181">
        <v>5.21714</v>
      </c>
      <c r="HF181">
        <v>12.0099</v>
      </c>
      <c r="HG181">
        <v>4.9886</v>
      </c>
      <c r="HH181">
        <v>3.28848</v>
      </c>
      <c r="HI181">
        <v>854.5</v>
      </c>
      <c r="HJ181">
        <v>8506.299999999999</v>
      </c>
      <c r="HK181">
        <v>5139.4</v>
      </c>
      <c r="HL181">
        <v>22.9</v>
      </c>
      <c r="HM181">
        <v>1.86752</v>
      </c>
      <c r="HN181">
        <v>1.86646</v>
      </c>
      <c r="HO181">
        <v>1.866</v>
      </c>
      <c r="HP181">
        <v>1.86586</v>
      </c>
      <c r="HQ181">
        <v>1.86773</v>
      </c>
      <c r="HR181">
        <v>1.87026</v>
      </c>
      <c r="HS181">
        <v>1.86891</v>
      </c>
      <c r="HT181">
        <v>1.87027</v>
      </c>
      <c r="HU181">
        <v>0</v>
      </c>
      <c r="HV181">
        <v>0</v>
      </c>
      <c r="HW181">
        <v>0</v>
      </c>
      <c r="HX181">
        <v>0</v>
      </c>
      <c r="HY181" t="s">
        <v>421</v>
      </c>
      <c r="HZ181" t="s">
        <v>422</v>
      </c>
      <c r="IA181" t="s">
        <v>423</v>
      </c>
      <c r="IB181" t="s">
        <v>423</v>
      </c>
      <c r="IC181" t="s">
        <v>423</v>
      </c>
      <c r="ID181" t="s">
        <v>423</v>
      </c>
      <c r="IE181">
        <v>0</v>
      </c>
      <c r="IF181">
        <v>100</v>
      </c>
      <c r="IG181">
        <v>100</v>
      </c>
      <c r="IH181">
        <v>-2.32</v>
      </c>
      <c r="II181">
        <v>0.0038</v>
      </c>
      <c r="IJ181">
        <v>-0.4995723906072</v>
      </c>
      <c r="IK181">
        <v>-0.002077099775823331</v>
      </c>
      <c r="IL181">
        <v>4.593143279902166E-07</v>
      </c>
      <c r="IM181">
        <v>-1.865383991892071E-10</v>
      </c>
      <c r="IN181">
        <v>-0.07605349583632376</v>
      </c>
      <c r="IO181">
        <v>-0.01129461987421345</v>
      </c>
      <c r="IP181">
        <v>0.00116580895745559</v>
      </c>
      <c r="IQ181">
        <v>-1.679085872906199E-05</v>
      </c>
      <c r="IR181">
        <v>2</v>
      </c>
      <c r="IS181">
        <v>2290</v>
      </c>
      <c r="IT181">
        <v>0</v>
      </c>
      <c r="IU181">
        <v>32</v>
      </c>
      <c r="IV181">
        <v>9.9</v>
      </c>
      <c r="IW181">
        <v>9.6</v>
      </c>
      <c r="IX181">
        <v>2.21558</v>
      </c>
      <c r="IY181">
        <v>2.20947</v>
      </c>
      <c r="IZ181">
        <v>1.39648</v>
      </c>
      <c r="JA181">
        <v>2.35962</v>
      </c>
      <c r="JB181">
        <v>1.49536</v>
      </c>
      <c r="JC181">
        <v>2.34741</v>
      </c>
      <c r="JD181">
        <v>38.4524</v>
      </c>
      <c r="JE181">
        <v>24.0437</v>
      </c>
      <c r="JF181">
        <v>18</v>
      </c>
      <c r="JG181">
        <v>514.907</v>
      </c>
      <c r="JH181">
        <v>423.778</v>
      </c>
      <c r="JI181">
        <v>22.5942</v>
      </c>
      <c r="JJ181">
        <v>29.0936</v>
      </c>
      <c r="JK181">
        <v>30</v>
      </c>
      <c r="JL181">
        <v>29.0959</v>
      </c>
      <c r="JM181">
        <v>29.0366</v>
      </c>
      <c r="JN181">
        <v>44.3412</v>
      </c>
      <c r="JO181">
        <v>55.4057</v>
      </c>
      <c r="JP181">
        <v>0</v>
      </c>
      <c r="JQ181">
        <v>22.5777</v>
      </c>
      <c r="JR181">
        <v>1096.06</v>
      </c>
      <c r="JS181">
        <v>8.99658</v>
      </c>
      <c r="JT181">
        <v>100.302</v>
      </c>
      <c r="JU181">
        <v>100.212</v>
      </c>
    </row>
    <row r="182" spans="1:281">
      <c r="A182">
        <v>166</v>
      </c>
      <c r="B182">
        <v>1651857616.1</v>
      </c>
      <c r="C182">
        <v>615.5</v>
      </c>
      <c r="D182" t="s">
        <v>759</v>
      </c>
      <c r="E182" t="s">
        <v>760</v>
      </c>
      <c r="F182">
        <v>2</v>
      </c>
      <c r="G182" t="s">
        <v>413</v>
      </c>
      <c r="H182" t="s">
        <v>414</v>
      </c>
      <c r="I182">
        <v>1651857615.1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1080.621233412836</v>
      </c>
      <c r="AK182">
        <v>1034.871333333333</v>
      </c>
      <c r="AL182">
        <v>3.26331314554253</v>
      </c>
      <c r="AM182">
        <v>66.38384787954378</v>
      </c>
      <c r="AN182">
        <f>(AP182 - AO182 + DI182*1E3/(8.314*(DK182+273.15)) * AR182/DH182 * AQ182) * DH182/(100*CV182) * 1000/(1000 - AP182)</f>
        <v>0</v>
      </c>
      <c r="AO182">
        <v>8.856099955684229</v>
      </c>
      <c r="AP182">
        <v>18.22143205882352</v>
      </c>
      <c r="AQ182">
        <v>-6.266786723347733E-05</v>
      </c>
      <c r="AR182">
        <v>80.44866334591464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417</v>
      </c>
      <c r="AY182" t="s">
        <v>417</v>
      </c>
      <c r="AZ182">
        <v>0</v>
      </c>
      <c r="BA182">
        <v>0</v>
      </c>
      <c r="BB182">
        <f>1-AZ182/BA182</f>
        <v>0</v>
      </c>
      <c r="BC182">
        <v>0</v>
      </c>
      <c r="BD182" t="s">
        <v>417</v>
      </c>
      <c r="BE182" t="s">
        <v>417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1238</v>
      </c>
      <c r="CA182">
        <v>300</v>
      </c>
      <c r="CB182">
        <v>300</v>
      </c>
      <c r="CC182">
        <v>300</v>
      </c>
      <c r="CD182">
        <v>10440.5</v>
      </c>
      <c r="CE182">
        <v>1411.69</v>
      </c>
      <c r="CF182">
        <v>-0.00735121</v>
      </c>
      <c r="CG182">
        <v>-0.77</v>
      </c>
      <c r="CH182" t="s">
        <v>417</v>
      </c>
      <c r="CI182" t="s">
        <v>417</v>
      </c>
      <c r="CJ182" t="s">
        <v>417</v>
      </c>
      <c r="CK182" t="s">
        <v>417</v>
      </c>
      <c r="CL182" t="s">
        <v>417</v>
      </c>
      <c r="CM182" t="s">
        <v>417</v>
      </c>
      <c r="CN182" t="s">
        <v>417</v>
      </c>
      <c r="CO182" t="s">
        <v>417</v>
      </c>
      <c r="CP182" t="s">
        <v>417</v>
      </c>
      <c r="CQ182" t="s">
        <v>417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418</v>
      </c>
      <c r="CY182">
        <v>2</v>
      </c>
      <c r="CZ182" t="b">
        <v>1</v>
      </c>
      <c r="DA182">
        <v>1651857615.1</v>
      </c>
      <c r="DB182">
        <v>1014.43</v>
      </c>
      <c r="DC182">
        <v>1076.57</v>
      </c>
      <c r="DD182">
        <v>18.2244</v>
      </c>
      <c r="DE182">
        <v>8.879856666666667</v>
      </c>
      <c r="DF182">
        <v>1016.763333333333</v>
      </c>
      <c r="DG182">
        <v>18.2208</v>
      </c>
      <c r="DH182">
        <v>500.046</v>
      </c>
      <c r="DI182">
        <v>90.07656666666666</v>
      </c>
      <c r="DJ182">
        <v>0.1000453333333333</v>
      </c>
      <c r="DK182">
        <v>25.7776</v>
      </c>
      <c r="DL182">
        <v>25.01256666666667</v>
      </c>
      <c r="DM182">
        <v>999.9</v>
      </c>
      <c r="DN182">
        <v>0</v>
      </c>
      <c r="DO182">
        <v>0</v>
      </c>
      <c r="DP182">
        <v>9995</v>
      </c>
      <c r="DQ182">
        <v>0</v>
      </c>
      <c r="DR182">
        <v>3.20383</v>
      </c>
      <c r="DS182">
        <v>-62.14053333333334</v>
      </c>
      <c r="DT182">
        <v>1033.26</v>
      </c>
      <c r="DU182">
        <v>1086.216666666666</v>
      </c>
      <c r="DV182">
        <v>9.344563333333333</v>
      </c>
      <c r="DW182">
        <v>1076.57</v>
      </c>
      <c r="DX182">
        <v>8.879856666666667</v>
      </c>
      <c r="DY182">
        <v>1.64159</v>
      </c>
      <c r="DZ182">
        <v>0.799867</v>
      </c>
      <c r="EA182">
        <v>14.35486666666667</v>
      </c>
      <c r="EB182">
        <v>3.70494</v>
      </c>
      <c r="EC182">
        <v>1500.026666666667</v>
      </c>
      <c r="ED182">
        <v>0.973007</v>
      </c>
      <c r="EE182">
        <v>0.0269931</v>
      </c>
      <c r="EF182">
        <v>0</v>
      </c>
      <c r="EG182">
        <v>988.474</v>
      </c>
      <c r="EH182">
        <v>5.00097</v>
      </c>
      <c r="EI182">
        <v>14683.83333333333</v>
      </c>
      <c r="EJ182">
        <v>12491.83333333333</v>
      </c>
      <c r="EK182">
        <v>37.5</v>
      </c>
      <c r="EL182">
        <v>39</v>
      </c>
      <c r="EM182">
        <v>37.875</v>
      </c>
      <c r="EN182">
        <v>38.75</v>
      </c>
      <c r="EO182">
        <v>38.375</v>
      </c>
      <c r="EP182">
        <v>1454.666666666667</v>
      </c>
      <c r="EQ182">
        <v>40.36</v>
      </c>
      <c r="ER182">
        <v>0</v>
      </c>
      <c r="ES182">
        <v>615</v>
      </c>
      <c r="ET182">
        <v>0</v>
      </c>
      <c r="EU182">
        <v>992.1566153846155</v>
      </c>
      <c r="EV182">
        <v>-35.02605130367308</v>
      </c>
      <c r="EW182">
        <v>-523.1213675467185</v>
      </c>
      <c r="EX182">
        <v>14737.91923076923</v>
      </c>
      <c r="EY182">
        <v>15</v>
      </c>
      <c r="EZ182">
        <v>1651857041.1</v>
      </c>
      <c r="FA182" t="s">
        <v>419</v>
      </c>
      <c r="FB182">
        <v>1651857019.6</v>
      </c>
      <c r="FC182">
        <v>1651857041.1</v>
      </c>
      <c r="FD182">
        <v>1</v>
      </c>
      <c r="FE182">
        <v>0.545</v>
      </c>
      <c r="FF182">
        <v>-0.002</v>
      </c>
      <c r="FG182">
        <v>-1.271</v>
      </c>
      <c r="FH182">
        <v>-0.09</v>
      </c>
      <c r="FI182">
        <v>400</v>
      </c>
      <c r="FJ182">
        <v>10</v>
      </c>
      <c r="FK182">
        <v>0.1</v>
      </c>
      <c r="FL182">
        <v>0.02</v>
      </c>
      <c r="FM182">
        <v>-62.96693902439024</v>
      </c>
      <c r="FN182">
        <v>2.278231358884921</v>
      </c>
      <c r="FO182">
        <v>0.3992856003817552</v>
      </c>
      <c r="FP182">
        <v>-1</v>
      </c>
      <c r="FQ182">
        <v>9.429703170731706</v>
      </c>
      <c r="FR182">
        <v>-0.5717533797909373</v>
      </c>
      <c r="FS182">
        <v>0.05805837925865291</v>
      </c>
      <c r="FT182">
        <v>-1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0</v>
      </c>
      <c r="GA182" t="s">
        <v>432</v>
      </c>
      <c r="GB182">
        <v>2.97993</v>
      </c>
      <c r="GC182">
        <v>2.70626</v>
      </c>
      <c r="GD182">
        <v>0.173097</v>
      </c>
      <c r="GE182">
        <v>0.177627</v>
      </c>
      <c r="GF182">
        <v>0.087301</v>
      </c>
      <c r="GG182">
        <v>0.0506021</v>
      </c>
      <c r="GH182">
        <v>26091</v>
      </c>
      <c r="GI182">
        <v>26004.1</v>
      </c>
      <c r="GJ182">
        <v>29342.4</v>
      </c>
      <c r="GK182">
        <v>29255.2</v>
      </c>
      <c r="GL182">
        <v>35466.3</v>
      </c>
      <c r="GM182">
        <v>36992.9</v>
      </c>
      <c r="GN182">
        <v>41304.1</v>
      </c>
      <c r="GO182">
        <v>41752.6</v>
      </c>
      <c r="GP182">
        <v>1.95535</v>
      </c>
      <c r="GQ182">
        <v>1.8362</v>
      </c>
      <c r="GR182">
        <v>-0.0346266</v>
      </c>
      <c r="GS182">
        <v>0</v>
      </c>
      <c r="GT182">
        <v>25.5778</v>
      </c>
      <c r="GU182">
        <v>999.9</v>
      </c>
      <c r="GV182">
        <v>38.5</v>
      </c>
      <c r="GW182">
        <v>33.9</v>
      </c>
      <c r="GX182">
        <v>22.71</v>
      </c>
      <c r="GY182">
        <v>62.6276</v>
      </c>
      <c r="GZ182">
        <v>35.621</v>
      </c>
      <c r="HA182">
        <v>1</v>
      </c>
      <c r="HB182">
        <v>0.136829</v>
      </c>
      <c r="HC182">
        <v>2.3452</v>
      </c>
      <c r="HD182">
        <v>20.3167</v>
      </c>
      <c r="HE182">
        <v>5.21684</v>
      </c>
      <c r="HF182">
        <v>12.0099</v>
      </c>
      <c r="HG182">
        <v>4.9886</v>
      </c>
      <c r="HH182">
        <v>3.28848</v>
      </c>
      <c r="HI182">
        <v>854.5</v>
      </c>
      <c r="HJ182">
        <v>8506.299999999999</v>
      </c>
      <c r="HK182">
        <v>5139.4</v>
      </c>
      <c r="HL182">
        <v>22.9</v>
      </c>
      <c r="HM182">
        <v>1.86752</v>
      </c>
      <c r="HN182">
        <v>1.86647</v>
      </c>
      <c r="HO182">
        <v>1.866</v>
      </c>
      <c r="HP182">
        <v>1.86587</v>
      </c>
      <c r="HQ182">
        <v>1.86774</v>
      </c>
      <c r="HR182">
        <v>1.87025</v>
      </c>
      <c r="HS182">
        <v>1.8689</v>
      </c>
      <c r="HT182">
        <v>1.87027</v>
      </c>
      <c r="HU182">
        <v>0</v>
      </c>
      <c r="HV182">
        <v>0</v>
      </c>
      <c r="HW182">
        <v>0</v>
      </c>
      <c r="HX182">
        <v>0</v>
      </c>
      <c r="HY182" t="s">
        <v>421</v>
      </c>
      <c r="HZ182" t="s">
        <v>422</v>
      </c>
      <c r="IA182" t="s">
        <v>423</v>
      </c>
      <c r="IB182" t="s">
        <v>423</v>
      </c>
      <c r="IC182" t="s">
        <v>423</v>
      </c>
      <c r="ID182" t="s">
        <v>423</v>
      </c>
      <c r="IE182">
        <v>0</v>
      </c>
      <c r="IF182">
        <v>100</v>
      </c>
      <c r="IG182">
        <v>100</v>
      </c>
      <c r="IH182">
        <v>-2.34</v>
      </c>
      <c r="II182">
        <v>0.0035</v>
      </c>
      <c r="IJ182">
        <v>-0.4995723906072</v>
      </c>
      <c r="IK182">
        <v>-0.002077099775823331</v>
      </c>
      <c r="IL182">
        <v>4.593143279902166E-07</v>
      </c>
      <c r="IM182">
        <v>-1.865383991892071E-10</v>
      </c>
      <c r="IN182">
        <v>-0.07605349583632376</v>
      </c>
      <c r="IO182">
        <v>-0.01129461987421345</v>
      </c>
      <c r="IP182">
        <v>0.00116580895745559</v>
      </c>
      <c r="IQ182">
        <v>-1.679085872906199E-05</v>
      </c>
      <c r="IR182">
        <v>2</v>
      </c>
      <c r="IS182">
        <v>2290</v>
      </c>
      <c r="IT182">
        <v>0</v>
      </c>
      <c r="IU182">
        <v>32</v>
      </c>
      <c r="IV182">
        <v>9.9</v>
      </c>
      <c r="IW182">
        <v>9.6</v>
      </c>
      <c r="IX182">
        <v>2.22656</v>
      </c>
      <c r="IY182">
        <v>2.20825</v>
      </c>
      <c r="IZ182">
        <v>1.39648</v>
      </c>
      <c r="JA182">
        <v>2.35962</v>
      </c>
      <c r="JB182">
        <v>1.49536</v>
      </c>
      <c r="JC182">
        <v>2.32544</v>
      </c>
      <c r="JD182">
        <v>38.4524</v>
      </c>
      <c r="JE182">
        <v>24.0437</v>
      </c>
      <c r="JF182">
        <v>18</v>
      </c>
      <c r="JG182">
        <v>514.8819999999999</v>
      </c>
      <c r="JH182">
        <v>423.897</v>
      </c>
      <c r="JI182">
        <v>22.5877</v>
      </c>
      <c r="JJ182">
        <v>29.0936</v>
      </c>
      <c r="JK182">
        <v>30.0001</v>
      </c>
      <c r="JL182">
        <v>29.095</v>
      </c>
      <c r="JM182">
        <v>29.0366</v>
      </c>
      <c r="JN182">
        <v>44.5676</v>
      </c>
      <c r="JO182">
        <v>55.4057</v>
      </c>
      <c r="JP182">
        <v>0</v>
      </c>
      <c r="JQ182">
        <v>22.5777</v>
      </c>
      <c r="JR182">
        <v>1102.75</v>
      </c>
      <c r="JS182">
        <v>9.02708</v>
      </c>
      <c r="JT182">
        <v>100.303</v>
      </c>
      <c r="JU182">
        <v>100.213</v>
      </c>
    </row>
    <row r="183" spans="1:281">
      <c r="A183">
        <v>167</v>
      </c>
      <c r="B183">
        <v>1651857618.1</v>
      </c>
      <c r="C183">
        <v>617.5</v>
      </c>
      <c r="D183" t="s">
        <v>761</v>
      </c>
      <c r="E183" t="s">
        <v>762</v>
      </c>
      <c r="F183">
        <v>2</v>
      </c>
      <c r="G183" t="s">
        <v>413</v>
      </c>
      <c r="H183" t="s">
        <v>414</v>
      </c>
      <c r="I183">
        <v>1651857616.725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1086.961672848929</v>
      </c>
      <c r="AK183">
        <v>1041.425272727272</v>
      </c>
      <c r="AL183">
        <v>3.261521996515291</v>
      </c>
      <c r="AM183">
        <v>66.38384787954378</v>
      </c>
      <c r="AN183">
        <f>(AP183 - AO183 + DI183*1E3/(8.314*(DK183+273.15)) * AR183/DH183 * AQ183) * DH183/(100*CV183) * 1000/(1000 - AP183)</f>
        <v>0</v>
      </c>
      <c r="AO183">
        <v>8.863512557972497</v>
      </c>
      <c r="AP183">
        <v>18.20691176470588</v>
      </c>
      <c r="AQ183">
        <v>-0.0002174064727200523</v>
      </c>
      <c r="AR183">
        <v>80.44866334591464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417</v>
      </c>
      <c r="AY183" t="s">
        <v>417</v>
      </c>
      <c r="AZ183">
        <v>0</v>
      </c>
      <c r="BA183">
        <v>0</v>
      </c>
      <c r="BB183">
        <f>1-AZ183/BA183</f>
        <v>0</v>
      </c>
      <c r="BC183">
        <v>0</v>
      </c>
      <c r="BD183" t="s">
        <v>417</v>
      </c>
      <c r="BE183" t="s">
        <v>417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1238</v>
      </c>
      <c r="CA183">
        <v>300</v>
      </c>
      <c r="CB183">
        <v>300</v>
      </c>
      <c r="CC183">
        <v>300</v>
      </c>
      <c r="CD183">
        <v>10440.5</v>
      </c>
      <c r="CE183">
        <v>1411.69</v>
      </c>
      <c r="CF183">
        <v>-0.00735121</v>
      </c>
      <c r="CG183">
        <v>-0.77</v>
      </c>
      <c r="CH183" t="s">
        <v>417</v>
      </c>
      <c r="CI183" t="s">
        <v>417</v>
      </c>
      <c r="CJ183" t="s">
        <v>417</v>
      </c>
      <c r="CK183" t="s">
        <v>417</v>
      </c>
      <c r="CL183" t="s">
        <v>417</v>
      </c>
      <c r="CM183" t="s">
        <v>417</v>
      </c>
      <c r="CN183" t="s">
        <v>417</v>
      </c>
      <c r="CO183" t="s">
        <v>417</v>
      </c>
      <c r="CP183" t="s">
        <v>417</v>
      </c>
      <c r="CQ183" t="s">
        <v>417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418</v>
      </c>
      <c r="CY183">
        <v>2</v>
      </c>
      <c r="CZ183" t="b">
        <v>1</v>
      </c>
      <c r="DA183">
        <v>1651857616.725</v>
      </c>
      <c r="DB183">
        <v>1019.6425</v>
      </c>
      <c r="DC183">
        <v>1081.8575</v>
      </c>
      <c r="DD183">
        <v>18.213525</v>
      </c>
      <c r="DE183">
        <v>8.901232500000001</v>
      </c>
      <c r="DF183">
        <v>1021.9825</v>
      </c>
      <c r="DG183">
        <v>18.210075</v>
      </c>
      <c r="DH183">
        <v>500.02075</v>
      </c>
      <c r="DI183">
        <v>90.077675</v>
      </c>
      <c r="DJ183">
        <v>0.09987269999999999</v>
      </c>
      <c r="DK183">
        <v>25.7798</v>
      </c>
      <c r="DL183">
        <v>25.011025</v>
      </c>
      <c r="DM183">
        <v>999.9</v>
      </c>
      <c r="DN183">
        <v>0</v>
      </c>
      <c r="DO183">
        <v>0</v>
      </c>
      <c r="DP183">
        <v>10020</v>
      </c>
      <c r="DQ183">
        <v>0</v>
      </c>
      <c r="DR183">
        <v>3.20383</v>
      </c>
      <c r="DS183">
        <v>-62.2165</v>
      </c>
      <c r="DT183">
        <v>1038.56</v>
      </c>
      <c r="DU183">
        <v>1091.5775</v>
      </c>
      <c r="DV183">
        <v>9.312302499999999</v>
      </c>
      <c r="DW183">
        <v>1081.8575</v>
      </c>
      <c r="DX183">
        <v>8.901232500000001</v>
      </c>
      <c r="DY183">
        <v>1.64063</v>
      </c>
      <c r="DZ183">
        <v>0.8018025</v>
      </c>
      <c r="EA183">
        <v>14.34585</v>
      </c>
      <c r="EB183">
        <v>3.73925</v>
      </c>
      <c r="EC183">
        <v>1500.025</v>
      </c>
      <c r="ED183">
        <v>0.973007</v>
      </c>
      <c r="EE183">
        <v>0.0269931</v>
      </c>
      <c r="EF183">
        <v>0</v>
      </c>
      <c r="EG183">
        <v>987.44525</v>
      </c>
      <c r="EH183">
        <v>5.00097</v>
      </c>
      <c r="EI183">
        <v>14668.4</v>
      </c>
      <c r="EJ183">
        <v>12491.85</v>
      </c>
      <c r="EK183">
        <v>37.5</v>
      </c>
      <c r="EL183">
        <v>39</v>
      </c>
      <c r="EM183">
        <v>37.875</v>
      </c>
      <c r="EN183">
        <v>38.75</v>
      </c>
      <c r="EO183">
        <v>38.375</v>
      </c>
      <c r="EP183">
        <v>1454.665</v>
      </c>
      <c r="EQ183">
        <v>40.36</v>
      </c>
      <c r="ER183">
        <v>0</v>
      </c>
      <c r="ES183">
        <v>616.8000001907349</v>
      </c>
      <c r="ET183">
        <v>0</v>
      </c>
      <c r="EU183">
        <v>990.92092</v>
      </c>
      <c r="EV183">
        <v>-34.03292304023857</v>
      </c>
      <c r="EW183">
        <v>-516.0692300066708</v>
      </c>
      <c r="EX183">
        <v>14719.596</v>
      </c>
      <c r="EY183">
        <v>15</v>
      </c>
      <c r="EZ183">
        <v>1651857041.1</v>
      </c>
      <c r="FA183" t="s">
        <v>419</v>
      </c>
      <c r="FB183">
        <v>1651857019.6</v>
      </c>
      <c r="FC183">
        <v>1651857041.1</v>
      </c>
      <c r="FD183">
        <v>1</v>
      </c>
      <c r="FE183">
        <v>0.545</v>
      </c>
      <c r="FF183">
        <v>-0.002</v>
      </c>
      <c r="FG183">
        <v>-1.271</v>
      </c>
      <c r="FH183">
        <v>-0.09</v>
      </c>
      <c r="FI183">
        <v>400</v>
      </c>
      <c r="FJ183">
        <v>10</v>
      </c>
      <c r="FK183">
        <v>0.1</v>
      </c>
      <c r="FL183">
        <v>0.02</v>
      </c>
      <c r="FM183">
        <v>-62.90294249999999</v>
      </c>
      <c r="FN183">
        <v>3.23576848030034</v>
      </c>
      <c r="FO183">
        <v>0.4482074401923173</v>
      </c>
      <c r="FP183">
        <v>-1</v>
      </c>
      <c r="FQ183">
        <v>9.4110415</v>
      </c>
      <c r="FR183">
        <v>-0.5613969230769428</v>
      </c>
      <c r="FS183">
        <v>0.05569024589414207</v>
      </c>
      <c r="FT183">
        <v>-1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0</v>
      </c>
      <c r="GA183" t="s">
        <v>432</v>
      </c>
      <c r="GB183">
        <v>2.97998</v>
      </c>
      <c r="GC183">
        <v>2.70623</v>
      </c>
      <c r="GD183">
        <v>0.1738</v>
      </c>
      <c r="GE183">
        <v>0.178324</v>
      </c>
      <c r="GF183">
        <v>0.0872648</v>
      </c>
      <c r="GG183">
        <v>0.0506887</v>
      </c>
      <c r="GH183">
        <v>26069.1</v>
      </c>
      <c r="GI183">
        <v>25982.1</v>
      </c>
      <c r="GJ183">
        <v>29342.7</v>
      </c>
      <c r="GK183">
        <v>29255.2</v>
      </c>
      <c r="GL183">
        <v>35468</v>
      </c>
      <c r="GM183">
        <v>36989.6</v>
      </c>
      <c r="GN183">
        <v>41304.4</v>
      </c>
      <c r="GO183">
        <v>41752.6</v>
      </c>
      <c r="GP183">
        <v>1.95535</v>
      </c>
      <c r="GQ183">
        <v>1.83635</v>
      </c>
      <c r="GR183">
        <v>-0.0345334</v>
      </c>
      <c r="GS183">
        <v>0</v>
      </c>
      <c r="GT183">
        <v>25.5778</v>
      </c>
      <c r="GU183">
        <v>999.9</v>
      </c>
      <c r="GV183">
        <v>38.5</v>
      </c>
      <c r="GW183">
        <v>34</v>
      </c>
      <c r="GX183">
        <v>22.8383</v>
      </c>
      <c r="GY183">
        <v>62.5176</v>
      </c>
      <c r="GZ183">
        <v>35.2003</v>
      </c>
      <c r="HA183">
        <v>1</v>
      </c>
      <c r="HB183">
        <v>0.13686</v>
      </c>
      <c r="HC183">
        <v>2.34114</v>
      </c>
      <c r="HD183">
        <v>20.3171</v>
      </c>
      <c r="HE183">
        <v>5.21699</v>
      </c>
      <c r="HF183">
        <v>12.0099</v>
      </c>
      <c r="HG183">
        <v>4.98875</v>
      </c>
      <c r="HH183">
        <v>3.28848</v>
      </c>
      <c r="HI183">
        <v>854.5</v>
      </c>
      <c r="HJ183">
        <v>8506.299999999999</v>
      </c>
      <c r="HK183">
        <v>5139.4</v>
      </c>
      <c r="HL183">
        <v>22.9</v>
      </c>
      <c r="HM183">
        <v>1.86752</v>
      </c>
      <c r="HN183">
        <v>1.86646</v>
      </c>
      <c r="HO183">
        <v>1.86601</v>
      </c>
      <c r="HP183">
        <v>1.86586</v>
      </c>
      <c r="HQ183">
        <v>1.86774</v>
      </c>
      <c r="HR183">
        <v>1.87026</v>
      </c>
      <c r="HS183">
        <v>1.8689</v>
      </c>
      <c r="HT183">
        <v>1.87027</v>
      </c>
      <c r="HU183">
        <v>0</v>
      </c>
      <c r="HV183">
        <v>0</v>
      </c>
      <c r="HW183">
        <v>0</v>
      </c>
      <c r="HX183">
        <v>0</v>
      </c>
      <c r="HY183" t="s">
        <v>421</v>
      </c>
      <c r="HZ183" t="s">
        <v>422</v>
      </c>
      <c r="IA183" t="s">
        <v>423</v>
      </c>
      <c r="IB183" t="s">
        <v>423</v>
      </c>
      <c r="IC183" t="s">
        <v>423</v>
      </c>
      <c r="ID183" t="s">
        <v>423</v>
      </c>
      <c r="IE183">
        <v>0</v>
      </c>
      <c r="IF183">
        <v>100</v>
      </c>
      <c r="IG183">
        <v>100</v>
      </c>
      <c r="IH183">
        <v>-2.35</v>
      </c>
      <c r="II183">
        <v>0.0034</v>
      </c>
      <c r="IJ183">
        <v>-0.4995723906072</v>
      </c>
      <c r="IK183">
        <v>-0.002077099775823331</v>
      </c>
      <c r="IL183">
        <v>4.593143279902166E-07</v>
      </c>
      <c r="IM183">
        <v>-1.865383991892071E-10</v>
      </c>
      <c r="IN183">
        <v>-0.07605349583632376</v>
      </c>
      <c r="IO183">
        <v>-0.01129461987421345</v>
      </c>
      <c r="IP183">
        <v>0.00116580895745559</v>
      </c>
      <c r="IQ183">
        <v>-1.679085872906199E-05</v>
      </c>
      <c r="IR183">
        <v>2</v>
      </c>
      <c r="IS183">
        <v>2290</v>
      </c>
      <c r="IT183">
        <v>0</v>
      </c>
      <c r="IU183">
        <v>32</v>
      </c>
      <c r="IV183">
        <v>10</v>
      </c>
      <c r="IW183">
        <v>9.6</v>
      </c>
      <c r="IX183">
        <v>2.23755</v>
      </c>
      <c r="IY183">
        <v>2.21069</v>
      </c>
      <c r="IZ183">
        <v>1.39648</v>
      </c>
      <c r="JA183">
        <v>2.35962</v>
      </c>
      <c r="JB183">
        <v>1.49536</v>
      </c>
      <c r="JC183">
        <v>2.29858</v>
      </c>
      <c r="JD183">
        <v>38.4524</v>
      </c>
      <c r="JE183">
        <v>24.035</v>
      </c>
      <c r="JF183">
        <v>18</v>
      </c>
      <c r="JG183">
        <v>514.8819999999999</v>
      </c>
      <c r="JH183">
        <v>423.987</v>
      </c>
      <c r="JI183">
        <v>22.5796</v>
      </c>
      <c r="JJ183">
        <v>29.0933</v>
      </c>
      <c r="JK183">
        <v>30.0001</v>
      </c>
      <c r="JL183">
        <v>29.095</v>
      </c>
      <c r="JM183">
        <v>29.0366</v>
      </c>
      <c r="JN183">
        <v>44.7853</v>
      </c>
      <c r="JO183">
        <v>55.0706</v>
      </c>
      <c r="JP183">
        <v>0</v>
      </c>
      <c r="JQ183">
        <v>22.5658</v>
      </c>
      <c r="JR183">
        <v>1109.45</v>
      </c>
      <c r="JS183">
        <v>9.049200000000001</v>
      </c>
      <c r="JT183">
        <v>100.304</v>
      </c>
      <c r="JU183">
        <v>100.213</v>
      </c>
    </row>
    <row r="184" spans="1:281">
      <c r="A184">
        <v>168</v>
      </c>
      <c r="B184">
        <v>1651857620.1</v>
      </c>
      <c r="C184">
        <v>619.5</v>
      </c>
      <c r="D184" t="s">
        <v>763</v>
      </c>
      <c r="E184" t="s">
        <v>764</v>
      </c>
      <c r="F184">
        <v>2</v>
      </c>
      <c r="G184" t="s">
        <v>413</v>
      </c>
      <c r="H184" t="s">
        <v>414</v>
      </c>
      <c r="I184">
        <v>1651857619.1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1093.622627970984</v>
      </c>
      <c r="AK184">
        <v>1048.02703030303</v>
      </c>
      <c r="AL184">
        <v>3.290918217576099</v>
      </c>
      <c r="AM184">
        <v>66.38384787954378</v>
      </c>
      <c r="AN184">
        <f>(AP184 - AO184 + DI184*1E3/(8.314*(DK184+273.15)) * AR184/DH184 * AQ184) * DH184/(100*CV184) * 1000/(1000 - AP184)</f>
        <v>0</v>
      </c>
      <c r="AO184">
        <v>8.886448876118608</v>
      </c>
      <c r="AP184">
        <v>18.20274294117646</v>
      </c>
      <c r="AQ184">
        <v>-0.006987630654762203</v>
      </c>
      <c r="AR184">
        <v>80.44866334591464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417</v>
      </c>
      <c r="AY184" t="s">
        <v>417</v>
      </c>
      <c r="AZ184">
        <v>0</v>
      </c>
      <c r="BA184">
        <v>0</v>
      </c>
      <c r="BB184">
        <f>1-AZ184/BA184</f>
        <v>0</v>
      </c>
      <c r="BC184">
        <v>0</v>
      </c>
      <c r="BD184" t="s">
        <v>417</v>
      </c>
      <c r="BE184" t="s">
        <v>417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1238</v>
      </c>
      <c r="CA184">
        <v>300</v>
      </c>
      <c r="CB184">
        <v>300</v>
      </c>
      <c r="CC184">
        <v>300</v>
      </c>
      <c r="CD184">
        <v>10440.5</v>
      </c>
      <c r="CE184">
        <v>1411.69</v>
      </c>
      <c r="CF184">
        <v>-0.00735121</v>
      </c>
      <c r="CG184">
        <v>-0.77</v>
      </c>
      <c r="CH184" t="s">
        <v>417</v>
      </c>
      <c r="CI184" t="s">
        <v>417</v>
      </c>
      <c r="CJ184" t="s">
        <v>417</v>
      </c>
      <c r="CK184" t="s">
        <v>417</v>
      </c>
      <c r="CL184" t="s">
        <v>417</v>
      </c>
      <c r="CM184" t="s">
        <v>417</v>
      </c>
      <c r="CN184" t="s">
        <v>417</v>
      </c>
      <c r="CO184" t="s">
        <v>417</v>
      </c>
      <c r="CP184" t="s">
        <v>417</v>
      </c>
      <c r="CQ184" t="s">
        <v>417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418</v>
      </c>
      <c r="CY184">
        <v>2</v>
      </c>
      <c r="CZ184" t="b">
        <v>1</v>
      </c>
      <c r="DA184">
        <v>1651857619.1</v>
      </c>
      <c r="DB184">
        <v>1027.32</v>
      </c>
      <c r="DC184">
        <v>1089.88</v>
      </c>
      <c r="DD184">
        <v>18.2053</v>
      </c>
      <c r="DE184">
        <v>8.928269999999999</v>
      </c>
      <c r="DF184">
        <v>1029.673333333333</v>
      </c>
      <c r="DG184">
        <v>18.20193333333333</v>
      </c>
      <c r="DH184">
        <v>500.0783333333333</v>
      </c>
      <c r="DI184">
        <v>90.07683333333334</v>
      </c>
      <c r="DJ184">
        <v>0.1000028666666667</v>
      </c>
      <c r="DK184">
        <v>25.77953333333333</v>
      </c>
      <c r="DL184">
        <v>25.01086666666667</v>
      </c>
      <c r="DM184">
        <v>999.9</v>
      </c>
      <c r="DN184">
        <v>0</v>
      </c>
      <c r="DO184">
        <v>0</v>
      </c>
      <c r="DP184">
        <v>10017.46666666667</v>
      </c>
      <c r="DQ184">
        <v>0</v>
      </c>
      <c r="DR184">
        <v>3.20383</v>
      </c>
      <c r="DS184">
        <v>-62.56023333333334</v>
      </c>
      <c r="DT184">
        <v>1046.37</v>
      </c>
      <c r="DU184">
        <v>1099.696666666667</v>
      </c>
      <c r="DV184">
        <v>9.27702</v>
      </c>
      <c r="DW184">
        <v>1089.88</v>
      </c>
      <c r="DX184">
        <v>8.928269999999999</v>
      </c>
      <c r="DY184">
        <v>1.639876666666667</v>
      </c>
      <c r="DZ184">
        <v>0.8042303333333333</v>
      </c>
      <c r="EA184">
        <v>14.3387</v>
      </c>
      <c r="EB184">
        <v>3.782186666666667</v>
      </c>
      <c r="EC184">
        <v>1500.023333333333</v>
      </c>
      <c r="ED184">
        <v>0.973007</v>
      </c>
      <c r="EE184">
        <v>0.0269931</v>
      </c>
      <c r="EF184">
        <v>0</v>
      </c>
      <c r="EG184">
        <v>985.8759999999999</v>
      </c>
      <c r="EH184">
        <v>5.00097</v>
      </c>
      <c r="EI184">
        <v>14647.8</v>
      </c>
      <c r="EJ184">
        <v>12491.8</v>
      </c>
      <c r="EK184">
        <v>37.5</v>
      </c>
      <c r="EL184">
        <v>39</v>
      </c>
      <c r="EM184">
        <v>37.875</v>
      </c>
      <c r="EN184">
        <v>38.75</v>
      </c>
      <c r="EO184">
        <v>38.375</v>
      </c>
      <c r="EP184">
        <v>1454.663333333333</v>
      </c>
      <c r="EQ184">
        <v>40.36</v>
      </c>
      <c r="ER184">
        <v>0</v>
      </c>
      <c r="ES184">
        <v>619.2000000476837</v>
      </c>
      <c r="ET184">
        <v>0</v>
      </c>
      <c r="EU184">
        <v>989.5129199999999</v>
      </c>
      <c r="EV184">
        <v>-35.39761544597218</v>
      </c>
      <c r="EW184">
        <v>-512.6923084671587</v>
      </c>
      <c r="EX184">
        <v>14698.988</v>
      </c>
      <c r="EY184">
        <v>15</v>
      </c>
      <c r="EZ184">
        <v>1651857041.1</v>
      </c>
      <c r="FA184" t="s">
        <v>419</v>
      </c>
      <c r="FB184">
        <v>1651857019.6</v>
      </c>
      <c r="FC184">
        <v>1651857041.1</v>
      </c>
      <c r="FD184">
        <v>1</v>
      </c>
      <c r="FE184">
        <v>0.545</v>
      </c>
      <c r="FF184">
        <v>-0.002</v>
      </c>
      <c r="FG184">
        <v>-1.271</v>
      </c>
      <c r="FH184">
        <v>-0.09</v>
      </c>
      <c r="FI184">
        <v>400</v>
      </c>
      <c r="FJ184">
        <v>10</v>
      </c>
      <c r="FK184">
        <v>0.1</v>
      </c>
      <c r="FL184">
        <v>0.02</v>
      </c>
      <c r="FM184">
        <v>-62.83831951219512</v>
      </c>
      <c r="FN184">
        <v>3.518381184668898</v>
      </c>
      <c r="FO184">
        <v>0.4616103975556323</v>
      </c>
      <c r="FP184">
        <v>-1</v>
      </c>
      <c r="FQ184">
        <v>9.38707</v>
      </c>
      <c r="FR184">
        <v>-0.5975506620208723</v>
      </c>
      <c r="FS184">
        <v>0.06073946866460516</v>
      </c>
      <c r="FT184">
        <v>-1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0</v>
      </c>
      <c r="GA184" t="s">
        <v>432</v>
      </c>
      <c r="GB184">
        <v>2.98001</v>
      </c>
      <c r="GC184">
        <v>2.70632</v>
      </c>
      <c r="GD184">
        <v>0.174504</v>
      </c>
      <c r="GE184">
        <v>0.179023</v>
      </c>
      <c r="GF184">
        <v>0.08724460000000001</v>
      </c>
      <c r="GG184">
        <v>0.0508396</v>
      </c>
      <c r="GH184">
        <v>26047.1</v>
      </c>
      <c r="GI184">
        <v>25960.1</v>
      </c>
      <c r="GJ184">
        <v>29343.1</v>
      </c>
      <c r="GK184">
        <v>29255.3</v>
      </c>
      <c r="GL184">
        <v>35469</v>
      </c>
      <c r="GM184">
        <v>36983</v>
      </c>
      <c r="GN184">
        <v>41304.6</v>
      </c>
      <c r="GO184">
        <v>41751.9</v>
      </c>
      <c r="GP184">
        <v>1.9554</v>
      </c>
      <c r="GQ184">
        <v>1.83678</v>
      </c>
      <c r="GR184">
        <v>-0.0344776</v>
      </c>
      <c r="GS184">
        <v>0</v>
      </c>
      <c r="GT184">
        <v>25.578</v>
      </c>
      <c r="GU184">
        <v>999.9</v>
      </c>
      <c r="GV184">
        <v>38.5</v>
      </c>
      <c r="GW184">
        <v>34</v>
      </c>
      <c r="GX184">
        <v>22.8362</v>
      </c>
      <c r="GY184">
        <v>62.3476</v>
      </c>
      <c r="GZ184">
        <v>35.2163</v>
      </c>
      <c r="HA184">
        <v>1</v>
      </c>
      <c r="HB184">
        <v>0.13689</v>
      </c>
      <c r="HC184">
        <v>2.33624</v>
      </c>
      <c r="HD184">
        <v>20.3173</v>
      </c>
      <c r="HE184">
        <v>5.21729</v>
      </c>
      <c r="HF184">
        <v>12.0099</v>
      </c>
      <c r="HG184">
        <v>4.98875</v>
      </c>
      <c r="HH184">
        <v>3.28845</v>
      </c>
      <c r="HI184">
        <v>854.5</v>
      </c>
      <c r="HJ184">
        <v>8506.299999999999</v>
      </c>
      <c r="HK184">
        <v>5139.4</v>
      </c>
      <c r="HL184">
        <v>22.9</v>
      </c>
      <c r="HM184">
        <v>1.86752</v>
      </c>
      <c r="HN184">
        <v>1.86646</v>
      </c>
      <c r="HO184">
        <v>1.866</v>
      </c>
      <c r="HP184">
        <v>1.86588</v>
      </c>
      <c r="HQ184">
        <v>1.86773</v>
      </c>
      <c r="HR184">
        <v>1.87027</v>
      </c>
      <c r="HS184">
        <v>1.8689</v>
      </c>
      <c r="HT184">
        <v>1.87027</v>
      </c>
      <c r="HU184">
        <v>0</v>
      </c>
      <c r="HV184">
        <v>0</v>
      </c>
      <c r="HW184">
        <v>0</v>
      </c>
      <c r="HX184">
        <v>0</v>
      </c>
      <c r="HY184" t="s">
        <v>421</v>
      </c>
      <c r="HZ184" t="s">
        <v>422</v>
      </c>
      <c r="IA184" t="s">
        <v>423</v>
      </c>
      <c r="IB184" t="s">
        <v>423</v>
      </c>
      <c r="IC184" t="s">
        <v>423</v>
      </c>
      <c r="ID184" t="s">
        <v>423</v>
      </c>
      <c r="IE184">
        <v>0</v>
      </c>
      <c r="IF184">
        <v>100</v>
      </c>
      <c r="IG184">
        <v>100</v>
      </c>
      <c r="IH184">
        <v>-2.37</v>
      </c>
      <c r="II184">
        <v>0.0033</v>
      </c>
      <c r="IJ184">
        <v>-0.4995723906072</v>
      </c>
      <c r="IK184">
        <v>-0.002077099775823331</v>
      </c>
      <c r="IL184">
        <v>4.593143279902166E-07</v>
      </c>
      <c r="IM184">
        <v>-1.865383991892071E-10</v>
      </c>
      <c r="IN184">
        <v>-0.07605349583632376</v>
      </c>
      <c r="IO184">
        <v>-0.01129461987421345</v>
      </c>
      <c r="IP184">
        <v>0.00116580895745559</v>
      </c>
      <c r="IQ184">
        <v>-1.679085872906199E-05</v>
      </c>
      <c r="IR184">
        <v>2</v>
      </c>
      <c r="IS184">
        <v>2290</v>
      </c>
      <c r="IT184">
        <v>0</v>
      </c>
      <c r="IU184">
        <v>32</v>
      </c>
      <c r="IV184">
        <v>10</v>
      </c>
      <c r="IW184">
        <v>9.699999999999999</v>
      </c>
      <c r="IX184">
        <v>2.24854</v>
      </c>
      <c r="IY184">
        <v>2.20581</v>
      </c>
      <c r="IZ184">
        <v>1.39648</v>
      </c>
      <c r="JA184">
        <v>2.35962</v>
      </c>
      <c r="JB184">
        <v>1.49536</v>
      </c>
      <c r="JC184">
        <v>2.35352</v>
      </c>
      <c r="JD184">
        <v>38.4524</v>
      </c>
      <c r="JE184">
        <v>24.0437</v>
      </c>
      <c r="JF184">
        <v>18</v>
      </c>
      <c r="JG184">
        <v>514.915</v>
      </c>
      <c r="JH184">
        <v>424.235</v>
      </c>
      <c r="JI184">
        <v>22.5733</v>
      </c>
      <c r="JJ184">
        <v>29.092</v>
      </c>
      <c r="JK184">
        <v>30.0001</v>
      </c>
      <c r="JL184">
        <v>29.095</v>
      </c>
      <c r="JM184">
        <v>29.0358</v>
      </c>
      <c r="JN184">
        <v>45.0063</v>
      </c>
      <c r="JO184">
        <v>55.0706</v>
      </c>
      <c r="JP184">
        <v>0</v>
      </c>
      <c r="JQ184">
        <v>22.5658</v>
      </c>
      <c r="JR184">
        <v>1116.14</v>
      </c>
      <c r="JS184">
        <v>9.083030000000001</v>
      </c>
      <c r="JT184">
        <v>100.305</v>
      </c>
      <c r="JU184">
        <v>100.212</v>
      </c>
    </row>
    <row r="185" spans="1:281">
      <c r="A185">
        <v>169</v>
      </c>
      <c r="B185">
        <v>1651857622.1</v>
      </c>
      <c r="C185">
        <v>621.5</v>
      </c>
      <c r="D185" t="s">
        <v>765</v>
      </c>
      <c r="E185" t="s">
        <v>766</v>
      </c>
      <c r="F185">
        <v>2</v>
      </c>
      <c r="G185" t="s">
        <v>413</v>
      </c>
      <c r="H185" t="s">
        <v>414</v>
      </c>
      <c r="I185">
        <v>1651857620.725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1100.474091986995</v>
      </c>
      <c r="AK185">
        <v>1054.662727272727</v>
      </c>
      <c r="AL185">
        <v>3.313159401782121</v>
      </c>
      <c r="AM185">
        <v>66.38384787954378</v>
      </c>
      <c r="AN185">
        <f>(AP185 - AO185 + DI185*1E3/(8.314*(DK185+273.15)) * AR185/DH185 * AQ185) * DH185/(100*CV185) * 1000/(1000 - AP185)</f>
        <v>0</v>
      </c>
      <c r="AO185">
        <v>8.908246153341354</v>
      </c>
      <c r="AP185">
        <v>18.20145735294117</v>
      </c>
      <c r="AQ185">
        <v>-0.007220356801931673</v>
      </c>
      <c r="AR185">
        <v>80.44866334591464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417</v>
      </c>
      <c r="AY185" t="s">
        <v>417</v>
      </c>
      <c r="AZ185">
        <v>0</v>
      </c>
      <c r="BA185">
        <v>0</v>
      </c>
      <c r="BB185">
        <f>1-AZ185/BA185</f>
        <v>0</v>
      </c>
      <c r="BC185">
        <v>0</v>
      </c>
      <c r="BD185" t="s">
        <v>417</v>
      </c>
      <c r="BE185" t="s">
        <v>417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1238</v>
      </c>
      <c r="CA185">
        <v>300</v>
      </c>
      <c r="CB185">
        <v>300</v>
      </c>
      <c r="CC185">
        <v>300</v>
      </c>
      <c r="CD185">
        <v>10440.5</v>
      </c>
      <c r="CE185">
        <v>1411.69</v>
      </c>
      <c r="CF185">
        <v>-0.00735121</v>
      </c>
      <c r="CG185">
        <v>-0.77</v>
      </c>
      <c r="CH185" t="s">
        <v>417</v>
      </c>
      <c r="CI185" t="s">
        <v>417</v>
      </c>
      <c r="CJ185" t="s">
        <v>417</v>
      </c>
      <c r="CK185" t="s">
        <v>417</v>
      </c>
      <c r="CL185" t="s">
        <v>417</v>
      </c>
      <c r="CM185" t="s">
        <v>417</v>
      </c>
      <c r="CN185" t="s">
        <v>417</v>
      </c>
      <c r="CO185" t="s">
        <v>417</v>
      </c>
      <c r="CP185" t="s">
        <v>417</v>
      </c>
      <c r="CQ185" t="s">
        <v>417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418</v>
      </c>
      <c r="CY185">
        <v>2</v>
      </c>
      <c r="CZ185" t="b">
        <v>1</v>
      </c>
      <c r="DA185">
        <v>1651857620.725</v>
      </c>
      <c r="DB185">
        <v>1032.6125</v>
      </c>
      <c r="DC185">
        <v>1095.325</v>
      </c>
      <c r="DD185">
        <v>18.2019</v>
      </c>
      <c r="DE185">
        <v>8.969075</v>
      </c>
      <c r="DF185">
        <v>1034.975</v>
      </c>
      <c r="DG185">
        <v>18.1986</v>
      </c>
      <c r="DH185">
        <v>500.04925</v>
      </c>
      <c r="DI185">
        <v>90.0767</v>
      </c>
      <c r="DJ185">
        <v>0.09996065</v>
      </c>
      <c r="DK185">
        <v>25.777325</v>
      </c>
      <c r="DL185">
        <v>25.013625</v>
      </c>
      <c r="DM185">
        <v>999.9</v>
      </c>
      <c r="DN185">
        <v>0</v>
      </c>
      <c r="DO185">
        <v>0</v>
      </c>
      <c r="DP185">
        <v>10013.75</v>
      </c>
      <c r="DQ185">
        <v>0</v>
      </c>
      <c r="DR185">
        <v>3.20383</v>
      </c>
      <c r="DS185">
        <v>-62.71080000000001</v>
      </c>
      <c r="DT185">
        <v>1051.755</v>
      </c>
      <c r="DU185">
        <v>1105.2325</v>
      </c>
      <c r="DV185">
        <v>9.2328475</v>
      </c>
      <c r="DW185">
        <v>1095.325</v>
      </c>
      <c r="DX185">
        <v>8.969075</v>
      </c>
      <c r="DY185">
        <v>1.6395675</v>
      </c>
      <c r="DZ185">
        <v>0.8079047499999999</v>
      </c>
      <c r="EA185">
        <v>14.335825</v>
      </c>
      <c r="EB185">
        <v>3.8469175</v>
      </c>
      <c r="EC185">
        <v>1500.0225</v>
      </c>
      <c r="ED185">
        <v>0.973007</v>
      </c>
      <c r="EE185">
        <v>0.0269931</v>
      </c>
      <c r="EF185">
        <v>0</v>
      </c>
      <c r="EG185">
        <v>985.0577499999999</v>
      </c>
      <c r="EH185">
        <v>5.00097</v>
      </c>
      <c r="EI185">
        <v>14635.025</v>
      </c>
      <c r="EJ185">
        <v>12491.8</v>
      </c>
      <c r="EK185">
        <v>37.5</v>
      </c>
      <c r="EL185">
        <v>39</v>
      </c>
      <c r="EM185">
        <v>37.875</v>
      </c>
      <c r="EN185">
        <v>38.75</v>
      </c>
      <c r="EO185">
        <v>38.375</v>
      </c>
      <c r="EP185">
        <v>1454.6625</v>
      </c>
      <c r="EQ185">
        <v>40.36</v>
      </c>
      <c r="ER185">
        <v>0</v>
      </c>
      <c r="ES185">
        <v>621</v>
      </c>
      <c r="ET185">
        <v>0</v>
      </c>
      <c r="EU185">
        <v>988.6396538461538</v>
      </c>
      <c r="EV185">
        <v>-35.76598290610799</v>
      </c>
      <c r="EW185">
        <v>-511.5384615378719</v>
      </c>
      <c r="EX185">
        <v>14686.15769230769</v>
      </c>
      <c r="EY185">
        <v>15</v>
      </c>
      <c r="EZ185">
        <v>1651857041.1</v>
      </c>
      <c r="FA185" t="s">
        <v>419</v>
      </c>
      <c r="FB185">
        <v>1651857019.6</v>
      </c>
      <c r="FC185">
        <v>1651857041.1</v>
      </c>
      <c r="FD185">
        <v>1</v>
      </c>
      <c r="FE185">
        <v>0.545</v>
      </c>
      <c r="FF185">
        <v>-0.002</v>
      </c>
      <c r="FG185">
        <v>-1.271</v>
      </c>
      <c r="FH185">
        <v>-0.09</v>
      </c>
      <c r="FI185">
        <v>400</v>
      </c>
      <c r="FJ185">
        <v>10</v>
      </c>
      <c r="FK185">
        <v>0.1</v>
      </c>
      <c r="FL185">
        <v>0.02</v>
      </c>
      <c r="FM185">
        <v>-62.8055025</v>
      </c>
      <c r="FN185">
        <v>3.571759474671682</v>
      </c>
      <c r="FO185">
        <v>0.4636697820041215</v>
      </c>
      <c r="FP185">
        <v>-1</v>
      </c>
      <c r="FQ185">
        <v>9.365526750000001</v>
      </c>
      <c r="FR185">
        <v>-0.6303632645403646</v>
      </c>
      <c r="FS185">
        <v>0.06321551792825483</v>
      </c>
      <c r="FT185">
        <v>-1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0</v>
      </c>
      <c r="GA185" t="s">
        <v>432</v>
      </c>
      <c r="GB185">
        <v>2.98004</v>
      </c>
      <c r="GC185">
        <v>2.70613</v>
      </c>
      <c r="GD185">
        <v>0.17521</v>
      </c>
      <c r="GE185">
        <v>0.179721</v>
      </c>
      <c r="GF185">
        <v>0.087245</v>
      </c>
      <c r="GG185">
        <v>0.0510941</v>
      </c>
      <c r="GH185">
        <v>26024.7</v>
      </c>
      <c r="GI185">
        <v>25937.9</v>
      </c>
      <c r="GJ185">
        <v>29342.8</v>
      </c>
      <c r="GK185">
        <v>29255.2</v>
      </c>
      <c r="GL185">
        <v>35468.6</v>
      </c>
      <c r="GM185">
        <v>36973</v>
      </c>
      <c r="GN185">
        <v>41304.1</v>
      </c>
      <c r="GO185">
        <v>41751.8</v>
      </c>
      <c r="GP185">
        <v>1.95525</v>
      </c>
      <c r="GQ185">
        <v>1.83685</v>
      </c>
      <c r="GR185">
        <v>-0.0342913</v>
      </c>
      <c r="GS185">
        <v>0</v>
      </c>
      <c r="GT185">
        <v>25.579</v>
      </c>
      <c r="GU185">
        <v>999.9</v>
      </c>
      <c r="GV185">
        <v>38.5</v>
      </c>
      <c r="GW185">
        <v>33.9</v>
      </c>
      <c r="GX185">
        <v>22.7089</v>
      </c>
      <c r="GY185">
        <v>62.5676</v>
      </c>
      <c r="GZ185">
        <v>35.3566</v>
      </c>
      <c r="HA185">
        <v>1</v>
      </c>
      <c r="HB185">
        <v>0.136814</v>
      </c>
      <c r="HC185">
        <v>2.34081</v>
      </c>
      <c r="HD185">
        <v>20.3173</v>
      </c>
      <c r="HE185">
        <v>5.21714</v>
      </c>
      <c r="HF185">
        <v>12.0099</v>
      </c>
      <c r="HG185">
        <v>4.9887</v>
      </c>
      <c r="HH185">
        <v>3.28848</v>
      </c>
      <c r="HI185">
        <v>854.5</v>
      </c>
      <c r="HJ185">
        <v>8506.299999999999</v>
      </c>
      <c r="HK185">
        <v>5139.4</v>
      </c>
      <c r="HL185">
        <v>22.9</v>
      </c>
      <c r="HM185">
        <v>1.86752</v>
      </c>
      <c r="HN185">
        <v>1.86647</v>
      </c>
      <c r="HO185">
        <v>1.866</v>
      </c>
      <c r="HP185">
        <v>1.86587</v>
      </c>
      <c r="HQ185">
        <v>1.86774</v>
      </c>
      <c r="HR185">
        <v>1.87027</v>
      </c>
      <c r="HS185">
        <v>1.8689</v>
      </c>
      <c r="HT185">
        <v>1.87027</v>
      </c>
      <c r="HU185">
        <v>0</v>
      </c>
      <c r="HV185">
        <v>0</v>
      </c>
      <c r="HW185">
        <v>0</v>
      </c>
      <c r="HX185">
        <v>0</v>
      </c>
      <c r="HY185" t="s">
        <v>421</v>
      </c>
      <c r="HZ185" t="s">
        <v>422</v>
      </c>
      <c r="IA185" t="s">
        <v>423</v>
      </c>
      <c r="IB185" t="s">
        <v>423</v>
      </c>
      <c r="IC185" t="s">
        <v>423</v>
      </c>
      <c r="ID185" t="s">
        <v>423</v>
      </c>
      <c r="IE185">
        <v>0</v>
      </c>
      <c r="IF185">
        <v>100</v>
      </c>
      <c r="IG185">
        <v>100</v>
      </c>
      <c r="IH185">
        <v>-2.38</v>
      </c>
      <c r="II185">
        <v>0.0033</v>
      </c>
      <c r="IJ185">
        <v>-0.4995723906072</v>
      </c>
      <c r="IK185">
        <v>-0.002077099775823331</v>
      </c>
      <c r="IL185">
        <v>4.593143279902166E-07</v>
      </c>
      <c r="IM185">
        <v>-1.865383991892071E-10</v>
      </c>
      <c r="IN185">
        <v>-0.07605349583632376</v>
      </c>
      <c r="IO185">
        <v>-0.01129461987421345</v>
      </c>
      <c r="IP185">
        <v>0.00116580895745559</v>
      </c>
      <c r="IQ185">
        <v>-1.679085872906199E-05</v>
      </c>
      <c r="IR185">
        <v>2</v>
      </c>
      <c r="IS185">
        <v>2290</v>
      </c>
      <c r="IT185">
        <v>0</v>
      </c>
      <c r="IU185">
        <v>32</v>
      </c>
      <c r="IV185">
        <v>10</v>
      </c>
      <c r="IW185">
        <v>9.699999999999999</v>
      </c>
      <c r="IX185">
        <v>2.25952</v>
      </c>
      <c r="IY185">
        <v>2.21069</v>
      </c>
      <c r="IZ185">
        <v>1.39648</v>
      </c>
      <c r="JA185">
        <v>2.35962</v>
      </c>
      <c r="JB185">
        <v>1.49536</v>
      </c>
      <c r="JC185">
        <v>2.28394</v>
      </c>
      <c r="JD185">
        <v>38.4524</v>
      </c>
      <c r="JE185">
        <v>24.035</v>
      </c>
      <c r="JF185">
        <v>18</v>
      </c>
      <c r="JG185">
        <v>514.816</v>
      </c>
      <c r="JH185">
        <v>424.27</v>
      </c>
      <c r="JI185">
        <v>22.5679</v>
      </c>
      <c r="JJ185">
        <v>29.0911</v>
      </c>
      <c r="JK185">
        <v>30.0001</v>
      </c>
      <c r="JL185">
        <v>29.095</v>
      </c>
      <c r="JM185">
        <v>29.0346</v>
      </c>
      <c r="JN185">
        <v>45.231</v>
      </c>
      <c r="JO185">
        <v>55.0706</v>
      </c>
      <c r="JP185">
        <v>0</v>
      </c>
      <c r="JQ185">
        <v>22.5658</v>
      </c>
      <c r="JR185">
        <v>1122.83</v>
      </c>
      <c r="JS185">
        <v>9.093970000000001</v>
      </c>
      <c r="JT185">
        <v>100.304</v>
      </c>
      <c r="JU185">
        <v>100.212</v>
      </c>
    </row>
    <row r="186" spans="1:281">
      <c r="A186">
        <v>170</v>
      </c>
      <c r="B186">
        <v>1651857624.1</v>
      </c>
      <c r="C186">
        <v>623.5</v>
      </c>
      <c r="D186" t="s">
        <v>767</v>
      </c>
      <c r="E186" t="s">
        <v>768</v>
      </c>
      <c r="F186">
        <v>2</v>
      </c>
      <c r="G186" t="s">
        <v>413</v>
      </c>
      <c r="H186" t="s">
        <v>414</v>
      </c>
      <c r="I186">
        <v>1651857623.1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1107.255340107495</v>
      </c>
      <c r="AK186">
        <v>1061.32412121212</v>
      </c>
      <c r="AL186">
        <v>3.327644498274246</v>
      </c>
      <c r="AM186">
        <v>66.38384787954378</v>
      </c>
      <c r="AN186">
        <f>(AP186 - AO186 + DI186*1E3/(8.314*(DK186+273.15)) * AR186/DH186 * AQ186) * DH186/(100*CV186) * 1000/(1000 - AP186)</f>
        <v>0</v>
      </c>
      <c r="AO186">
        <v>8.941682490973085</v>
      </c>
      <c r="AP186">
        <v>18.20528029411764</v>
      </c>
      <c r="AQ186">
        <v>-0.003820806431745398</v>
      </c>
      <c r="AR186">
        <v>80.44866334591464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417</v>
      </c>
      <c r="AY186" t="s">
        <v>417</v>
      </c>
      <c r="AZ186">
        <v>0</v>
      </c>
      <c r="BA186">
        <v>0</v>
      </c>
      <c r="BB186">
        <f>1-AZ186/BA186</f>
        <v>0</v>
      </c>
      <c r="BC186">
        <v>0</v>
      </c>
      <c r="BD186" t="s">
        <v>417</v>
      </c>
      <c r="BE186" t="s">
        <v>417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1238</v>
      </c>
      <c r="CA186">
        <v>300</v>
      </c>
      <c r="CB186">
        <v>300</v>
      </c>
      <c r="CC186">
        <v>300</v>
      </c>
      <c r="CD186">
        <v>10440.5</v>
      </c>
      <c r="CE186">
        <v>1411.69</v>
      </c>
      <c r="CF186">
        <v>-0.00735121</v>
      </c>
      <c r="CG186">
        <v>-0.77</v>
      </c>
      <c r="CH186" t="s">
        <v>417</v>
      </c>
      <c r="CI186" t="s">
        <v>417</v>
      </c>
      <c r="CJ186" t="s">
        <v>417</v>
      </c>
      <c r="CK186" t="s">
        <v>417</v>
      </c>
      <c r="CL186" t="s">
        <v>417</v>
      </c>
      <c r="CM186" t="s">
        <v>417</v>
      </c>
      <c r="CN186" t="s">
        <v>417</v>
      </c>
      <c r="CO186" t="s">
        <v>417</v>
      </c>
      <c r="CP186" t="s">
        <v>417</v>
      </c>
      <c r="CQ186" t="s">
        <v>417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418</v>
      </c>
      <c r="CY186">
        <v>2</v>
      </c>
      <c r="CZ186" t="b">
        <v>1</v>
      </c>
      <c r="DA186">
        <v>1651857623.1</v>
      </c>
      <c r="DB186">
        <v>1040.36</v>
      </c>
      <c r="DC186">
        <v>1103.266666666667</v>
      </c>
      <c r="DD186">
        <v>18.20413333333333</v>
      </c>
      <c r="DE186">
        <v>9.023543333333334</v>
      </c>
      <c r="DF186">
        <v>1042.74</v>
      </c>
      <c r="DG186">
        <v>18.2008</v>
      </c>
      <c r="DH186">
        <v>500.003</v>
      </c>
      <c r="DI186">
        <v>90.07763333333332</v>
      </c>
      <c r="DJ186">
        <v>0.09994389999999999</v>
      </c>
      <c r="DK186">
        <v>25.77436666666667</v>
      </c>
      <c r="DL186">
        <v>25.0182</v>
      </c>
      <c r="DM186">
        <v>999.9</v>
      </c>
      <c r="DN186">
        <v>0</v>
      </c>
      <c r="DO186">
        <v>0</v>
      </c>
      <c r="DP186">
        <v>9995</v>
      </c>
      <c r="DQ186">
        <v>0</v>
      </c>
      <c r="DR186">
        <v>3.20383</v>
      </c>
      <c r="DS186">
        <v>-62.9033</v>
      </c>
      <c r="DT186">
        <v>1059.65</v>
      </c>
      <c r="DU186">
        <v>1113.31</v>
      </c>
      <c r="DV186">
        <v>9.180616666666667</v>
      </c>
      <c r="DW186">
        <v>1103.266666666667</v>
      </c>
      <c r="DX186">
        <v>9.023543333333334</v>
      </c>
      <c r="DY186">
        <v>1.639786666666667</v>
      </c>
      <c r="DZ186">
        <v>0.8128196666666666</v>
      </c>
      <c r="EA186">
        <v>14.33786666666666</v>
      </c>
      <c r="EB186">
        <v>3.933183333333333</v>
      </c>
      <c r="EC186">
        <v>1499.82</v>
      </c>
      <c r="ED186">
        <v>0.9730036666666667</v>
      </c>
      <c r="EE186">
        <v>0.0269967</v>
      </c>
      <c r="EF186">
        <v>0</v>
      </c>
      <c r="EG186">
        <v>983.2986666666666</v>
      </c>
      <c r="EH186">
        <v>5.00097</v>
      </c>
      <c r="EI186">
        <v>14609.4</v>
      </c>
      <c r="EJ186">
        <v>12490.1</v>
      </c>
      <c r="EK186">
        <v>37.5</v>
      </c>
      <c r="EL186">
        <v>39</v>
      </c>
      <c r="EM186">
        <v>37.875</v>
      </c>
      <c r="EN186">
        <v>38.75</v>
      </c>
      <c r="EO186">
        <v>38.375</v>
      </c>
      <c r="EP186">
        <v>1454.46</v>
      </c>
      <c r="EQ186">
        <v>40.35666666666667</v>
      </c>
      <c r="ER186">
        <v>0</v>
      </c>
      <c r="ES186">
        <v>622.8000001907349</v>
      </c>
      <c r="ET186">
        <v>0</v>
      </c>
      <c r="EU186">
        <v>987.38296</v>
      </c>
      <c r="EV186">
        <v>-36.53576917194713</v>
      </c>
      <c r="EW186">
        <v>-516.2692299693567</v>
      </c>
      <c r="EX186">
        <v>14667.888</v>
      </c>
      <c r="EY186">
        <v>15</v>
      </c>
      <c r="EZ186">
        <v>1651857041.1</v>
      </c>
      <c r="FA186" t="s">
        <v>419</v>
      </c>
      <c r="FB186">
        <v>1651857019.6</v>
      </c>
      <c r="FC186">
        <v>1651857041.1</v>
      </c>
      <c r="FD186">
        <v>1</v>
      </c>
      <c r="FE186">
        <v>0.545</v>
      </c>
      <c r="FF186">
        <v>-0.002</v>
      </c>
      <c r="FG186">
        <v>-1.271</v>
      </c>
      <c r="FH186">
        <v>-0.09</v>
      </c>
      <c r="FI186">
        <v>400</v>
      </c>
      <c r="FJ186">
        <v>10</v>
      </c>
      <c r="FK186">
        <v>0.1</v>
      </c>
      <c r="FL186">
        <v>0.02</v>
      </c>
      <c r="FM186">
        <v>-62.78171463414635</v>
      </c>
      <c r="FN186">
        <v>2.669477351916115</v>
      </c>
      <c r="FO186">
        <v>0.4487678304418666</v>
      </c>
      <c r="FP186">
        <v>-1</v>
      </c>
      <c r="FQ186">
        <v>9.334025609756099</v>
      </c>
      <c r="FR186">
        <v>-0.7267450871080093</v>
      </c>
      <c r="FS186">
        <v>0.07554863928489339</v>
      </c>
      <c r="FT186">
        <v>-1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0</v>
      </c>
      <c r="GA186" t="s">
        <v>432</v>
      </c>
      <c r="GB186">
        <v>2.97998</v>
      </c>
      <c r="GC186">
        <v>2.70606</v>
      </c>
      <c r="GD186">
        <v>0.17592</v>
      </c>
      <c r="GE186">
        <v>0.180427</v>
      </c>
      <c r="GF186">
        <v>0.08726739999999999</v>
      </c>
      <c r="GG186">
        <v>0.0511935</v>
      </c>
      <c r="GH186">
        <v>26002.1</v>
      </c>
      <c r="GI186">
        <v>25915.4</v>
      </c>
      <c r="GJ186">
        <v>29342.6</v>
      </c>
      <c r="GK186">
        <v>29255.1</v>
      </c>
      <c r="GL186">
        <v>35467.4</v>
      </c>
      <c r="GM186">
        <v>36969</v>
      </c>
      <c r="GN186">
        <v>41303.8</v>
      </c>
      <c r="GO186">
        <v>41751.6</v>
      </c>
      <c r="GP186">
        <v>1.95518</v>
      </c>
      <c r="GQ186">
        <v>1.83665</v>
      </c>
      <c r="GR186">
        <v>-0.0342913</v>
      </c>
      <c r="GS186">
        <v>0</v>
      </c>
      <c r="GT186">
        <v>25.58</v>
      </c>
      <c r="GU186">
        <v>999.9</v>
      </c>
      <c r="GV186">
        <v>38.5</v>
      </c>
      <c r="GW186">
        <v>34</v>
      </c>
      <c r="GX186">
        <v>22.8357</v>
      </c>
      <c r="GY186">
        <v>62.2476</v>
      </c>
      <c r="GZ186">
        <v>35.3205</v>
      </c>
      <c r="HA186">
        <v>1</v>
      </c>
      <c r="HB186">
        <v>0.136738</v>
      </c>
      <c r="HC186">
        <v>2.33182</v>
      </c>
      <c r="HD186">
        <v>20.3174</v>
      </c>
      <c r="HE186">
        <v>5.21699</v>
      </c>
      <c r="HF186">
        <v>12.0099</v>
      </c>
      <c r="HG186">
        <v>4.9887</v>
      </c>
      <c r="HH186">
        <v>3.28858</v>
      </c>
      <c r="HI186">
        <v>854.7</v>
      </c>
      <c r="HJ186">
        <v>8508.5</v>
      </c>
      <c r="HK186">
        <v>5139.4</v>
      </c>
      <c r="HL186">
        <v>22.9</v>
      </c>
      <c r="HM186">
        <v>1.86752</v>
      </c>
      <c r="HN186">
        <v>1.86647</v>
      </c>
      <c r="HO186">
        <v>1.866</v>
      </c>
      <c r="HP186">
        <v>1.86587</v>
      </c>
      <c r="HQ186">
        <v>1.86775</v>
      </c>
      <c r="HR186">
        <v>1.87027</v>
      </c>
      <c r="HS186">
        <v>1.8689</v>
      </c>
      <c r="HT186">
        <v>1.87027</v>
      </c>
      <c r="HU186">
        <v>0</v>
      </c>
      <c r="HV186">
        <v>0</v>
      </c>
      <c r="HW186">
        <v>0</v>
      </c>
      <c r="HX186">
        <v>0</v>
      </c>
      <c r="HY186" t="s">
        <v>421</v>
      </c>
      <c r="HZ186" t="s">
        <v>422</v>
      </c>
      <c r="IA186" t="s">
        <v>423</v>
      </c>
      <c r="IB186" t="s">
        <v>423</v>
      </c>
      <c r="IC186" t="s">
        <v>423</v>
      </c>
      <c r="ID186" t="s">
        <v>423</v>
      </c>
      <c r="IE186">
        <v>0</v>
      </c>
      <c r="IF186">
        <v>100</v>
      </c>
      <c r="IG186">
        <v>100</v>
      </c>
      <c r="IH186">
        <v>-2.38</v>
      </c>
      <c r="II186">
        <v>0.0034</v>
      </c>
      <c r="IJ186">
        <v>-0.4995723906072</v>
      </c>
      <c r="IK186">
        <v>-0.002077099775823331</v>
      </c>
      <c r="IL186">
        <v>4.593143279902166E-07</v>
      </c>
      <c r="IM186">
        <v>-1.865383991892071E-10</v>
      </c>
      <c r="IN186">
        <v>-0.07605349583632376</v>
      </c>
      <c r="IO186">
        <v>-0.01129461987421345</v>
      </c>
      <c r="IP186">
        <v>0.00116580895745559</v>
      </c>
      <c r="IQ186">
        <v>-1.679085872906199E-05</v>
      </c>
      <c r="IR186">
        <v>2</v>
      </c>
      <c r="IS186">
        <v>2290</v>
      </c>
      <c r="IT186">
        <v>0</v>
      </c>
      <c r="IU186">
        <v>32</v>
      </c>
      <c r="IV186">
        <v>10.1</v>
      </c>
      <c r="IW186">
        <v>9.699999999999999</v>
      </c>
      <c r="IX186">
        <v>2.27051</v>
      </c>
      <c r="IY186">
        <v>2.20825</v>
      </c>
      <c r="IZ186">
        <v>1.39648</v>
      </c>
      <c r="JA186">
        <v>2.35962</v>
      </c>
      <c r="JB186">
        <v>1.49536</v>
      </c>
      <c r="JC186">
        <v>2.34131</v>
      </c>
      <c r="JD186">
        <v>38.4769</v>
      </c>
      <c r="JE186">
        <v>24.0437</v>
      </c>
      <c r="JF186">
        <v>18</v>
      </c>
      <c r="JG186">
        <v>514.7670000000001</v>
      </c>
      <c r="JH186">
        <v>424.148</v>
      </c>
      <c r="JI186">
        <v>22.5625</v>
      </c>
      <c r="JJ186">
        <v>29.0911</v>
      </c>
      <c r="JK186">
        <v>30</v>
      </c>
      <c r="JL186">
        <v>29.095</v>
      </c>
      <c r="JM186">
        <v>29.0341</v>
      </c>
      <c r="JN186">
        <v>45.4469</v>
      </c>
      <c r="JO186">
        <v>55.0706</v>
      </c>
      <c r="JP186">
        <v>0</v>
      </c>
      <c r="JQ186">
        <v>22.5516</v>
      </c>
      <c r="JR186">
        <v>1129.53</v>
      </c>
      <c r="JS186">
        <v>9.113759999999999</v>
      </c>
      <c r="JT186">
        <v>100.303</v>
      </c>
      <c r="JU186">
        <v>100.211</v>
      </c>
    </row>
    <row r="187" spans="1:281">
      <c r="A187">
        <v>171</v>
      </c>
      <c r="B187">
        <v>1651857626.1</v>
      </c>
      <c r="C187">
        <v>625.5</v>
      </c>
      <c r="D187" t="s">
        <v>769</v>
      </c>
      <c r="E187" t="s">
        <v>770</v>
      </c>
      <c r="F187">
        <v>2</v>
      </c>
      <c r="G187" t="s">
        <v>413</v>
      </c>
      <c r="H187" t="s">
        <v>414</v>
      </c>
      <c r="I187">
        <v>1651857624.725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1114.104711927349</v>
      </c>
      <c r="AK187">
        <v>1068.050181818181</v>
      </c>
      <c r="AL187">
        <v>3.35346401933141</v>
      </c>
      <c r="AM187">
        <v>66.38384787954378</v>
      </c>
      <c r="AN187">
        <f>(AP187 - AO187 + DI187*1E3/(8.314*(DK187+273.15)) * AR187/DH187 * AQ187) * DH187/(100*CV187) * 1000/(1000 - AP187)</f>
        <v>0</v>
      </c>
      <c r="AO187">
        <v>8.994396936576816</v>
      </c>
      <c r="AP187">
        <v>18.21226117647058</v>
      </c>
      <c r="AQ187">
        <v>-0.001107407819305995</v>
      </c>
      <c r="AR187">
        <v>80.44866334591464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417</v>
      </c>
      <c r="AY187" t="s">
        <v>417</v>
      </c>
      <c r="AZ187">
        <v>0</v>
      </c>
      <c r="BA187">
        <v>0</v>
      </c>
      <c r="BB187">
        <f>1-AZ187/BA187</f>
        <v>0</v>
      </c>
      <c r="BC187">
        <v>0</v>
      </c>
      <c r="BD187" t="s">
        <v>417</v>
      </c>
      <c r="BE187" t="s">
        <v>417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1238</v>
      </c>
      <c r="CA187">
        <v>300</v>
      </c>
      <c r="CB187">
        <v>300</v>
      </c>
      <c r="CC187">
        <v>300</v>
      </c>
      <c r="CD187">
        <v>10440.5</v>
      </c>
      <c r="CE187">
        <v>1411.69</v>
      </c>
      <c r="CF187">
        <v>-0.00735121</v>
      </c>
      <c r="CG187">
        <v>-0.77</v>
      </c>
      <c r="CH187" t="s">
        <v>417</v>
      </c>
      <c r="CI187" t="s">
        <v>417</v>
      </c>
      <c r="CJ187" t="s">
        <v>417</v>
      </c>
      <c r="CK187" t="s">
        <v>417</v>
      </c>
      <c r="CL187" t="s">
        <v>417</v>
      </c>
      <c r="CM187" t="s">
        <v>417</v>
      </c>
      <c r="CN187" t="s">
        <v>417</v>
      </c>
      <c r="CO187" t="s">
        <v>417</v>
      </c>
      <c r="CP187" t="s">
        <v>417</v>
      </c>
      <c r="CQ187" t="s">
        <v>417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418</v>
      </c>
      <c r="CY187">
        <v>2</v>
      </c>
      <c r="CZ187" t="b">
        <v>1</v>
      </c>
      <c r="DA187">
        <v>1651857624.725</v>
      </c>
      <c r="DB187">
        <v>1045.71</v>
      </c>
      <c r="DC187">
        <v>1108.8175</v>
      </c>
      <c r="DD187">
        <v>18.208875</v>
      </c>
      <c r="DE187">
        <v>9.0324975</v>
      </c>
      <c r="DF187">
        <v>1048.0975</v>
      </c>
      <c r="DG187">
        <v>18.20545</v>
      </c>
      <c r="DH187">
        <v>500.012</v>
      </c>
      <c r="DI187">
        <v>90.078275</v>
      </c>
      <c r="DJ187">
        <v>0.10001085</v>
      </c>
      <c r="DK187">
        <v>25.772925</v>
      </c>
      <c r="DL187">
        <v>25.017475</v>
      </c>
      <c r="DM187">
        <v>999.9</v>
      </c>
      <c r="DN187">
        <v>0</v>
      </c>
      <c r="DO187">
        <v>0</v>
      </c>
      <c r="DP187">
        <v>9994.674999999999</v>
      </c>
      <c r="DQ187">
        <v>0</v>
      </c>
      <c r="DR187">
        <v>3.20383</v>
      </c>
      <c r="DS187">
        <v>-63.105975</v>
      </c>
      <c r="DT187">
        <v>1065.105</v>
      </c>
      <c r="DU187">
        <v>1118.9225</v>
      </c>
      <c r="DV187">
        <v>9.176382499999999</v>
      </c>
      <c r="DW187">
        <v>1108.8175</v>
      </c>
      <c r="DX187">
        <v>9.0324975</v>
      </c>
      <c r="DY187">
        <v>1.6402225</v>
      </c>
      <c r="DZ187">
        <v>0.8136322499999999</v>
      </c>
      <c r="EA187">
        <v>14.342</v>
      </c>
      <c r="EB187">
        <v>3.94739</v>
      </c>
      <c r="EC187">
        <v>1500.015</v>
      </c>
      <c r="ED187">
        <v>0.973007</v>
      </c>
      <c r="EE187">
        <v>0.0269931</v>
      </c>
      <c r="EF187">
        <v>0</v>
      </c>
      <c r="EG187">
        <v>982.54025</v>
      </c>
      <c r="EH187">
        <v>5.00097</v>
      </c>
      <c r="EI187">
        <v>14599.075</v>
      </c>
      <c r="EJ187">
        <v>12491.75</v>
      </c>
      <c r="EK187">
        <v>37.5</v>
      </c>
      <c r="EL187">
        <v>39</v>
      </c>
      <c r="EM187">
        <v>37.875</v>
      </c>
      <c r="EN187">
        <v>38.75</v>
      </c>
      <c r="EO187">
        <v>38.375</v>
      </c>
      <c r="EP187">
        <v>1454.655</v>
      </c>
      <c r="EQ187">
        <v>40.355</v>
      </c>
      <c r="ER187">
        <v>0</v>
      </c>
      <c r="ES187">
        <v>625.2000000476837</v>
      </c>
      <c r="ET187">
        <v>0</v>
      </c>
      <c r="EU187">
        <v>985.9518</v>
      </c>
      <c r="EV187">
        <v>-35.81569235149296</v>
      </c>
      <c r="EW187">
        <v>-513.3923084778376</v>
      </c>
      <c r="EX187">
        <v>14647.38</v>
      </c>
      <c r="EY187">
        <v>15</v>
      </c>
      <c r="EZ187">
        <v>1651857041.1</v>
      </c>
      <c r="FA187" t="s">
        <v>419</v>
      </c>
      <c r="FB187">
        <v>1651857019.6</v>
      </c>
      <c r="FC187">
        <v>1651857041.1</v>
      </c>
      <c r="FD187">
        <v>1</v>
      </c>
      <c r="FE187">
        <v>0.545</v>
      </c>
      <c r="FF187">
        <v>-0.002</v>
      </c>
      <c r="FG187">
        <v>-1.271</v>
      </c>
      <c r="FH187">
        <v>-0.09</v>
      </c>
      <c r="FI187">
        <v>400</v>
      </c>
      <c r="FJ187">
        <v>10</v>
      </c>
      <c r="FK187">
        <v>0.1</v>
      </c>
      <c r="FL187">
        <v>0.02</v>
      </c>
      <c r="FM187">
        <v>-62.7609025</v>
      </c>
      <c r="FN187">
        <v>1.59560712945606</v>
      </c>
      <c r="FO187">
        <v>0.4401152931264145</v>
      </c>
      <c r="FP187">
        <v>-1</v>
      </c>
      <c r="FQ187">
        <v>9.3131535</v>
      </c>
      <c r="FR187">
        <v>-0.7977131707317184</v>
      </c>
      <c r="FS187">
        <v>0.08015617070912268</v>
      </c>
      <c r="FT187">
        <v>-1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0</v>
      </c>
      <c r="GA187" t="s">
        <v>432</v>
      </c>
      <c r="GB187">
        <v>2.97981</v>
      </c>
      <c r="GC187">
        <v>2.70623</v>
      </c>
      <c r="GD187">
        <v>0.176634</v>
      </c>
      <c r="GE187">
        <v>0.181144</v>
      </c>
      <c r="GF187">
        <v>0.08727169999999999</v>
      </c>
      <c r="GG187">
        <v>0.0512223</v>
      </c>
      <c r="GH187">
        <v>25979.6</v>
      </c>
      <c r="GI187">
        <v>25892.9</v>
      </c>
      <c r="GJ187">
        <v>29342.8</v>
      </c>
      <c r="GK187">
        <v>29255.2</v>
      </c>
      <c r="GL187">
        <v>35467.4</v>
      </c>
      <c r="GM187">
        <v>36968</v>
      </c>
      <c r="GN187">
        <v>41304</v>
      </c>
      <c r="GO187">
        <v>41751.7</v>
      </c>
      <c r="GP187">
        <v>1.95495</v>
      </c>
      <c r="GQ187">
        <v>1.8366</v>
      </c>
      <c r="GR187">
        <v>-0.0344589</v>
      </c>
      <c r="GS187">
        <v>0</v>
      </c>
      <c r="GT187">
        <v>25.58</v>
      </c>
      <c r="GU187">
        <v>999.9</v>
      </c>
      <c r="GV187">
        <v>38.5</v>
      </c>
      <c r="GW187">
        <v>34</v>
      </c>
      <c r="GX187">
        <v>22.8346</v>
      </c>
      <c r="GY187">
        <v>62.4976</v>
      </c>
      <c r="GZ187">
        <v>35.613</v>
      </c>
      <c r="HA187">
        <v>1</v>
      </c>
      <c r="HB187">
        <v>0.136799</v>
      </c>
      <c r="HC187">
        <v>2.34824</v>
      </c>
      <c r="HD187">
        <v>20.3172</v>
      </c>
      <c r="HE187">
        <v>5.21714</v>
      </c>
      <c r="HF187">
        <v>12.0099</v>
      </c>
      <c r="HG187">
        <v>4.9888</v>
      </c>
      <c r="HH187">
        <v>3.28865</v>
      </c>
      <c r="HI187">
        <v>854.7</v>
      </c>
      <c r="HJ187">
        <v>8508.5</v>
      </c>
      <c r="HK187">
        <v>5139.4</v>
      </c>
      <c r="HL187">
        <v>22.9</v>
      </c>
      <c r="HM187">
        <v>1.86752</v>
      </c>
      <c r="HN187">
        <v>1.86646</v>
      </c>
      <c r="HO187">
        <v>1.866</v>
      </c>
      <c r="HP187">
        <v>1.86588</v>
      </c>
      <c r="HQ187">
        <v>1.86773</v>
      </c>
      <c r="HR187">
        <v>1.87027</v>
      </c>
      <c r="HS187">
        <v>1.8689</v>
      </c>
      <c r="HT187">
        <v>1.87027</v>
      </c>
      <c r="HU187">
        <v>0</v>
      </c>
      <c r="HV187">
        <v>0</v>
      </c>
      <c r="HW187">
        <v>0</v>
      </c>
      <c r="HX187">
        <v>0</v>
      </c>
      <c r="HY187" t="s">
        <v>421</v>
      </c>
      <c r="HZ187" t="s">
        <v>422</v>
      </c>
      <c r="IA187" t="s">
        <v>423</v>
      </c>
      <c r="IB187" t="s">
        <v>423</v>
      </c>
      <c r="IC187" t="s">
        <v>423</v>
      </c>
      <c r="ID187" t="s">
        <v>423</v>
      </c>
      <c r="IE187">
        <v>0</v>
      </c>
      <c r="IF187">
        <v>100</v>
      </c>
      <c r="IG187">
        <v>100</v>
      </c>
      <c r="IH187">
        <v>-2.4</v>
      </c>
      <c r="II187">
        <v>0.0034</v>
      </c>
      <c r="IJ187">
        <v>-0.4995723906072</v>
      </c>
      <c r="IK187">
        <v>-0.002077099775823331</v>
      </c>
      <c r="IL187">
        <v>4.593143279902166E-07</v>
      </c>
      <c r="IM187">
        <v>-1.865383991892071E-10</v>
      </c>
      <c r="IN187">
        <v>-0.07605349583632376</v>
      </c>
      <c r="IO187">
        <v>-0.01129461987421345</v>
      </c>
      <c r="IP187">
        <v>0.00116580895745559</v>
      </c>
      <c r="IQ187">
        <v>-1.679085872906199E-05</v>
      </c>
      <c r="IR187">
        <v>2</v>
      </c>
      <c r="IS187">
        <v>2290</v>
      </c>
      <c r="IT187">
        <v>0</v>
      </c>
      <c r="IU187">
        <v>32</v>
      </c>
      <c r="IV187">
        <v>10.1</v>
      </c>
      <c r="IW187">
        <v>9.800000000000001</v>
      </c>
      <c r="IX187">
        <v>2.28149</v>
      </c>
      <c r="IY187">
        <v>2.20581</v>
      </c>
      <c r="IZ187">
        <v>1.39648</v>
      </c>
      <c r="JA187">
        <v>2.35962</v>
      </c>
      <c r="JB187">
        <v>1.49536</v>
      </c>
      <c r="JC187">
        <v>2.34863</v>
      </c>
      <c r="JD187">
        <v>38.4524</v>
      </c>
      <c r="JE187">
        <v>24.0437</v>
      </c>
      <c r="JF187">
        <v>18</v>
      </c>
      <c r="JG187">
        <v>514.611</v>
      </c>
      <c r="JH187">
        <v>424.118</v>
      </c>
      <c r="JI187">
        <v>22.5584</v>
      </c>
      <c r="JJ187">
        <v>29.0911</v>
      </c>
      <c r="JK187">
        <v>30.0001</v>
      </c>
      <c r="JL187">
        <v>29.0941</v>
      </c>
      <c r="JM187">
        <v>29.0341</v>
      </c>
      <c r="JN187">
        <v>45.6708</v>
      </c>
      <c r="JO187">
        <v>55.0706</v>
      </c>
      <c r="JP187">
        <v>0</v>
      </c>
      <c r="JQ187">
        <v>22.5516</v>
      </c>
      <c r="JR187">
        <v>1136.22</v>
      </c>
      <c r="JS187">
        <v>9.140470000000001</v>
      </c>
      <c r="JT187">
        <v>100.303</v>
      </c>
      <c r="JU187">
        <v>100.212</v>
      </c>
    </row>
    <row r="188" spans="1:281">
      <c r="A188">
        <v>172</v>
      </c>
      <c r="B188">
        <v>1651857628.1</v>
      </c>
      <c r="C188">
        <v>627.5</v>
      </c>
      <c r="D188" t="s">
        <v>771</v>
      </c>
      <c r="E188" t="s">
        <v>772</v>
      </c>
      <c r="F188">
        <v>2</v>
      </c>
      <c r="G188" t="s">
        <v>413</v>
      </c>
      <c r="H188" t="s">
        <v>414</v>
      </c>
      <c r="I188">
        <v>1651857627.1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1121.053449530478</v>
      </c>
      <c r="AK188">
        <v>1074.825393939394</v>
      </c>
      <c r="AL188">
        <v>3.380491643883678</v>
      </c>
      <c r="AM188">
        <v>66.38384787954378</v>
      </c>
      <c r="AN188">
        <f>(AP188 - AO188 + DI188*1E3/(8.314*(DK188+273.15)) * AR188/DH188 * AQ188) * DH188/(100*CV188) * 1000/(1000 - AP188)</f>
        <v>0</v>
      </c>
      <c r="AO188">
        <v>9.027197199285995</v>
      </c>
      <c r="AP188">
        <v>18.20490911764706</v>
      </c>
      <c r="AQ188">
        <v>0.001114398836041131</v>
      </c>
      <c r="AR188">
        <v>80.44866334591464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417</v>
      </c>
      <c r="AY188" t="s">
        <v>417</v>
      </c>
      <c r="AZ188">
        <v>0</v>
      </c>
      <c r="BA188">
        <v>0</v>
      </c>
      <c r="BB188">
        <f>1-AZ188/BA188</f>
        <v>0</v>
      </c>
      <c r="BC188">
        <v>0</v>
      </c>
      <c r="BD188" t="s">
        <v>417</v>
      </c>
      <c r="BE188" t="s">
        <v>417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1238</v>
      </c>
      <c r="CA188">
        <v>300</v>
      </c>
      <c r="CB188">
        <v>300</v>
      </c>
      <c r="CC188">
        <v>300</v>
      </c>
      <c r="CD188">
        <v>10440.5</v>
      </c>
      <c r="CE188">
        <v>1411.69</v>
      </c>
      <c r="CF188">
        <v>-0.00735121</v>
      </c>
      <c r="CG188">
        <v>-0.77</v>
      </c>
      <c r="CH188" t="s">
        <v>417</v>
      </c>
      <c r="CI188" t="s">
        <v>417</v>
      </c>
      <c r="CJ188" t="s">
        <v>417</v>
      </c>
      <c r="CK188" t="s">
        <v>417</v>
      </c>
      <c r="CL188" t="s">
        <v>417</v>
      </c>
      <c r="CM188" t="s">
        <v>417</v>
      </c>
      <c r="CN188" t="s">
        <v>417</v>
      </c>
      <c r="CO188" t="s">
        <v>417</v>
      </c>
      <c r="CP188" t="s">
        <v>417</v>
      </c>
      <c r="CQ188" t="s">
        <v>417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418</v>
      </c>
      <c r="CY188">
        <v>2</v>
      </c>
      <c r="CZ188" t="b">
        <v>1</v>
      </c>
      <c r="DA188">
        <v>1651857627.1</v>
      </c>
      <c r="DB188">
        <v>1053.593333333333</v>
      </c>
      <c r="DC188">
        <v>1116.703333333334</v>
      </c>
      <c r="DD188">
        <v>18.20486666666666</v>
      </c>
      <c r="DE188">
        <v>9.034773333333334</v>
      </c>
      <c r="DF188">
        <v>1055.996666666667</v>
      </c>
      <c r="DG188">
        <v>18.20153333333333</v>
      </c>
      <c r="DH188">
        <v>500.0233333333333</v>
      </c>
      <c r="DI188">
        <v>90.07943333333333</v>
      </c>
      <c r="DJ188">
        <v>0.09990456666666665</v>
      </c>
      <c r="DK188">
        <v>25.77266666666667</v>
      </c>
      <c r="DL188">
        <v>25.01306666666666</v>
      </c>
      <c r="DM188">
        <v>999.9</v>
      </c>
      <c r="DN188">
        <v>0</v>
      </c>
      <c r="DO188">
        <v>0</v>
      </c>
      <c r="DP188">
        <v>10025.6</v>
      </c>
      <c r="DQ188">
        <v>0</v>
      </c>
      <c r="DR188">
        <v>3.20383</v>
      </c>
      <c r="DS188">
        <v>-63.10776666666667</v>
      </c>
      <c r="DT188">
        <v>1073.13</v>
      </c>
      <c r="DU188">
        <v>1126.883333333333</v>
      </c>
      <c r="DV188">
        <v>9.170129999999999</v>
      </c>
      <c r="DW188">
        <v>1116.703333333334</v>
      </c>
      <c r="DX188">
        <v>9.034773333333334</v>
      </c>
      <c r="DY188">
        <v>1.639886666666667</v>
      </c>
      <c r="DZ188">
        <v>0.8138473333333334</v>
      </c>
      <c r="EA188">
        <v>14.33883333333333</v>
      </c>
      <c r="EB188">
        <v>3.951146666666666</v>
      </c>
      <c r="EC188">
        <v>1500.01</v>
      </c>
      <c r="ED188">
        <v>0.973007</v>
      </c>
      <c r="EE188">
        <v>0.0269931</v>
      </c>
      <c r="EF188">
        <v>0</v>
      </c>
      <c r="EG188">
        <v>981.5770000000001</v>
      </c>
      <c r="EH188">
        <v>5.00097</v>
      </c>
      <c r="EI188">
        <v>14581.26666666666</v>
      </c>
      <c r="EJ188">
        <v>12491.7</v>
      </c>
      <c r="EK188">
        <v>37.5</v>
      </c>
      <c r="EL188">
        <v>39</v>
      </c>
      <c r="EM188">
        <v>37.875</v>
      </c>
      <c r="EN188">
        <v>38.75</v>
      </c>
      <c r="EO188">
        <v>38.375</v>
      </c>
      <c r="EP188">
        <v>1454.65</v>
      </c>
      <c r="EQ188">
        <v>40.35</v>
      </c>
      <c r="ER188">
        <v>0</v>
      </c>
      <c r="ES188">
        <v>627</v>
      </c>
      <c r="ET188">
        <v>0</v>
      </c>
      <c r="EU188">
        <v>985.1111538461538</v>
      </c>
      <c r="EV188">
        <v>-35.18338460217686</v>
      </c>
      <c r="EW188">
        <v>-514.2700854771439</v>
      </c>
      <c r="EX188">
        <v>14634.75384615385</v>
      </c>
      <c r="EY188">
        <v>15</v>
      </c>
      <c r="EZ188">
        <v>1651857041.1</v>
      </c>
      <c r="FA188" t="s">
        <v>419</v>
      </c>
      <c r="FB188">
        <v>1651857019.6</v>
      </c>
      <c r="FC188">
        <v>1651857041.1</v>
      </c>
      <c r="FD188">
        <v>1</v>
      </c>
      <c r="FE188">
        <v>0.545</v>
      </c>
      <c r="FF188">
        <v>-0.002</v>
      </c>
      <c r="FG188">
        <v>-1.271</v>
      </c>
      <c r="FH188">
        <v>-0.09</v>
      </c>
      <c r="FI188">
        <v>400</v>
      </c>
      <c r="FJ188">
        <v>10</v>
      </c>
      <c r="FK188">
        <v>0.1</v>
      </c>
      <c r="FL188">
        <v>0.02</v>
      </c>
      <c r="FM188">
        <v>-62.74415365853658</v>
      </c>
      <c r="FN188">
        <v>-0.5406648083624398</v>
      </c>
      <c r="FO188">
        <v>0.4067256581815317</v>
      </c>
      <c r="FP188">
        <v>-1</v>
      </c>
      <c r="FQ188">
        <v>9.287670243902438</v>
      </c>
      <c r="FR188">
        <v>-0.8491166550522428</v>
      </c>
      <c r="FS188">
        <v>0.08589552620417282</v>
      </c>
      <c r="FT188">
        <v>-1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0</v>
      </c>
      <c r="GA188" t="s">
        <v>432</v>
      </c>
      <c r="GB188">
        <v>2.97993</v>
      </c>
      <c r="GC188">
        <v>2.70629</v>
      </c>
      <c r="GD188">
        <v>0.177353</v>
      </c>
      <c r="GE188">
        <v>0.181798</v>
      </c>
      <c r="GF188">
        <v>0.0872479</v>
      </c>
      <c r="GG188">
        <v>0.0511767</v>
      </c>
      <c r="GH188">
        <v>25956.9</v>
      </c>
      <c r="GI188">
        <v>25871.6</v>
      </c>
      <c r="GJ188">
        <v>29342.8</v>
      </c>
      <c r="GK188">
        <v>29254.6</v>
      </c>
      <c r="GL188">
        <v>35468.4</v>
      </c>
      <c r="GM188">
        <v>36968.8</v>
      </c>
      <c r="GN188">
        <v>41303.9</v>
      </c>
      <c r="GO188">
        <v>41750.6</v>
      </c>
      <c r="GP188">
        <v>1.955</v>
      </c>
      <c r="GQ188">
        <v>1.83655</v>
      </c>
      <c r="GR188">
        <v>-0.0344962</v>
      </c>
      <c r="GS188">
        <v>0</v>
      </c>
      <c r="GT188">
        <v>25.5798</v>
      </c>
      <c r="GU188">
        <v>999.9</v>
      </c>
      <c r="GV188">
        <v>38.5</v>
      </c>
      <c r="GW188">
        <v>34</v>
      </c>
      <c r="GX188">
        <v>22.8349</v>
      </c>
      <c r="GY188">
        <v>62.4176</v>
      </c>
      <c r="GZ188">
        <v>35.5809</v>
      </c>
      <c r="HA188">
        <v>1</v>
      </c>
      <c r="HB188">
        <v>0.136817</v>
      </c>
      <c r="HC188">
        <v>2.34597</v>
      </c>
      <c r="HD188">
        <v>20.3174</v>
      </c>
      <c r="HE188">
        <v>5.21714</v>
      </c>
      <c r="HF188">
        <v>12.0099</v>
      </c>
      <c r="HG188">
        <v>4.98875</v>
      </c>
      <c r="HH188">
        <v>3.28865</v>
      </c>
      <c r="HI188">
        <v>854.7</v>
      </c>
      <c r="HJ188">
        <v>8508.5</v>
      </c>
      <c r="HK188">
        <v>5139.4</v>
      </c>
      <c r="HL188">
        <v>22.9</v>
      </c>
      <c r="HM188">
        <v>1.86752</v>
      </c>
      <c r="HN188">
        <v>1.86646</v>
      </c>
      <c r="HO188">
        <v>1.866</v>
      </c>
      <c r="HP188">
        <v>1.86587</v>
      </c>
      <c r="HQ188">
        <v>1.86772</v>
      </c>
      <c r="HR188">
        <v>1.87027</v>
      </c>
      <c r="HS188">
        <v>1.8689</v>
      </c>
      <c r="HT188">
        <v>1.87027</v>
      </c>
      <c r="HU188">
        <v>0</v>
      </c>
      <c r="HV188">
        <v>0</v>
      </c>
      <c r="HW188">
        <v>0</v>
      </c>
      <c r="HX188">
        <v>0</v>
      </c>
      <c r="HY188" t="s">
        <v>421</v>
      </c>
      <c r="HZ188" t="s">
        <v>422</v>
      </c>
      <c r="IA188" t="s">
        <v>423</v>
      </c>
      <c r="IB188" t="s">
        <v>423</v>
      </c>
      <c r="IC188" t="s">
        <v>423</v>
      </c>
      <c r="ID188" t="s">
        <v>423</v>
      </c>
      <c r="IE188">
        <v>0</v>
      </c>
      <c r="IF188">
        <v>100</v>
      </c>
      <c r="IG188">
        <v>100</v>
      </c>
      <c r="IH188">
        <v>-2.4</v>
      </c>
      <c r="II188">
        <v>0.0033</v>
      </c>
      <c r="IJ188">
        <v>-0.4995723906072</v>
      </c>
      <c r="IK188">
        <v>-0.002077099775823331</v>
      </c>
      <c r="IL188">
        <v>4.593143279902166E-07</v>
      </c>
      <c r="IM188">
        <v>-1.865383991892071E-10</v>
      </c>
      <c r="IN188">
        <v>-0.07605349583632376</v>
      </c>
      <c r="IO188">
        <v>-0.01129461987421345</v>
      </c>
      <c r="IP188">
        <v>0.00116580895745559</v>
      </c>
      <c r="IQ188">
        <v>-1.679085872906199E-05</v>
      </c>
      <c r="IR188">
        <v>2</v>
      </c>
      <c r="IS188">
        <v>2290</v>
      </c>
      <c r="IT188">
        <v>0</v>
      </c>
      <c r="IU188">
        <v>32</v>
      </c>
      <c r="IV188">
        <v>10.1</v>
      </c>
      <c r="IW188">
        <v>9.800000000000001</v>
      </c>
      <c r="IX188">
        <v>2.2937</v>
      </c>
      <c r="IY188">
        <v>2.21069</v>
      </c>
      <c r="IZ188">
        <v>1.39648</v>
      </c>
      <c r="JA188">
        <v>2.3584</v>
      </c>
      <c r="JB188">
        <v>1.49536</v>
      </c>
      <c r="JC188">
        <v>2.29492</v>
      </c>
      <c r="JD188">
        <v>38.4524</v>
      </c>
      <c r="JE188">
        <v>24.035</v>
      </c>
      <c r="JF188">
        <v>18</v>
      </c>
      <c r="JG188">
        <v>514.634</v>
      </c>
      <c r="JH188">
        <v>424.088</v>
      </c>
      <c r="JI188">
        <v>22.5525</v>
      </c>
      <c r="JJ188">
        <v>29.0911</v>
      </c>
      <c r="JK188">
        <v>30.0001</v>
      </c>
      <c r="JL188">
        <v>29.0928</v>
      </c>
      <c r="JM188">
        <v>29.0341</v>
      </c>
      <c r="JN188">
        <v>45.9011</v>
      </c>
      <c r="JO188">
        <v>54.7613</v>
      </c>
      <c r="JP188">
        <v>0</v>
      </c>
      <c r="JQ188">
        <v>22.536</v>
      </c>
      <c r="JR188">
        <v>1142.9</v>
      </c>
      <c r="JS188">
        <v>9.164870000000001</v>
      </c>
      <c r="JT188">
        <v>100.303</v>
      </c>
      <c r="JU188">
        <v>100.209</v>
      </c>
    </row>
    <row r="189" spans="1:281">
      <c r="A189">
        <v>173</v>
      </c>
      <c r="B189">
        <v>1651857630.1</v>
      </c>
      <c r="C189">
        <v>629.5</v>
      </c>
      <c r="D189" t="s">
        <v>773</v>
      </c>
      <c r="E189" t="s">
        <v>774</v>
      </c>
      <c r="F189">
        <v>2</v>
      </c>
      <c r="G189" t="s">
        <v>413</v>
      </c>
      <c r="H189" t="s">
        <v>414</v>
      </c>
      <c r="I189">
        <v>1651857628.725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1127.57017402474</v>
      </c>
      <c r="AK189">
        <v>1081.658363636364</v>
      </c>
      <c r="AL189">
        <v>3.408248822829705</v>
      </c>
      <c r="AM189">
        <v>66.38384787954378</v>
      </c>
      <c r="AN189">
        <f>(AP189 - AO189 + DI189*1E3/(8.314*(DK189+273.15)) * AR189/DH189 * AQ189) * DH189/(100*CV189) * 1000/(1000 - AP189)</f>
        <v>0</v>
      </c>
      <c r="AO189">
        <v>9.034814226817684</v>
      </c>
      <c r="AP189">
        <v>18.19359588235295</v>
      </c>
      <c r="AQ189">
        <v>0.0008474860551318701</v>
      </c>
      <c r="AR189">
        <v>80.44866334591464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417</v>
      </c>
      <c r="AY189" t="s">
        <v>417</v>
      </c>
      <c r="AZ189">
        <v>0</v>
      </c>
      <c r="BA189">
        <v>0</v>
      </c>
      <c r="BB189">
        <f>1-AZ189/BA189</f>
        <v>0</v>
      </c>
      <c r="BC189">
        <v>0</v>
      </c>
      <c r="BD189" t="s">
        <v>417</v>
      </c>
      <c r="BE189" t="s">
        <v>417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1238</v>
      </c>
      <c r="CA189">
        <v>300</v>
      </c>
      <c r="CB189">
        <v>300</v>
      </c>
      <c r="CC189">
        <v>300</v>
      </c>
      <c r="CD189">
        <v>10440.5</v>
      </c>
      <c r="CE189">
        <v>1411.69</v>
      </c>
      <c r="CF189">
        <v>-0.00735121</v>
      </c>
      <c r="CG189">
        <v>-0.77</v>
      </c>
      <c r="CH189" t="s">
        <v>417</v>
      </c>
      <c r="CI189" t="s">
        <v>417</v>
      </c>
      <c r="CJ189" t="s">
        <v>417</v>
      </c>
      <c r="CK189" t="s">
        <v>417</v>
      </c>
      <c r="CL189" t="s">
        <v>417</v>
      </c>
      <c r="CM189" t="s">
        <v>417</v>
      </c>
      <c r="CN189" t="s">
        <v>417</v>
      </c>
      <c r="CO189" t="s">
        <v>417</v>
      </c>
      <c r="CP189" t="s">
        <v>417</v>
      </c>
      <c r="CQ189" t="s">
        <v>417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418</v>
      </c>
      <c r="CY189">
        <v>2</v>
      </c>
      <c r="CZ189" t="b">
        <v>1</v>
      </c>
      <c r="DA189">
        <v>1651857628.725</v>
      </c>
      <c r="DB189">
        <v>1059.0375</v>
      </c>
      <c r="DC189">
        <v>1122.2</v>
      </c>
      <c r="DD189">
        <v>18.1988</v>
      </c>
      <c r="DE189">
        <v>9.02591</v>
      </c>
      <c r="DF189">
        <v>1061.445</v>
      </c>
      <c r="DG189">
        <v>18.19555</v>
      </c>
      <c r="DH189">
        <v>500.07</v>
      </c>
      <c r="DI189">
        <v>90.08044999999998</v>
      </c>
      <c r="DJ189">
        <v>0.1000145</v>
      </c>
      <c r="DK189">
        <v>25.773075</v>
      </c>
      <c r="DL189">
        <v>25.015775</v>
      </c>
      <c r="DM189">
        <v>999.9</v>
      </c>
      <c r="DN189">
        <v>0</v>
      </c>
      <c r="DO189">
        <v>0</v>
      </c>
      <c r="DP189">
        <v>10018.425</v>
      </c>
      <c r="DQ189">
        <v>0</v>
      </c>
      <c r="DR189">
        <v>3.2091</v>
      </c>
      <c r="DS189">
        <v>-63.16185</v>
      </c>
      <c r="DT189">
        <v>1078.665</v>
      </c>
      <c r="DU189">
        <v>1132.42</v>
      </c>
      <c r="DV189">
        <v>9.1729</v>
      </c>
      <c r="DW189">
        <v>1122.2</v>
      </c>
      <c r="DX189">
        <v>9.02591</v>
      </c>
      <c r="DY189">
        <v>1.63936</v>
      </c>
      <c r="DZ189">
        <v>0.8130579999999999</v>
      </c>
      <c r="EA189">
        <v>14.3338</v>
      </c>
      <c r="EB189">
        <v>3.937345000000001</v>
      </c>
      <c r="EC189">
        <v>1500.01</v>
      </c>
      <c r="ED189">
        <v>0.973007</v>
      </c>
      <c r="EE189">
        <v>0.0269931</v>
      </c>
      <c r="EF189">
        <v>0</v>
      </c>
      <c r="EG189">
        <v>980.615</v>
      </c>
      <c r="EH189">
        <v>5.00097</v>
      </c>
      <c r="EI189">
        <v>14566.625</v>
      </c>
      <c r="EJ189">
        <v>12491.7</v>
      </c>
      <c r="EK189">
        <v>37.5</v>
      </c>
      <c r="EL189">
        <v>39</v>
      </c>
      <c r="EM189">
        <v>37.875</v>
      </c>
      <c r="EN189">
        <v>38.75</v>
      </c>
      <c r="EO189">
        <v>38.375</v>
      </c>
      <c r="EP189">
        <v>1454.65</v>
      </c>
      <c r="EQ189">
        <v>40.35</v>
      </c>
      <c r="ER189">
        <v>0</v>
      </c>
      <c r="ES189">
        <v>629.4000000953674</v>
      </c>
      <c r="ET189">
        <v>0</v>
      </c>
      <c r="EU189">
        <v>983.7476923076924</v>
      </c>
      <c r="EV189">
        <v>-34.15295720433663</v>
      </c>
      <c r="EW189">
        <v>-509.0700847753828</v>
      </c>
      <c r="EX189">
        <v>14614.46538461538</v>
      </c>
      <c r="EY189">
        <v>15</v>
      </c>
      <c r="EZ189">
        <v>1651857041.1</v>
      </c>
      <c r="FA189" t="s">
        <v>419</v>
      </c>
      <c r="FB189">
        <v>1651857019.6</v>
      </c>
      <c r="FC189">
        <v>1651857041.1</v>
      </c>
      <c r="FD189">
        <v>1</v>
      </c>
      <c r="FE189">
        <v>0.545</v>
      </c>
      <c r="FF189">
        <v>-0.002</v>
      </c>
      <c r="FG189">
        <v>-1.271</v>
      </c>
      <c r="FH189">
        <v>-0.09</v>
      </c>
      <c r="FI189">
        <v>400</v>
      </c>
      <c r="FJ189">
        <v>10</v>
      </c>
      <c r="FK189">
        <v>0.1</v>
      </c>
      <c r="FL189">
        <v>0.02</v>
      </c>
      <c r="FM189">
        <v>-62.7019225</v>
      </c>
      <c r="FN189">
        <v>-2.261908818011297</v>
      </c>
      <c r="FO189">
        <v>0.3639257248996693</v>
      </c>
      <c r="FP189">
        <v>-1</v>
      </c>
      <c r="FQ189">
        <v>9.269076500000001</v>
      </c>
      <c r="FR189">
        <v>-0.8514666416510176</v>
      </c>
      <c r="FS189">
        <v>0.08431084706459786</v>
      </c>
      <c r="FT189">
        <v>-1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0</v>
      </c>
      <c r="GA189" t="s">
        <v>432</v>
      </c>
      <c r="GB189">
        <v>2.98012</v>
      </c>
      <c r="GC189">
        <v>2.70632</v>
      </c>
      <c r="GD189">
        <v>0.178074</v>
      </c>
      <c r="GE189">
        <v>0.182546</v>
      </c>
      <c r="GF189">
        <v>0.0872177</v>
      </c>
      <c r="GG189">
        <v>0.0511785</v>
      </c>
      <c r="GH189">
        <v>25934</v>
      </c>
      <c r="GI189">
        <v>25848.6</v>
      </c>
      <c r="GJ189">
        <v>29342.6</v>
      </c>
      <c r="GK189">
        <v>29255.3</v>
      </c>
      <c r="GL189">
        <v>35469.3</v>
      </c>
      <c r="GM189">
        <v>36967.6</v>
      </c>
      <c r="GN189">
        <v>41303.6</v>
      </c>
      <c r="GO189">
        <v>41749.3</v>
      </c>
      <c r="GP189">
        <v>1.95518</v>
      </c>
      <c r="GQ189">
        <v>1.83665</v>
      </c>
      <c r="GR189">
        <v>-0.0342354</v>
      </c>
      <c r="GS189">
        <v>0</v>
      </c>
      <c r="GT189">
        <v>25.5789</v>
      </c>
      <c r="GU189">
        <v>999.9</v>
      </c>
      <c r="GV189">
        <v>38.5</v>
      </c>
      <c r="GW189">
        <v>34</v>
      </c>
      <c r="GX189">
        <v>22.8367</v>
      </c>
      <c r="GY189">
        <v>62.4876</v>
      </c>
      <c r="GZ189">
        <v>35.1522</v>
      </c>
      <c r="HA189">
        <v>1</v>
      </c>
      <c r="HB189">
        <v>0.136717</v>
      </c>
      <c r="HC189">
        <v>2.35286</v>
      </c>
      <c r="HD189">
        <v>20.3173</v>
      </c>
      <c r="HE189">
        <v>5.21759</v>
      </c>
      <c r="HF189">
        <v>12.0099</v>
      </c>
      <c r="HG189">
        <v>4.9889</v>
      </c>
      <c r="HH189">
        <v>3.28865</v>
      </c>
      <c r="HI189">
        <v>854.7</v>
      </c>
      <c r="HJ189">
        <v>8508.5</v>
      </c>
      <c r="HK189">
        <v>5139.4</v>
      </c>
      <c r="HL189">
        <v>22.9</v>
      </c>
      <c r="HM189">
        <v>1.86752</v>
      </c>
      <c r="HN189">
        <v>1.86646</v>
      </c>
      <c r="HO189">
        <v>1.866</v>
      </c>
      <c r="HP189">
        <v>1.86586</v>
      </c>
      <c r="HQ189">
        <v>1.86771</v>
      </c>
      <c r="HR189">
        <v>1.87027</v>
      </c>
      <c r="HS189">
        <v>1.8689</v>
      </c>
      <c r="HT189">
        <v>1.87027</v>
      </c>
      <c r="HU189">
        <v>0</v>
      </c>
      <c r="HV189">
        <v>0</v>
      </c>
      <c r="HW189">
        <v>0</v>
      </c>
      <c r="HX189">
        <v>0</v>
      </c>
      <c r="HY189" t="s">
        <v>421</v>
      </c>
      <c r="HZ189" t="s">
        <v>422</v>
      </c>
      <c r="IA189" t="s">
        <v>423</v>
      </c>
      <c r="IB189" t="s">
        <v>423</v>
      </c>
      <c r="IC189" t="s">
        <v>423</v>
      </c>
      <c r="ID189" t="s">
        <v>423</v>
      </c>
      <c r="IE189">
        <v>0</v>
      </c>
      <c r="IF189">
        <v>100</v>
      </c>
      <c r="IG189">
        <v>100</v>
      </c>
      <c r="IH189">
        <v>-2.42</v>
      </c>
      <c r="II189">
        <v>0.0032</v>
      </c>
      <c r="IJ189">
        <v>-0.4995723906072</v>
      </c>
      <c r="IK189">
        <v>-0.002077099775823331</v>
      </c>
      <c r="IL189">
        <v>4.593143279902166E-07</v>
      </c>
      <c r="IM189">
        <v>-1.865383991892071E-10</v>
      </c>
      <c r="IN189">
        <v>-0.07605349583632376</v>
      </c>
      <c r="IO189">
        <v>-0.01129461987421345</v>
      </c>
      <c r="IP189">
        <v>0.00116580895745559</v>
      </c>
      <c r="IQ189">
        <v>-1.679085872906199E-05</v>
      </c>
      <c r="IR189">
        <v>2</v>
      </c>
      <c r="IS189">
        <v>2290</v>
      </c>
      <c r="IT189">
        <v>0</v>
      </c>
      <c r="IU189">
        <v>32</v>
      </c>
      <c r="IV189">
        <v>10.2</v>
      </c>
      <c r="IW189">
        <v>9.800000000000001</v>
      </c>
      <c r="IX189">
        <v>2.30225</v>
      </c>
      <c r="IY189">
        <v>2.20581</v>
      </c>
      <c r="IZ189">
        <v>1.39648</v>
      </c>
      <c r="JA189">
        <v>2.35962</v>
      </c>
      <c r="JB189">
        <v>1.49536</v>
      </c>
      <c r="JC189">
        <v>2.36084</v>
      </c>
      <c r="JD189">
        <v>38.4769</v>
      </c>
      <c r="JE189">
        <v>24.0437</v>
      </c>
      <c r="JF189">
        <v>18</v>
      </c>
      <c r="JG189">
        <v>514.746</v>
      </c>
      <c r="JH189">
        <v>424.148</v>
      </c>
      <c r="JI189">
        <v>22.547</v>
      </c>
      <c r="JJ189">
        <v>29.0911</v>
      </c>
      <c r="JK189">
        <v>30</v>
      </c>
      <c r="JL189">
        <v>29.0925</v>
      </c>
      <c r="JM189">
        <v>29.0341</v>
      </c>
      <c r="JN189">
        <v>46.0828</v>
      </c>
      <c r="JO189">
        <v>54.4798</v>
      </c>
      <c r="JP189">
        <v>0</v>
      </c>
      <c r="JQ189">
        <v>22.536</v>
      </c>
      <c r="JR189">
        <v>1149.6</v>
      </c>
      <c r="JS189">
        <v>9.198410000000001</v>
      </c>
      <c r="JT189">
        <v>100.303</v>
      </c>
      <c r="JU189">
        <v>100.208</v>
      </c>
    </row>
    <row r="190" spans="1:281">
      <c r="A190">
        <v>174</v>
      </c>
      <c r="B190">
        <v>1651857632.1</v>
      </c>
      <c r="C190">
        <v>631.5</v>
      </c>
      <c r="D190" t="s">
        <v>775</v>
      </c>
      <c r="E190" t="s">
        <v>776</v>
      </c>
      <c r="F190">
        <v>2</v>
      </c>
      <c r="G190" t="s">
        <v>413</v>
      </c>
      <c r="H190" t="s">
        <v>414</v>
      </c>
      <c r="I190">
        <v>1651857631.1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1134.602053529645</v>
      </c>
      <c r="AK190">
        <v>1088.57303030303</v>
      </c>
      <c r="AL190">
        <v>3.443584338626605</v>
      </c>
      <c r="AM190">
        <v>66.38384787954378</v>
      </c>
      <c r="AN190">
        <f>(AP190 - AO190 + DI190*1E3/(8.314*(DK190+273.15)) * AR190/DH190 * AQ190) * DH190/(100*CV190) * 1000/(1000 - AP190)</f>
        <v>0</v>
      </c>
      <c r="AO190">
        <v>9.028695633131502</v>
      </c>
      <c r="AP190">
        <v>18.18620823529411</v>
      </c>
      <c r="AQ190">
        <v>-0.0003794292039632482</v>
      </c>
      <c r="AR190">
        <v>80.44866334591464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417</v>
      </c>
      <c r="AY190" t="s">
        <v>417</v>
      </c>
      <c r="AZ190">
        <v>0</v>
      </c>
      <c r="BA190">
        <v>0</v>
      </c>
      <c r="BB190">
        <f>1-AZ190/BA190</f>
        <v>0</v>
      </c>
      <c r="BC190">
        <v>0</v>
      </c>
      <c r="BD190" t="s">
        <v>417</v>
      </c>
      <c r="BE190" t="s">
        <v>417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1238</v>
      </c>
      <c r="CA190">
        <v>300</v>
      </c>
      <c r="CB190">
        <v>300</v>
      </c>
      <c r="CC190">
        <v>300</v>
      </c>
      <c r="CD190">
        <v>10440.5</v>
      </c>
      <c r="CE190">
        <v>1411.69</v>
      </c>
      <c r="CF190">
        <v>-0.00735121</v>
      </c>
      <c r="CG190">
        <v>-0.77</v>
      </c>
      <c r="CH190" t="s">
        <v>417</v>
      </c>
      <c r="CI190" t="s">
        <v>417</v>
      </c>
      <c r="CJ190" t="s">
        <v>417</v>
      </c>
      <c r="CK190" t="s">
        <v>417</v>
      </c>
      <c r="CL190" t="s">
        <v>417</v>
      </c>
      <c r="CM190" t="s">
        <v>417</v>
      </c>
      <c r="CN190" t="s">
        <v>417</v>
      </c>
      <c r="CO190" t="s">
        <v>417</v>
      </c>
      <c r="CP190" t="s">
        <v>417</v>
      </c>
      <c r="CQ190" t="s">
        <v>417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418</v>
      </c>
      <c r="CY190">
        <v>2</v>
      </c>
      <c r="CZ190" t="b">
        <v>1</v>
      </c>
      <c r="DA190">
        <v>1651857631.1</v>
      </c>
      <c r="DB190">
        <v>1067.073333333333</v>
      </c>
      <c r="DC190">
        <v>1130.886666666667</v>
      </c>
      <c r="DD190">
        <v>18.18923333333333</v>
      </c>
      <c r="DE190">
        <v>9.039969999999999</v>
      </c>
      <c r="DF190">
        <v>1069.496666666667</v>
      </c>
      <c r="DG190">
        <v>18.1861</v>
      </c>
      <c r="DH190">
        <v>500.058</v>
      </c>
      <c r="DI190">
        <v>90.08056666666666</v>
      </c>
      <c r="DJ190">
        <v>0.1000583333333333</v>
      </c>
      <c r="DK190">
        <v>25.77233333333334</v>
      </c>
      <c r="DL190">
        <v>25.01826666666667</v>
      </c>
      <c r="DM190">
        <v>999.9</v>
      </c>
      <c r="DN190">
        <v>0</v>
      </c>
      <c r="DO190">
        <v>0</v>
      </c>
      <c r="DP190">
        <v>10010</v>
      </c>
      <c r="DQ190">
        <v>0</v>
      </c>
      <c r="DR190">
        <v>3.21788</v>
      </c>
      <c r="DS190">
        <v>-63.81459999999999</v>
      </c>
      <c r="DT190">
        <v>1086.843333333333</v>
      </c>
      <c r="DU190">
        <v>1141.206666666667</v>
      </c>
      <c r="DV190">
        <v>9.149236666666667</v>
      </c>
      <c r="DW190">
        <v>1130.886666666667</v>
      </c>
      <c r="DX190">
        <v>9.039969999999999</v>
      </c>
      <c r="DY190">
        <v>1.638493333333333</v>
      </c>
      <c r="DZ190">
        <v>0.8143256666666666</v>
      </c>
      <c r="EA190">
        <v>14.3257</v>
      </c>
      <c r="EB190">
        <v>3.959496666666666</v>
      </c>
      <c r="EC190">
        <v>1500</v>
      </c>
      <c r="ED190">
        <v>0.973007</v>
      </c>
      <c r="EE190">
        <v>0.0269931</v>
      </c>
      <c r="EF190">
        <v>0</v>
      </c>
      <c r="EG190">
        <v>979.2226666666667</v>
      </c>
      <c r="EH190">
        <v>5.00097</v>
      </c>
      <c r="EI190">
        <v>14546.93333333333</v>
      </c>
      <c r="EJ190">
        <v>12491.63333333333</v>
      </c>
      <c r="EK190">
        <v>37.5</v>
      </c>
      <c r="EL190">
        <v>39</v>
      </c>
      <c r="EM190">
        <v>37.875</v>
      </c>
      <c r="EN190">
        <v>38.75</v>
      </c>
      <c r="EO190">
        <v>38.375</v>
      </c>
      <c r="EP190">
        <v>1454.64</v>
      </c>
      <c r="EQ190">
        <v>40.35</v>
      </c>
      <c r="ER190">
        <v>0</v>
      </c>
      <c r="ES190">
        <v>631.2000000476837</v>
      </c>
      <c r="ET190">
        <v>0</v>
      </c>
      <c r="EU190">
        <v>982.5030800000001</v>
      </c>
      <c r="EV190">
        <v>-33.84146156971104</v>
      </c>
      <c r="EW190">
        <v>-502.630769994385</v>
      </c>
      <c r="EX190">
        <v>14596.72</v>
      </c>
      <c r="EY190">
        <v>15</v>
      </c>
      <c r="EZ190">
        <v>1651857041.1</v>
      </c>
      <c r="FA190" t="s">
        <v>419</v>
      </c>
      <c r="FB190">
        <v>1651857019.6</v>
      </c>
      <c r="FC190">
        <v>1651857041.1</v>
      </c>
      <c r="FD190">
        <v>1</v>
      </c>
      <c r="FE190">
        <v>0.545</v>
      </c>
      <c r="FF190">
        <v>-0.002</v>
      </c>
      <c r="FG190">
        <v>-1.271</v>
      </c>
      <c r="FH190">
        <v>-0.09</v>
      </c>
      <c r="FI190">
        <v>400</v>
      </c>
      <c r="FJ190">
        <v>10</v>
      </c>
      <c r="FK190">
        <v>0.1</v>
      </c>
      <c r="FL190">
        <v>0.02</v>
      </c>
      <c r="FM190">
        <v>-62.79649268292683</v>
      </c>
      <c r="FN190">
        <v>-4.469498257839779</v>
      </c>
      <c r="FO190">
        <v>0.482426807991027</v>
      </c>
      <c r="FP190">
        <v>-1</v>
      </c>
      <c r="FQ190">
        <v>9.243956097560975</v>
      </c>
      <c r="FR190">
        <v>-0.785596306620183</v>
      </c>
      <c r="FS190">
        <v>0.08095925512039381</v>
      </c>
      <c r="FT190">
        <v>-1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 t="s">
        <v>432</v>
      </c>
      <c r="GB190">
        <v>2.98001</v>
      </c>
      <c r="GC190">
        <v>2.70629</v>
      </c>
      <c r="GD190">
        <v>0.178797</v>
      </c>
      <c r="GE190">
        <v>0.183266</v>
      </c>
      <c r="GF190">
        <v>0.0871866</v>
      </c>
      <c r="GG190">
        <v>0.0513924</v>
      </c>
      <c r="GH190">
        <v>25910.8</v>
      </c>
      <c r="GI190">
        <v>25826.3</v>
      </c>
      <c r="GJ190">
        <v>29342.2</v>
      </c>
      <c r="GK190">
        <v>29255.8</v>
      </c>
      <c r="GL190">
        <v>35470</v>
      </c>
      <c r="GM190">
        <v>36959.2</v>
      </c>
      <c r="GN190">
        <v>41303</v>
      </c>
      <c r="GO190">
        <v>41749.3</v>
      </c>
      <c r="GP190">
        <v>1.95513</v>
      </c>
      <c r="GQ190">
        <v>1.8368</v>
      </c>
      <c r="GR190">
        <v>-0.0340305</v>
      </c>
      <c r="GS190">
        <v>0</v>
      </c>
      <c r="GT190">
        <v>25.5785</v>
      </c>
      <c r="GU190">
        <v>999.9</v>
      </c>
      <c r="GV190">
        <v>38.5</v>
      </c>
      <c r="GW190">
        <v>34</v>
      </c>
      <c r="GX190">
        <v>22.8367</v>
      </c>
      <c r="GY190">
        <v>62.2576</v>
      </c>
      <c r="GZ190">
        <v>35.5288</v>
      </c>
      <c r="HA190">
        <v>1</v>
      </c>
      <c r="HB190">
        <v>0.136745</v>
      </c>
      <c r="HC190">
        <v>2.36809</v>
      </c>
      <c r="HD190">
        <v>20.3171</v>
      </c>
      <c r="HE190">
        <v>5.21789</v>
      </c>
      <c r="HF190">
        <v>12.0099</v>
      </c>
      <c r="HG190">
        <v>4.98895</v>
      </c>
      <c r="HH190">
        <v>3.28865</v>
      </c>
      <c r="HI190">
        <v>854.7</v>
      </c>
      <c r="HJ190">
        <v>8508.5</v>
      </c>
      <c r="HK190">
        <v>5139.4</v>
      </c>
      <c r="HL190">
        <v>22.9</v>
      </c>
      <c r="HM190">
        <v>1.86752</v>
      </c>
      <c r="HN190">
        <v>1.86647</v>
      </c>
      <c r="HO190">
        <v>1.866</v>
      </c>
      <c r="HP190">
        <v>1.86586</v>
      </c>
      <c r="HQ190">
        <v>1.86771</v>
      </c>
      <c r="HR190">
        <v>1.87026</v>
      </c>
      <c r="HS190">
        <v>1.8689</v>
      </c>
      <c r="HT190">
        <v>1.87027</v>
      </c>
      <c r="HU190">
        <v>0</v>
      </c>
      <c r="HV190">
        <v>0</v>
      </c>
      <c r="HW190">
        <v>0</v>
      </c>
      <c r="HX190">
        <v>0</v>
      </c>
      <c r="HY190" t="s">
        <v>421</v>
      </c>
      <c r="HZ190" t="s">
        <v>422</v>
      </c>
      <c r="IA190" t="s">
        <v>423</v>
      </c>
      <c r="IB190" t="s">
        <v>423</v>
      </c>
      <c r="IC190" t="s">
        <v>423</v>
      </c>
      <c r="ID190" t="s">
        <v>423</v>
      </c>
      <c r="IE190">
        <v>0</v>
      </c>
      <c r="IF190">
        <v>100</v>
      </c>
      <c r="IG190">
        <v>100</v>
      </c>
      <c r="IH190">
        <v>-2.43</v>
      </c>
      <c r="II190">
        <v>0.0031</v>
      </c>
      <c r="IJ190">
        <v>-0.4995723906072</v>
      </c>
      <c r="IK190">
        <v>-0.002077099775823331</v>
      </c>
      <c r="IL190">
        <v>4.593143279902166E-07</v>
      </c>
      <c r="IM190">
        <v>-1.865383991892071E-10</v>
      </c>
      <c r="IN190">
        <v>-0.07605349583632376</v>
      </c>
      <c r="IO190">
        <v>-0.01129461987421345</v>
      </c>
      <c r="IP190">
        <v>0.00116580895745559</v>
      </c>
      <c r="IQ190">
        <v>-1.679085872906199E-05</v>
      </c>
      <c r="IR190">
        <v>2</v>
      </c>
      <c r="IS190">
        <v>2290</v>
      </c>
      <c r="IT190">
        <v>0</v>
      </c>
      <c r="IU190">
        <v>32</v>
      </c>
      <c r="IV190">
        <v>10.2</v>
      </c>
      <c r="IW190">
        <v>9.800000000000001</v>
      </c>
      <c r="IX190">
        <v>2.31445</v>
      </c>
      <c r="IY190">
        <v>2.20947</v>
      </c>
      <c r="IZ190">
        <v>1.39648</v>
      </c>
      <c r="JA190">
        <v>2.35962</v>
      </c>
      <c r="JB190">
        <v>1.49536</v>
      </c>
      <c r="JC190">
        <v>2.30225</v>
      </c>
      <c r="JD190">
        <v>38.4769</v>
      </c>
      <c r="JE190">
        <v>24.0437</v>
      </c>
      <c r="JF190">
        <v>18</v>
      </c>
      <c r="JG190">
        <v>514.713</v>
      </c>
      <c r="JH190">
        <v>424.237</v>
      </c>
      <c r="JI190">
        <v>22.5398</v>
      </c>
      <c r="JJ190">
        <v>29.0902</v>
      </c>
      <c r="JK190">
        <v>30</v>
      </c>
      <c r="JL190">
        <v>29.0925</v>
      </c>
      <c r="JM190">
        <v>29.0341</v>
      </c>
      <c r="JN190">
        <v>46.3205</v>
      </c>
      <c r="JO190">
        <v>54.4798</v>
      </c>
      <c r="JP190">
        <v>0</v>
      </c>
      <c r="JQ190">
        <v>22.536</v>
      </c>
      <c r="JR190">
        <v>1156.29</v>
      </c>
      <c r="JS190">
        <v>9.233499999999999</v>
      </c>
      <c r="JT190">
        <v>100.301</v>
      </c>
      <c r="JU190">
        <v>100.209</v>
      </c>
    </row>
    <row r="191" spans="1:281">
      <c r="A191">
        <v>175</v>
      </c>
      <c r="B191">
        <v>1651857634.1</v>
      </c>
      <c r="C191">
        <v>633.5</v>
      </c>
      <c r="D191" t="s">
        <v>777</v>
      </c>
      <c r="E191" t="s">
        <v>778</v>
      </c>
      <c r="F191">
        <v>2</v>
      </c>
      <c r="G191" t="s">
        <v>413</v>
      </c>
      <c r="H191" t="s">
        <v>414</v>
      </c>
      <c r="I191">
        <v>1651857632.725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1142.020938397218</v>
      </c>
      <c r="AK191">
        <v>1095.395090909091</v>
      </c>
      <c r="AL191">
        <v>3.427382035045354</v>
      </c>
      <c r="AM191">
        <v>66.38384787954378</v>
      </c>
      <c r="AN191">
        <f>(AP191 - AO191 + DI191*1E3/(8.314*(DK191+273.15)) * AR191/DH191 * AQ191) * DH191/(100*CV191) * 1000/(1000 - AP191)</f>
        <v>0</v>
      </c>
      <c r="AO191">
        <v>9.022779935725433</v>
      </c>
      <c r="AP191">
        <v>18.17806205882353</v>
      </c>
      <c r="AQ191">
        <v>-0.0006306037229774744</v>
      </c>
      <c r="AR191">
        <v>80.44866334591464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417</v>
      </c>
      <c r="AY191" t="s">
        <v>417</v>
      </c>
      <c r="AZ191">
        <v>0</v>
      </c>
      <c r="BA191">
        <v>0</v>
      </c>
      <c r="BB191">
        <f>1-AZ191/BA191</f>
        <v>0</v>
      </c>
      <c r="BC191">
        <v>0</v>
      </c>
      <c r="BD191" t="s">
        <v>417</v>
      </c>
      <c r="BE191" t="s">
        <v>417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1238</v>
      </c>
      <c r="CA191">
        <v>300</v>
      </c>
      <c r="CB191">
        <v>300</v>
      </c>
      <c r="CC191">
        <v>300</v>
      </c>
      <c r="CD191">
        <v>10440.5</v>
      </c>
      <c r="CE191">
        <v>1411.69</v>
      </c>
      <c r="CF191">
        <v>-0.00735121</v>
      </c>
      <c r="CG191">
        <v>-0.77</v>
      </c>
      <c r="CH191" t="s">
        <v>417</v>
      </c>
      <c r="CI191" t="s">
        <v>417</v>
      </c>
      <c r="CJ191" t="s">
        <v>417</v>
      </c>
      <c r="CK191" t="s">
        <v>417</v>
      </c>
      <c r="CL191" t="s">
        <v>417</v>
      </c>
      <c r="CM191" t="s">
        <v>417</v>
      </c>
      <c r="CN191" t="s">
        <v>417</v>
      </c>
      <c r="CO191" t="s">
        <v>417</v>
      </c>
      <c r="CP191" t="s">
        <v>417</v>
      </c>
      <c r="CQ191" t="s">
        <v>417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418</v>
      </c>
      <c r="CY191">
        <v>2</v>
      </c>
      <c r="CZ191" t="b">
        <v>1</v>
      </c>
      <c r="DA191">
        <v>1651857632.725</v>
      </c>
      <c r="DB191">
        <v>1072.5525</v>
      </c>
      <c r="DC191">
        <v>1135.9875</v>
      </c>
      <c r="DD191">
        <v>18.18175</v>
      </c>
      <c r="DE191">
        <v>9.099170000000001</v>
      </c>
      <c r="DF191">
        <v>1074.9875</v>
      </c>
      <c r="DG191">
        <v>18.178725</v>
      </c>
      <c r="DH191">
        <v>500.0482500000001</v>
      </c>
      <c r="DI191">
        <v>90.08149999999999</v>
      </c>
      <c r="DJ191">
        <v>0.100067225</v>
      </c>
      <c r="DK191">
        <v>25.7713</v>
      </c>
      <c r="DL191">
        <v>25.02145</v>
      </c>
      <c r="DM191">
        <v>999.9</v>
      </c>
      <c r="DN191">
        <v>0</v>
      </c>
      <c r="DO191">
        <v>0</v>
      </c>
      <c r="DP191">
        <v>10004.05</v>
      </c>
      <c r="DQ191">
        <v>0</v>
      </c>
      <c r="DR191">
        <v>3.2126125</v>
      </c>
      <c r="DS191">
        <v>-63.434375</v>
      </c>
      <c r="DT191">
        <v>1092.4125</v>
      </c>
      <c r="DU191">
        <v>1146.42</v>
      </c>
      <c r="DV191">
        <v>9.082565000000001</v>
      </c>
      <c r="DW191">
        <v>1135.9875</v>
      </c>
      <c r="DX191">
        <v>9.099170000000001</v>
      </c>
      <c r="DY191">
        <v>1.6378375</v>
      </c>
      <c r="DZ191">
        <v>0.8196667500000001</v>
      </c>
      <c r="EA191">
        <v>14.3195</v>
      </c>
      <c r="EB191">
        <v>4.05247</v>
      </c>
      <c r="EC191">
        <v>1500.0025</v>
      </c>
      <c r="ED191">
        <v>0.973007</v>
      </c>
      <c r="EE191">
        <v>0.0269931</v>
      </c>
      <c r="EF191">
        <v>0</v>
      </c>
      <c r="EG191">
        <v>978.15675</v>
      </c>
      <c r="EH191">
        <v>5.00097</v>
      </c>
      <c r="EI191">
        <v>14534.825</v>
      </c>
      <c r="EJ191">
        <v>12491.625</v>
      </c>
      <c r="EK191">
        <v>37.5</v>
      </c>
      <c r="EL191">
        <v>39</v>
      </c>
      <c r="EM191">
        <v>37.875</v>
      </c>
      <c r="EN191">
        <v>38.75</v>
      </c>
      <c r="EO191">
        <v>38.375</v>
      </c>
      <c r="EP191">
        <v>1454.6425</v>
      </c>
      <c r="EQ191">
        <v>40.35</v>
      </c>
      <c r="ER191">
        <v>0</v>
      </c>
      <c r="ES191">
        <v>633</v>
      </c>
      <c r="ET191">
        <v>0</v>
      </c>
      <c r="EU191">
        <v>981.6240384615384</v>
      </c>
      <c r="EV191">
        <v>-33.44140169468484</v>
      </c>
      <c r="EW191">
        <v>-497.8564102639961</v>
      </c>
      <c r="EX191">
        <v>14584.20384615385</v>
      </c>
      <c r="EY191">
        <v>15</v>
      </c>
      <c r="EZ191">
        <v>1651857041.1</v>
      </c>
      <c r="FA191" t="s">
        <v>419</v>
      </c>
      <c r="FB191">
        <v>1651857019.6</v>
      </c>
      <c r="FC191">
        <v>1651857041.1</v>
      </c>
      <c r="FD191">
        <v>1</v>
      </c>
      <c r="FE191">
        <v>0.545</v>
      </c>
      <c r="FF191">
        <v>-0.002</v>
      </c>
      <c r="FG191">
        <v>-1.271</v>
      </c>
      <c r="FH191">
        <v>-0.09</v>
      </c>
      <c r="FI191">
        <v>400</v>
      </c>
      <c r="FJ191">
        <v>10</v>
      </c>
      <c r="FK191">
        <v>0.1</v>
      </c>
      <c r="FL191">
        <v>0.02</v>
      </c>
      <c r="FM191">
        <v>-62.8859025</v>
      </c>
      <c r="FN191">
        <v>-5.037254409005508</v>
      </c>
      <c r="FO191">
        <v>0.5093247542028068</v>
      </c>
      <c r="FP191">
        <v>-1</v>
      </c>
      <c r="FQ191">
        <v>9.21831175</v>
      </c>
      <c r="FR191">
        <v>-0.7780607504690527</v>
      </c>
      <c r="FS191">
        <v>0.07855726360074859</v>
      </c>
      <c r="FT191">
        <v>-1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0</v>
      </c>
      <c r="GA191" t="s">
        <v>432</v>
      </c>
      <c r="GB191">
        <v>2.98001</v>
      </c>
      <c r="GC191">
        <v>2.70622</v>
      </c>
      <c r="GD191">
        <v>0.179515</v>
      </c>
      <c r="GE191">
        <v>0.183868</v>
      </c>
      <c r="GF191">
        <v>0.0871738</v>
      </c>
      <c r="GG191">
        <v>0.0516935</v>
      </c>
      <c r="GH191">
        <v>25887.9</v>
      </c>
      <c r="GI191">
        <v>25806.3</v>
      </c>
      <c r="GJ191">
        <v>29341.9</v>
      </c>
      <c r="GK191">
        <v>29254.9</v>
      </c>
      <c r="GL191">
        <v>35470</v>
      </c>
      <c r="GM191">
        <v>36949.2</v>
      </c>
      <c r="GN191">
        <v>41302.5</v>
      </c>
      <c r="GO191">
        <v>41751.2</v>
      </c>
      <c r="GP191">
        <v>1.95508</v>
      </c>
      <c r="GQ191">
        <v>1.83675</v>
      </c>
      <c r="GR191">
        <v>-0.0339374</v>
      </c>
      <c r="GS191">
        <v>0</v>
      </c>
      <c r="GT191">
        <v>25.5794</v>
      </c>
      <c r="GU191">
        <v>999.9</v>
      </c>
      <c r="GV191">
        <v>38.5</v>
      </c>
      <c r="GW191">
        <v>34</v>
      </c>
      <c r="GX191">
        <v>22.8339</v>
      </c>
      <c r="GY191">
        <v>62.5976</v>
      </c>
      <c r="GZ191">
        <v>35.3766</v>
      </c>
      <c r="HA191">
        <v>1</v>
      </c>
      <c r="HB191">
        <v>0.136784</v>
      </c>
      <c r="HC191">
        <v>2.36242</v>
      </c>
      <c r="HD191">
        <v>20.3173</v>
      </c>
      <c r="HE191">
        <v>5.21759</v>
      </c>
      <c r="HF191">
        <v>12.0099</v>
      </c>
      <c r="HG191">
        <v>4.9887</v>
      </c>
      <c r="HH191">
        <v>3.28865</v>
      </c>
      <c r="HI191">
        <v>854.7</v>
      </c>
      <c r="HJ191">
        <v>8508.5</v>
      </c>
      <c r="HK191">
        <v>5139.4</v>
      </c>
      <c r="HL191">
        <v>22.9</v>
      </c>
      <c r="HM191">
        <v>1.86752</v>
      </c>
      <c r="HN191">
        <v>1.86646</v>
      </c>
      <c r="HO191">
        <v>1.866</v>
      </c>
      <c r="HP191">
        <v>1.86585</v>
      </c>
      <c r="HQ191">
        <v>1.86769</v>
      </c>
      <c r="HR191">
        <v>1.87026</v>
      </c>
      <c r="HS191">
        <v>1.8689</v>
      </c>
      <c r="HT191">
        <v>1.87027</v>
      </c>
      <c r="HU191">
        <v>0</v>
      </c>
      <c r="HV191">
        <v>0</v>
      </c>
      <c r="HW191">
        <v>0</v>
      </c>
      <c r="HX191">
        <v>0</v>
      </c>
      <c r="HY191" t="s">
        <v>421</v>
      </c>
      <c r="HZ191" t="s">
        <v>422</v>
      </c>
      <c r="IA191" t="s">
        <v>423</v>
      </c>
      <c r="IB191" t="s">
        <v>423</v>
      </c>
      <c r="IC191" t="s">
        <v>423</v>
      </c>
      <c r="ID191" t="s">
        <v>423</v>
      </c>
      <c r="IE191">
        <v>0</v>
      </c>
      <c r="IF191">
        <v>100</v>
      </c>
      <c r="IG191">
        <v>100</v>
      </c>
      <c r="IH191">
        <v>-2.44</v>
      </c>
      <c r="II191">
        <v>0.003</v>
      </c>
      <c r="IJ191">
        <v>-0.4995723906072</v>
      </c>
      <c r="IK191">
        <v>-0.002077099775823331</v>
      </c>
      <c r="IL191">
        <v>4.593143279902166E-07</v>
      </c>
      <c r="IM191">
        <v>-1.865383991892071E-10</v>
      </c>
      <c r="IN191">
        <v>-0.07605349583632376</v>
      </c>
      <c r="IO191">
        <v>-0.01129461987421345</v>
      </c>
      <c r="IP191">
        <v>0.00116580895745559</v>
      </c>
      <c r="IQ191">
        <v>-1.679085872906199E-05</v>
      </c>
      <c r="IR191">
        <v>2</v>
      </c>
      <c r="IS191">
        <v>2290</v>
      </c>
      <c r="IT191">
        <v>0</v>
      </c>
      <c r="IU191">
        <v>32</v>
      </c>
      <c r="IV191">
        <v>10.2</v>
      </c>
      <c r="IW191">
        <v>9.9</v>
      </c>
      <c r="IX191">
        <v>2.32666</v>
      </c>
      <c r="IY191">
        <v>2.20703</v>
      </c>
      <c r="IZ191">
        <v>1.39648</v>
      </c>
      <c r="JA191">
        <v>2.35962</v>
      </c>
      <c r="JB191">
        <v>1.49536</v>
      </c>
      <c r="JC191">
        <v>2.32666</v>
      </c>
      <c r="JD191">
        <v>38.4769</v>
      </c>
      <c r="JE191">
        <v>24.035</v>
      </c>
      <c r="JF191">
        <v>18</v>
      </c>
      <c r="JG191">
        <v>514.6799999999999</v>
      </c>
      <c r="JH191">
        <v>424.207</v>
      </c>
      <c r="JI191">
        <v>22.5342</v>
      </c>
      <c r="JJ191">
        <v>29.0889</v>
      </c>
      <c r="JK191">
        <v>30.0001</v>
      </c>
      <c r="JL191">
        <v>29.0925</v>
      </c>
      <c r="JM191">
        <v>29.0341</v>
      </c>
      <c r="JN191">
        <v>46.5484</v>
      </c>
      <c r="JO191">
        <v>54.4798</v>
      </c>
      <c r="JP191">
        <v>0</v>
      </c>
      <c r="JQ191">
        <v>22.5174</v>
      </c>
      <c r="JR191">
        <v>1162.99</v>
      </c>
      <c r="JS191">
        <v>9.250730000000001</v>
      </c>
      <c r="JT191">
        <v>100.3</v>
      </c>
      <c r="JU191">
        <v>100.21</v>
      </c>
    </row>
    <row r="192" spans="1:281">
      <c r="A192">
        <v>176</v>
      </c>
      <c r="B192">
        <v>1651857636.1</v>
      </c>
      <c r="C192">
        <v>635.5</v>
      </c>
      <c r="D192" t="s">
        <v>779</v>
      </c>
      <c r="E192" t="s">
        <v>780</v>
      </c>
      <c r="F192">
        <v>2</v>
      </c>
      <c r="G192" t="s">
        <v>413</v>
      </c>
      <c r="H192" t="s">
        <v>414</v>
      </c>
      <c r="I192">
        <v>1651857635.1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1148.212381159669</v>
      </c>
      <c r="AK192">
        <v>1102.152363636364</v>
      </c>
      <c r="AL192">
        <v>3.388899666633415</v>
      </c>
      <c r="AM192">
        <v>66.38384787954378</v>
      </c>
      <c r="AN192">
        <f>(AP192 - AO192 + DI192*1E3/(8.314*(DK192+273.15)) * AR192/DH192 * AQ192) * DH192/(100*CV192) * 1000/(1000 - AP192)</f>
        <v>0</v>
      </c>
      <c r="AO192">
        <v>9.060935990811148</v>
      </c>
      <c r="AP192">
        <v>18.1766244117647</v>
      </c>
      <c r="AQ192">
        <v>-0.00557280035036786</v>
      </c>
      <c r="AR192">
        <v>80.44866334591464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417</v>
      </c>
      <c r="AY192" t="s">
        <v>417</v>
      </c>
      <c r="AZ192">
        <v>0</v>
      </c>
      <c r="BA192">
        <v>0</v>
      </c>
      <c r="BB192">
        <f>1-AZ192/BA192</f>
        <v>0</v>
      </c>
      <c r="BC192">
        <v>0</v>
      </c>
      <c r="BD192" t="s">
        <v>417</v>
      </c>
      <c r="BE192" t="s">
        <v>417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1238</v>
      </c>
      <c r="CA192">
        <v>300</v>
      </c>
      <c r="CB192">
        <v>300</v>
      </c>
      <c r="CC192">
        <v>300</v>
      </c>
      <c r="CD192">
        <v>10440.5</v>
      </c>
      <c r="CE192">
        <v>1411.69</v>
      </c>
      <c r="CF192">
        <v>-0.00735121</v>
      </c>
      <c r="CG192">
        <v>-0.77</v>
      </c>
      <c r="CH192" t="s">
        <v>417</v>
      </c>
      <c r="CI192" t="s">
        <v>417</v>
      </c>
      <c r="CJ192" t="s">
        <v>417</v>
      </c>
      <c r="CK192" t="s">
        <v>417</v>
      </c>
      <c r="CL192" t="s">
        <v>417</v>
      </c>
      <c r="CM192" t="s">
        <v>417</v>
      </c>
      <c r="CN192" t="s">
        <v>417</v>
      </c>
      <c r="CO192" t="s">
        <v>417</v>
      </c>
      <c r="CP192" t="s">
        <v>417</v>
      </c>
      <c r="CQ192" t="s">
        <v>417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418</v>
      </c>
      <c r="CY192">
        <v>2</v>
      </c>
      <c r="CZ192" t="b">
        <v>1</v>
      </c>
      <c r="DA192">
        <v>1651857635.1</v>
      </c>
      <c r="DB192">
        <v>1080.463333333333</v>
      </c>
      <c r="DC192">
        <v>1143.256666666667</v>
      </c>
      <c r="DD192">
        <v>18.17743333333333</v>
      </c>
      <c r="DE192">
        <v>9.165383333333333</v>
      </c>
      <c r="DF192">
        <v>1082.906666666667</v>
      </c>
      <c r="DG192">
        <v>18.17446666666666</v>
      </c>
      <c r="DH192">
        <v>500.0546666666667</v>
      </c>
      <c r="DI192">
        <v>90.0847</v>
      </c>
      <c r="DJ192">
        <v>0.1000413333333333</v>
      </c>
      <c r="DK192">
        <v>25.77153333333333</v>
      </c>
      <c r="DL192">
        <v>25.02266666666667</v>
      </c>
      <c r="DM192">
        <v>999.9</v>
      </c>
      <c r="DN192">
        <v>0</v>
      </c>
      <c r="DO192">
        <v>0</v>
      </c>
      <c r="DP192">
        <v>9977.290000000001</v>
      </c>
      <c r="DQ192">
        <v>0</v>
      </c>
      <c r="DR192">
        <v>3.20383</v>
      </c>
      <c r="DS192">
        <v>-62.79603333333333</v>
      </c>
      <c r="DT192">
        <v>1100.463333333333</v>
      </c>
      <c r="DU192">
        <v>1153.833333333333</v>
      </c>
      <c r="DV192">
        <v>9.012046666666665</v>
      </c>
      <c r="DW192">
        <v>1143.256666666667</v>
      </c>
      <c r="DX192">
        <v>9.165383333333333</v>
      </c>
      <c r="DY192">
        <v>1.63751</v>
      </c>
      <c r="DZ192">
        <v>0.8256613333333332</v>
      </c>
      <c r="EA192">
        <v>14.31636666666667</v>
      </c>
      <c r="EB192">
        <v>4.156300000000001</v>
      </c>
      <c r="EC192">
        <v>1499.993333333333</v>
      </c>
      <c r="ED192">
        <v>0.973007</v>
      </c>
      <c r="EE192">
        <v>0.0269931</v>
      </c>
      <c r="EF192">
        <v>0</v>
      </c>
      <c r="EG192">
        <v>976.8353333333333</v>
      </c>
      <c r="EH192">
        <v>5.00097</v>
      </c>
      <c r="EI192">
        <v>14512.8</v>
      </c>
      <c r="EJ192">
        <v>12491.56666666667</v>
      </c>
      <c r="EK192">
        <v>37.5</v>
      </c>
      <c r="EL192">
        <v>39</v>
      </c>
      <c r="EM192">
        <v>37.875</v>
      </c>
      <c r="EN192">
        <v>38.75</v>
      </c>
      <c r="EO192">
        <v>38.375</v>
      </c>
      <c r="EP192">
        <v>1454.633333333333</v>
      </c>
      <c r="EQ192">
        <v>40.35</v>
      </c>
      <c r="ER192">
        <v>0</v>
      </c>
      <c r="ES192">
        <v>635.4000000953674</v>
      </c>
      <c r="ET192">
        <v>0</v>
      </c>
      <c r="EU192">
        <v>980.3067307692309</v>
      </c>
      <c r="EV192">
        <v>-33.31394866289754</v>
      </c>
      <c r="EW192">
        <v>-490.635896770637</v>
      </c>
      <c r="EX192">
        <v>14564.22692307692</v>
      </c>
      <c r="EY192">
        <v>15</v>
      </c>
      <c r="EZ192">
        <v>1651857041.1</v>
      </c>
      <c r="FA192" t="s">
        <v>419</v>
      </c>
      <c r="FB192">
        <v>1651857019.6</v>
      </c>
      <c r="FC192">
        <v>1651857041.1</v>
      </c>
      <c r="FD192">
        <v>1</v>
      </c>
      <c r="FE192">
        <v>0.545</v>
      </c>
      <c r="FF192">
        <v>-0.002</v>
      </c>
      <c r="FG192">
        <v>-1.271</v>
      </c>
      <c r="FH192">
        <v>-0.09</v>
      </c>
      <c r="FI192">
        <v>400</v>
      </c>
      <c r="FJ192">
        <v>10</v>
      </c>
      <c r="FK192">
        <v>0.1</v>
      </c>
      <c r="FL192">
        <v>0.02</v>
      </c>
      <c r="FM192">
        <v>-62.95042195121952</v>
      </c>
      <c r="FN192">
        <v>-3.28722439024396</v>
      </c>
      <c r="FO192">
        <v>0.4497565772575607</v>
      </c>
      <c r="FP192">
        <v>-1</v>
      </c>
      <c r="FQ192">
        <v>9.180923902439023</v>
      </c>
      <c r="FR192">
        <v>-0.8224032752613413</v>
      </c>
      <c r="FS192">
        <v>0.08527132963629505</v>
      </c>
      <c r="FT192">
        <v>-1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0</v>
      </c>
      <c r="GA192" t="s">
        <v>432</v>
      </c>
      <c r="GB192">
        <v>2.97983</v>
      </c>
      <c r="GC192">
        <v>2.70579</v>
      </c>
      <c r="GD192">
        <v>0.180222</v>
      </c>
      <c r="GE192">
        <v>0.184568</v>
      </c>
      <c r="GF192">
        <v>0.0871666</v>
      </c>
      <c r="GG192">
        <v>0.0518155</v>
      </c>
      <c r="GH192">
        <v>25865.8</v>
      </c>
      <c r="GI192">
        <v>25784.6</v>
      </c>
      <c r="GJ192">
        <v>29342.1</v>
      </c>
      <c r="GK192">
        <v>29255.3</v>
      </c>
      <c r="GL192">
        <v>35470.8</v>
      </c>
      <c r="GM192">
        <v>36945.7</v>
      </c>
      <c r="GN192">
        <v>41303.1</v>
      </c>
      <c r="GO192">
        <v>41752.6</v>
      </c>
      <c r="GP192">
        <v>1.95497</v>
      </c>
      <c r="GQ192">
        <v>1.83678</v>
      </c>
      <c r="GR192">
        <v>-0.0340864</v>
      </c>
      <c r="GS192">
        <v>0</v>
      </c>
      <c r="GT192">
        <v>25.58</v>
      </c>
      <c r="GU192">
        <v>999.9</v>
      </c>
      <c r="GV192">
        <v>38.5</v>
      </c>
      <c r="GW192">
        <v>34</v>
      </c>
      <c r="GX192">
        <v>22.8333</v>
      </c>
      <c r="GY192">
        <v>62.5176</v>
      </c>
      <c r="GZ192">
        <v>35.4327</v>
      </c>
      <c r="HA192">
        <v>1</v>
      </c>
      <c r="HB192">
        <v>0.136753</v>
      </c>
      <c r="HC192">
        <v>2.38428</v>
      </c>
      <c r="HD192">
        <v>20.317</v>
      </c>
      <c r="HE192">
        <v>5.21729</v>
      </c>
      <c r="HF192">
        <v>12.0099</v>
      </c>
      <c r="HG192">
        <v>4.98815</v>
      </c>
      <c r="HH192">
        <v>3.2886</v>
      </c>
      <c r="HI192">
        <v>855</v>
      </c>
      <c r="HJ192">
        <v>8510.700000000001</v>
      </c>
      <c r="HK192">
        <v>5139.4</v>
      </c>
      <c r="HL192">
        <v>22.9</v>
      </c>
      <c r="HM192">
        <v>1.86752</v>
      </c>
      <c r="HN192">
        <v>1.86646</v>
      </c>
      <c r="HO192">
        <v>1.866</v>
      </c>
      <c r="HP192">
        <v>1.86586</v>
      </c>
      <c r="HQ192">
        <v>1.86769</v>
      </c>
      <c r="HR192">
        <v>1.87027</v>
      </c>
      <c r="HS192">
        <v>1.8689</v>
      </c>
      <c r="HT192">
        <v>1.87027</v>
      </c>
      <c r="HU192">
        <v>0</v>
      </c>
      <c r="HV192">
        <v>0</v>
      </c>
      <c r="HW192">
        <v>0</v>
      </c>
      <c r="HX192">
        <v>0</v>
      </c>
      <c r="HY192" t="s">
        <v>421</v>
      </c>
      <c r="HZ192" t="s">
        <v>422</v>
      </c>
      <c r="IA192" t="s">
        <v>423</v>
      </c>
      <c r="IB192" t="s">
        <v>423</v>
      </c>
      <c r="IC192" t="s">
        <v>423</v>
      </c>
      <c r="ID192" t="s">
        <v>423</v>
      </c>
      <c r="IE192">
        <v>0</v>
      </c>
      <c r="IF192">
        <v>100</v>
      </c>
      <c r="IG192">
        <v>100</v>
      </c>
      <c r="IH192">
        <v>-2.45</v>
      </c>
      <c r="II192">
        <v>0.003</v>
      </c>
      <c r="IJ192">
        <v>-0.4995723906072</v>
      </c>
      <c r="IK192">
        <v>-0.002077099775823331</v>
      </c>
      <c r="IL192">
        <v>4.593143279902166E-07</v>
      </c>
      <c r="IM192">
        <v>-1.865383991892071E-10</v>
      </c>
      <c r="IN192">
        <v>-0.07605349583632376</v>
      </c>
      <c r="IO192">
        <v>-0.01129461987421345</v>
      </c>
      <c r="IP192">
        <v>0.00116580895745559</v>
      </c>
      <c r="IQ192">
        <v>-1.679085872906199E-05</v>
      </c>
      <c r="IR192">
        <v>2</v>
      </c>
      <c r="IS192">
        <v>2290</v>
      </c>
      <c r="IT192">
        <v>0</v>
      </c>
      <c r="IU192">
        <v>32</v>
      </c>
      <c r="IV192">
        <v>10.3</v>
      </c>
      <c r="IW192">
        <v>9.9</v>
      </c>
      <c r="IX192">
        <v>2.33643</v>
      </c>
      <c r="IY192">
        <v>2.20581</v>
      </c>
      <c r="IZ192">
        <v>1.39648</v>
      </c>
      <c r="JA192">
        <v>2.35962</v>
      </c>
      <c r="JB192">
        <v>1.49536</v>
      </c>
      <c r="JC192">
        <v>2.34497</v>
      </c>
      <c r="JD192">
        <v>38.4769</v>
      </c>
      <c r="JE192">
        <v>24.0437</v>
      </c>
      <c r="JF192">
        <v>18</v>
      </c>
      <c r="JG192">
        <v>514.614</v>
      </c>
      <c r="JH192">
        <v>424.217</v>
      </c>
      <c r="JI192">
        <v>22.5279</v>
      </c>
      <c r="JJ192">
        <v>29.0886</v>
      </c>
      <c r="JK192">
        <v>30</v>
      </c>
      <c r="JL192">
        <v>29.0925</v>
      </c>
      <c r="JM192">
        <v>29.0333</v>
      </c>
      <c r="JN192">
        <v>46.7551</v>
      </c>
      <c r="JO192">
        <v>54.2084</v>
      </c>
      <c r="JP192">
        <v>0</v>
      </c>
      <c r="JQ192">
        <v>22.5174</v>
      </c>
      <c r="JR192">
        <v>1169.67</v>
      </c>
      <c r="JS192">
        <v>9.28543</v>
      </c>
      <c r="JT192">
        <v>100.301</v>
      </c>
      <c r="JU192">
        <v>100.213</v>
      </c>
    </row>
    <row r="193" spans="1:281">
      <c r="A193">
        <v>177</v>
      </c>
      <c r="B193">
        <v>1651857638.1</v>
      </c>
      <c r="C193">
        <v>637.5</v>
      </c>
      <c r="D193" t="s">
        <v>781</v>
      </c>
      <c r="E193" t="s">
        <v>782</v>
      </c>
      <c r="F193">
        <v>2</v>
      </c>
      <c r="G193" t="s">
        <v>413</v>
      </c>
      <c r="H193" t="s">
        <v>414</v>
      </c>
      <c r="I193">
        <v>1651857636.725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1154.671972333221</v>
      </c>
      <c r="AK193">
        <v>1108.971515151515</v>
      </c>
      <c r="AL193">
        <v>3.396131231614345</v>
      </c>
      <c r="AM193">
        <v>66.38384787954378</v>
      </c>
      <c r="AN193">
        <f>(AP193 - AO193 + DI193*1E3/(8.314*(DK193+273.15)) * AR193/DH193 * AQ193) * DH193/(100*CV193) * 1000/(1000 - AP193)</f>
        <v>0</v>
      </c>
      <c r="AO193">
        <v>9.13176102285504</v>
      </c>
      <c r="AP193">
        <v>18.17500676470587</v>
      </c>
      <c r="AQ193">
        <v>-0.002833330732371311</v>
      </c>
      <c r="AR193">
        <v>80.44866334591464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417</v>
      </c>
      <c r="AY193" t="s">
        <v>417</v>
      </c>
      <c r="AZ193">
        <v>0</v>
      </c>
      <c r="BA193">
        <v>0</v>
      </c>
      <c r="BB193">
        <f>1-AZ193/BA193</f>
        <v>0</v>
      </c>
      <c r="BC193">
        <v>0</v>
      </c>
      <c r="BD193" t="s">
        <v>417</v>
      </c>
      <c r="BE193" t="s">
        <v>417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1238</v>
      </c>
      <c r="CA193">
        <v>300</v>
      </c>
      <c r="CB193">
        <v>300</v>
      </c>
      <c r="CC193">
        <v>300</v>
      </c>
      <c r="CD193">
        <v>10440.5</v>
      </c>
      <c r="CE193">
        <v>1411.69</v>
      </c>
      <c r="CF193">
        <v>-0.00735121</v>
      </c>
      <c r="CG193">
        <v>-0.77</v>
      </c>
      <c r="CH193" t="s">
        <v>417</v>
      </c>
      <c r="CI193" t="s">
        <v>417</v>
      </c>
      <c r="CJ193" t="s">
        <v>417</v>
      </c>
      <c r="CK193" t="s">
        <v>417</v>
      </c>
      <c r="CL193" t="s">
        <v>417</v>
      </c>
      <c r="CM193" t="s">
        <v>417</v>
      </c>
      <c r="CN193" t="s">
        <v>417</v>
      </c>
      <c r="CO193" t="s">
        <v>417</v>
      </c>
      <c r="CP193" t="s">
        <v>417</v>
      </c>
      <c r="CQ193" t="s">
        <v>417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418</v>
      </c>
      <c r="CY193">
        <v>2</v>
      </c>
      <c r="CZ193" t="b">
        <v>1</v>
      </c>
      <c r="DA193">
        <v>1651857636.725</v>
      </c>
      <c r="DB193">
        <v>1085.8825</v>
      </c>
      <c r="DC193">
        <v>1149.0475</v>
      </c>
      <c r="DD193">
        <v>18.17545</v>
      </c>
      <c r="DE193">
        <v>9.17005</v>
      </c>
      <c r="DF193">
        <v>1088.34</v>
      </c>
      <c r="DG193">
        <v>18.172525</v>
      </c>
      <c r="DH193">
        <v>500.01525</v>
      </c>
      <c r="DI193">
        <v>90.08492500000001</v>
      </c>
      <c r="DJ193">
        <v>0.09992499999999999</v>
      </c>
      <c r="DK193">
        <v>25.77255</v>
      </c>
      <c r="DL193">
        <v>25.01965</v>
      </c>
      <c r="DM193">
        <v>999.9</v>
      </c>
      <c r="DN193">
        <v>0</v>
      </c>
      <c r="DO193">
        <v>0</v>
      </c>
      <c r="DP193">
        <v>9983.282499999999</v>
      </c>
      <c r="DQ193">
        <v>0</v>
      </c>
      <c r="DR193">
        <v>3.20383</v>
      </c>
      <c r="DS193">
        <v>-63.1637</v>
      </c>
      <c r="DT193">
        <v>1105.9825</v>
      </c>
      <c r="DU193">
        <v>1159.68</v>
      </c>
      <c r="DV193">
        <v>9.005385</v>
      </c>
      <c r="DW193">
        <v>1149.0475</v>
      </c>
      <c r="DX193">
        <v>9.17005</v>
      </c>
      <c r="DY193">
        <v>1.6373325</v>
      </c>
      <c r="DZ193">
        <v>0.82608375</v>
      </c>
      <c r="EA193">
        <v>14.314725</v>
      </c>
      <c r="EB193">
        <v>4.16359</v>
      </c>
      <c r="EC193">
        <v>1500</v>
      </c>
      <c r="ED193">
        <v>0.973007</v>
      </c>
      <c r="EE193">
        <v>0.0269931</v>
      </c>
      <c r="EF193">
        <v>0</v>
      </c>
      <c r="EG193">
        <v>976.0645</v>
      </c>
      <c r="EH193">
        <v>5.00097</v>
      </c>
      <c r="EI193">
        <v>14500.525</v>
      </c>
      <c r="EJ193">
        <v>12491.6</v>
      </c>
      <c r="EK193">
        <v>37.5</v>
      </c>
      <c r="EL193">
        <v>39</v>
      </c>
      <c r="EM193">
        <v>37.875</v>
      </c>
      <c r="EN193">
        <v>38.75</v>
      </c>
      <c r="EO193">
        <v>38.375</v>
      </c>
      <c r="EP193">
        <v>1454.64</v>
      </c>
      <c r="EQ193">
        <v>40.35</v>
      </c>
      <c r="ER193">
        <v>0</v>
      </c>
      <c r="ES193">
        <v>637.2000000476837</v>
      </c>
      <c r="ET193">
        <v>0</v>
      </c>
      <c r="EU193">
        <v>979.14376</v>
      </c>
      <c r="EV193">
        <v>-33.1244615863552</v>
      </c>
      <c r="EW193">
        <v>-491.5846161285615</v>
      </c>
      <c r="EX193">
        <v>14547.152</v>
      </c>
      <c r="EY193">
        <v>15</v>
      </c>
      <c r="EZ193">
        <v>1651857041.1</v>
      </c>
      <c r="FA193" t="s">
        <v>419</v>
      </c>
      <c r="FB193">
        <v>1651857019.6</v>
      </c>
      <c r="FC193">
        <v>1651857041.1</v>
      </c>
      <c r="FD193">
        <v>1</v>
      </c>
      <c r="FE193">
        <v>0.545</v>
      </c>
      <c r="FF193">
        <v>-0.002</v>
      </c>
      <c r="FG193">
        <v>-1.271</v>
      </c>
      <c r="FH193">
        <v>-0.09</v>
      </c>
      <c r="FI193">
        <v>400</v>
      </c>
      <c r="FJ193">
        <v>10</v>
      </c>
      <c r="FK193">
        <v>0.1</v>
      </c>
      <c r="FL193">
        <v>0.02</v>
      </c>
      <c r="FM193">
        <v>-63.0433475</v>
      </c>
      <c r="FN193">
        <v>-2.300031894934197</v>
      </c>
      <c r="FO193">
        <v>0.3797484094683606</v>
      </c>
      <c r="FP193">
        <v>-1</v>
      </c>
      <c r="FQ193">
        <v>9.154101499999999</v>
      </c>
      <c r="FR193">
        <v>-0.8289498686679426</v>
      </c>
      <c r="FS193">
        <v>0.08423252212031886</v>
      </c>
      <c r="FT193">
        <v>-1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0</v>
      </c>
      <c r="GA193" t="s">
        <v>432</v>
      </c>
      <c r="GB193">
        <v>2.97994</v>
      </c>
      <c r="GC193">
        <v>2.70603</v>
      </c>
      <c r="GD193">
        <v>0.180925</v>
      </c>
      <c r="GE193">
        <v>0.185281</v>
      </c>
      <c r="GF193">
        <v>0.08714760000000001</v>
      </c>
      <c r="GG193">
        <v>0.0518119</v>
      </c>
      <c r="GH193">
        <v>25843.6</v>
      </c>
      <c r="GI193">
        <v>25762</v>
      </c>
      <c r="GJ193">
        <v>29342.1</v>
      </c>
      <c r="GK193">
        <v>29255.3</v>
      </c>
      <c r="GL193">
        <v>35471.8</v>
      </c>
      <c r="GM193">
        <v>36945.2</v>
      </c>
      <c r="GN193">
        <v>41303.3</v>
      </c>
      <c r="GO193">
        <v>41751.9</v>
      </c>
      <c r="GP193">
        <v>1.955</v>
      </c>
      <c r="GQ193">
        <v>1.83698</v>
      </c>
      <c r="GR193">
        <v>-0.0342354</v>
      </c>
      <c r="GS193">
        <v>0</v>
      </c>
      <c r="GT193">
        <v>25.58</v>
      </c>
      <c r="GU193">
        <v>999.9</v>
      </c>
      <c r="GV193">
        <v>38.4</v>
      </c>
      <c r="GW193">
        <v>34</v>
      </c>
      <c r="GX193">
        <v>22.7769</v>
      </c>
      <c r="GY193">
        <v>62.4676</v>
      </c>
      <c r="GZ193">
        <v>35.4367</v>
      </c>
      <c r="HA193">
        <v>1</v>
      </c>
      <c r="HB193">
        <v>0.136761</v>
      </c>
      <c r="HC193">
        <v>2.37968</v>
      </c>
      <c r="HD193">
        <v>20.3167</v>
      </c>
      <c r="HE193">
        <v>5.21714</v>
      </c>
      <c r="HF193">
        <v>12.0099</v>
      </c>
      <c r="HG193">
        <v>4.98825</v>
      </c>
      <c r="HH193">
        <v>3.28853</v>
      </c>
      <c r="HI193">
        <v>855</v>
      </c>
      <c r="HJ193">
        <v>8510.700000000001</v>
      </c>
      <c r="HK193">
        <v>5139.4</v>
      </c>
      <c r="HL193">
        <v>22.9</v>
      </c>
      <c r="HM193">
        <v>1.86752</v>
      </c>
      <c r="HN193">
        <v>1.86646</v>
      </c>
      <c r="HO193">
        <v>1.866</v>
      </c>
      <c r="HP193">
        <v>1.86585</v>
      </c>
      <c r="HQ193">
        <v>1.86771</v>
      </c>
      <c r="HR193">
        <v>1.87027</v>
      </c>
      <c r="HS193">
        <v>1.8689</v>
      </c>
      <c r="HT193">
        <v>1.87027</v>
      </c>
      <c r="HU193">
        <v>0</v>
      </c>
      <c r="HV193">
        <v>0</v>
      </c>
      <c r="HW193">
        <v>0</v>
      </c>
      <c r="HX193">
        <v>0</v>
      </c>
      <c r="HY193" t="s">
        <v>421</v>
      </c>
      <c r="HZ193" t="s">
        <v>422</v>
      </c>
      <c r="IA193" t="s">
        <v>423</v>
      </c>
      <c r="IB193" t="s">
        <v>423</v>
      </c>
      <c r="IC193" t="s">
        <v>423</v>
      </c>
      <c r="ID193" t="s">
        <v>423</v>
      </c>
      <c r="IE193">
        <v>0</v>
      </c>
      <c r="IF193">
        <v>100</v>
      </c>
      <c r="IG193">
        <v>100</v>
      </c>
      <c r="IH193">
        <v>-2.47</v>
      </c>
      <c r="II193">
        <v>0.0029</v>
      </c>
      <c r="IJ193">
        <v>-0.4995723906072</v>
      </c>
      <c r="IK193">
        <v>-0.002077099775823331</v>
      </c>
      <c r="IL193">
        <v>4.593143279902166E-07</v>
      </c>
      <c r="IM193">
        <v>-1.865383991892071E-10</v>
      </c>
      <c r="IN193">
        <v>-0.07605349583632376</v>
      </c>
      <c r="IO193">
        <v>-0.01129461987421345</v>
      </c>
      <c r="IP193">
        <v>0.00116580895745559</v>
      </c>
      <c r="IQ193">
        <v>-1.679085872906199E-05</v>
      </c>
      <c r="IR193">
        <v>2</v>
      </c>
      <c r="IS193">
        <v>2290</v>
      </c>
      <c r="IT193">
        <v>0</v>
      </c>
      <c r="IU193">
        <v>32</v>
      </c>
      <c r="IV193">
        <v>10.3</v>
      </c>
      <c r="IW193">
        <v>9.9</v>
      </c>
      <c r="IX193">
        <v>2.34741</v>
      </c>
      <c r="IY193">
        <v>2.21069</v>
      </c>
      <c r="IZ193">
        <v>1.39648</v>
      </c>
      <c r="JA193">
        <v>2.35962</v>
      </c>
      <c r="JB193">
        <v>1.49536</v>
      </c>
      <c r="JC193">
        <v>2.28027</v>
      </c>
      <c r="JD193">
        <v>38.4769</v>
      </c>
      <c r="JE193">
        <v>24.035</v>
      </c>
      <c r="JF193">
        <v>18</v>
      </c>
      <c r="JG193">
        <v>514.622</v>
      </c>
      <c r="JH193">
        <v>424.327</v>
      </c>
      <c r="JI193">
        <v>22.5195</v>
      </c>
      <c r="JJ193">
        <v>29.0886</v>
      </c>
      <c r="JK193">
        <v>30</v>
      </c>
      <c r="JL193">
        <v>29.0915</v>
      </c>
      <c r="JM193">
        <v>29.032</v>
      </c>
      <c r="JN193">
        <v>46.9675</v>
      </c>
      <c r="JO193">
        <v>54.2084</v>
      </c>
      <c r="JP193">
        <v>0</v>
      </c>
      <c r="JQ193">
        <v>22.4964</v>
      </c>
      <c r="JR193">
        <v>1176.36</v>
      </c>
      <c r="JS193">
        <v>9.32072</v>
      </c>
      <c r="JT193">
        <v>100.302</v>
      </c>
      <c r="JU193">
        <v>100.212</v>
      </c>
    </row>
    <row r="194" spans="1:281">
      <c r="A194">
        <v>178</v>
      </c>
      <c r="B194">
        <v>1651857640.1</v>
      </c>
      <c r="C194">
        <v>639.5</v>
      </c>
      <c r="D194" t="s">
        <v>783</v>
      </c>
      <c r="E194" t="s">
        <v>784</v>
      </c>
      <c r="F194">
        <v>2</v>
      </c>
      <c r="G194" t="s">
        <v>413</v>
      </c>
      <c r="H194" t="s">
        <v>414</v>
      </c>
      <c r="I194">
        <v>1651857639.1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1161.859895790485</v>
      </c>
      <c r="AK194">
        <v>1115.790666666667</v>
      </c>
      <c r="AL194">
        <v>3.410002182463711</v>
      </c>
      <c r="AM194">
        <v>66.38384787954378</v>
      </c>
      <c r="AN194">
        <f>(AP194 - AO194 + DI194*1E3/(8.314*(DK194+273.15)) * AR194/DH194 * AQ194) * DH194/(100*CV194) * 1000/(1000 - AP194)</f>
        <v>0</v>
      </c>
      <c r="AO194">
        <v>9.165857520927982</v>
      </c>
      <c r="AP194">
        <v>18.16524235294118</v>
      </c>
      <c r="AQ194">
        <v>-0.0001007353129476498</v>
      </c>
      <c r="AR194">
        <v>80.44866334591464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417</v>
      </c>
      <c r="AY194" t="s">
        <v>417</v>
      </c>
      <c r="AZ194">
        <v>0</v>
      </c>
      <c r="BA194">
        <v>0</v>
      </c>
      <c r="BB194">
        <f>1-AZ194/BA194</f>
        <v>0</v>
      </c>
      <c r="BC194">
        <v>0</v>
      </c>
      <c r="BD194" t="s">
        <v>417</v>
      </c>
      <c r="BE194" t="s">
        <v>417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1238</v>
      </c>
      <c r="CA194">
        <v>300</v>
      </c>
      <c r="CB194">
        <v>300</v>
      </c>
      <c r="CC194">
        <v>300</v>
      </c>
      <c r="CD194">
        <v>10440.5</v>
      </c>
      <c r="CE194">
        <v>1411.69</v>
      </c>
      <c r="CF194">
        <v>-0.00735121</v>
      </c>
      <c r="CG194">
        <v>-0.77</v>
      </c>
      <c r="CH194" t="s">
        <v>417</v>
      </c>
      <c r="CI194" t="s">
        <v>417</v>
      </c>
      <c r="CJ194" t="s">
        <v>417</v>
      </c>
      <c r="CK194" t="s">
        <v>417</v>
      </c>
      <c r="CL194" t="s">
        <v>417</v>
      </c>
      <c r="CM194" t="s">
        <v>417</v>
      </c>
      <c r="CN194" t="s">
        <v>417</v>
      </c>
      <c r="CO194" t="s">
        <v>417</v>
      </c>
      <c r="CP194" t="s">
        <v>417</v>
      </c>
      <c r="CQ194" t="s">
        <v>417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418</v>
      </c>
      <c r="CY194">
        <v>2</v>
      </c>
      <c r="CZ194" t="b">
        <v>1</v>
      </c>
      <c r="DA194">
        <v>1651857639.1</v>
      </c>
      <c r="DB194">
        <v>1093.846666666667</v>
      </c>
      <c r="DC194">
        <v>1157.31</v>
      </c>
      <c r="DD194">
        <v>18.167</v>
      </c>
      <c r="DE194">
        <v>9.18168</v>
      </c>
      <c r="DF194">
        <v>1096.32</v>
      </c>
      <c r="DG194">
        <v>18.16416666666667</v>
      </c>
      <c r="DH194">
        <v>500.059</v>
      </c>
      <c r="DI194">
        <v>90.08403333333335</v>
      </c>
      <c r="DJ194">
        <v>0.09995513333333333</v>
      </c>
      <c r="DK194">
        <v>25.7714</v>
      </c>
      <c r="DL194">
        <v>25.02226666666667</v>
      </c>
      <c r="DM194">
        <v>999.9</v>
      </c>
      <c r="DN194">
        <v>0</v>
      </c>
      <c r="DO194">
        <v>0</v>
      </c>
      <c r="DP194">
        <v>10005</v>
      </c>
      <c r="DQ194">
        <v>0</v>
      </c>
      <c r="DR194">
        <v>3.20383</v>
      </c>
      <c r="DS194">
        <v>-63.46343333333334</v>
      </c>
      <c r="DT194">
        <v>1114.086666666667</v>
      </c>
      <c r="DU194">
        <v>1168.036666666667</v>
      </c>
      <c r="DV194">
        <v>8.985290000000001</v>
      </c>
      <c r="DW194">
        <v>1157.31</v>
      </c>
      <c r="DX194">
        <v>9.18168</v>
      </c>
      <c r="DY194">
        <v>1.636553333333334</v>
      </c>
      <c r="DZ194">
        <v>0.8271229999999999</v>
      </c>
      <c r="EA194">
        <v>14.30736666666667</v>
      </c>
      <c r="EB194">
        <v>4.181509999999999</v>
      </c>
      <c r="EC194">
        <v>1499.996666666667</v>
      </c>
      <c r="ED194">
        <v>0.973007</v>
      </c>
      <c r="EE194">
        <v>0.0269931</v>
      </c>
      <c r="EF194">
        <v>0</v>
      </c>
      <c r="EG194">
        <v>974.7916666666666</v>
      </c>
      <c r="EH194">
        <v>5.00097</v>
      </c>
      <c r="EI194">
        <v>14483.5</v>
      </c>
      <c r="EJ194">
        <v>12491.56666666667</v>
      </c>
      <c r="EK194">
        <v>37.5</v>
      </c>
      <c r="EL194">
        <v>39</v>
      </c>
      <c r="EM194">
        <v>37.875</v>
      </c>
      <c r="EN194">
        <v>38.75</v>
      </c>
      <c r="EO194">
        <v>38.375</v>
      </c>
      <c r="EP194">
        <v>1454.636666666667</v>
      </c>
      <c r="EQ194">
        <v>40.35</v>
      </c>
      <c r="ER194">
        <v>0</v>
      </c>
      <c r="ES194">
        <v>639</v>
      </c>
      <c r="ET194">
        <v>0</v>
      </c>
      <c r="EU194">
        <v>978.3277692307693</v>
      </c>
      <c r="EV194">
        <v>-33.68567520727878</v>
      </c>
      <c r="EW194">
        <v>-489.7709401730854</v>
      </c>
      <c r="EX194">
        <v>14534.85384615385</v>
      </c>
      <c r="EY194">
        <v>15</v>
      </c>
      <c r="EZ194">
        <v>1651857041.1</v>
      </c>
      <c r="FA194" t="s">
        <v>419</v>
      </c>
      <c r="FB194">
        <v>1651857019.6</v>
      </c>
      <c r="FC194">
        <v>1651857041.1</v>
      </c>
      <c r="FD194">
        <v>1</v>
      </c>
      <c r="FE194">
        <v>0.545</v>
      </c>
      <c r="FF194">
        <v>-0.002</v>
      </c>
      <c r="FG194">
        <v>-1.271</v>
      </c>
      <c r="FH194">
        <v>-0.09</v>
      </c>
      <c r="FI194">
        <v>400</v>
      </c>
      <c r="FJ194">
        <v>10</v>
      </c>
      <c r="FK194">
        <v>0.1</v>
      </c>
      <c r="FL194">
        <v>0.02</v>
      </c>
      <c r="FM194">
        <v>-63.14943414634146</v>
      </c>
      <c r="FN194">
        <v>-1.714285714285784</v>
      </c>
      <c r="FO194">
        <v>0.3334564992361189</v>
      </c>
      <c r="FP194">
        <v>-1</v>
      </c>
      <c r="FQ194">
        <v>9.121146097560976</v>
      </c>
      <c r="FR194">
        <v>-0.8241418118466759</v>
      </c>
      <c r="FS194">
        <v>0.08553398907574693</v>
      </c>
      <c r="FT194">
        <v>-1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0</v>
      </c>
      <c r="GA194" t="s">
        <v>432</v>
      </c>
      <c r="GB194">
        <v>2.9801</v>
      </c>
      <c r="GC194">
        <v>2.70632</v>
      </c>
      <c r="GD194">
        <v>0.181627</v>
      </c>
      <c r="GE194">
        <v>0.185976</v>
      </c>
      <c r="GF194">
        <v>0.0871253</v>
      </c>
      <c r="GG194">
        <v>0.051904</v>
      </c>
      <c r="GH194">
        <v>25821.4</v>
      </c>
      <c r="GI194">
        <v>25740.1</v>
      </c>
      <c r="GJ194">
        <v>29342.1</v>
      </c>
      <c r="GK194">
        <v>29255.4</v>
      </c>
      <c r="GL194">
        <v>35472.4</v>
      </c>
      <c r="GM194">
        <v>36941.3</v>
      </c>
      <c r="GN194">
        <v>41303</v>
      </c>
      <c r="GO194">
        <v>41751.6</v>
      </c>
      <c r="GP194">
        <v>1.95513</v>
      </c>
      <c r="GQ194">
        <v>1.8373</v>
      </c>
      <c r="GR194">
        <v>-0.0339523</v>
      </c>
      <c r="GS194">
        <v>0</v>
      </c>
      <c r="GT194">
        <v>25.58</v>
      </c>
      <c r="GU194">
        <v>999.9</v>
      </c>
      <c r="GV194">
        <v>38.4</v>
      </c>
      <c r="GW194">
        <v>34</v>
      </c>
      <c r="GX194">
        <v>22.7765</v>
      </c>
      <c r="GY194">
        <v>62.3576</v>
      </c>
      <c r="GZ194">
        <v>35.1242</v>
      </c>
      <c r="HA194">
        <v>1</v>
      </c>
      <c r="HB194">
        <v>0.136738</v>
      </c>
      <c r="HC194">
        <v>2.39375</v>
      </c>
      <c r="HD194">
        <v>20.3166</v>
      </c>
      <c r="HE194">
        <v>5.21714</v>
      </c>
      <c r="HF194">
        <v>12.0099</v>
      </c>
      <c r="HG194">
        <v>4.9887</v>
      </c>
      <c r="HH194">
        <v>3.2885</v>
      </c>
      <c r="HI194">
        <v>855</v>
      </c>
      <c r="HJ194">
        <v>8510.700000000001</v>
      </c>
      <c r="HK194">
        <v>5139.4</v>
      </c>
      <c r="HL194">
        <v>22.9</v>
      </c>
      <c r="HM194">
        <v>1.86752</v>
      </c>
      <c r="HN194">
        <v>1.86647</v>
      </c>
      <c r="HO194">
        <v>1.866</v>
      </c>
      <c r="HP194">
        <v>1.86587</v>
      </c>
      <c r="HQ194">
        <v>1.86773</v>
      </c>
      <c r="HR194">
        <v>1.87027</v>
      </c>
      <c r="HS194">
        <v>1.8689</v>
      </c>
      <c r="HT194">
        <v>1.87027</v>
      </c>
      <c r="HU194">
        <v>0</v>
      </c>
      <c r="HV194">
        <v>0</v>
      </c>
      <c r="HW194">
        <v>0</v>
      </c>
      <c r="HX194">
        <v>0</v>
      </c>
      <c r="HY194" t="s">
        <v>421</v>
      </c>
      <c r="HZ194" t="s">
        <v>422</v>
      </c>
      <c r="IA194" t="s">
        <v>423</v>
      </c>
      <c r="IB194" t="s">
        <v>423</v>
      </c>
      <c r="IC194" t="s">
        <v>423</v>
      </c>
      <c r="ID194" t="s">
        <v>423</v>
      </c>
      <c r="IE194">
        <v>0</v>
      </c>
      <c r="IF194">
        <v>100</v>
      </c>
      <c r="IG194">
        <v>100</v>
      </c>
      <c r="IH194">
        <v>-2.48</v>
      </c>
      <c r="II194">
        <v>0.0028</v>
      </c>
      <c r="IJ194">
        <v>-0.4995723906072</v>
      </c>
      <c r="IK194">
        <v>-0.002077099775823331</v>
      </c>
      <c r="IL194">
        <v>4.593143279902166E-07</v>
      </c>
      <c r="IM194">
        <v>-1.865383991892071E-10</v>
      </c>
      <c r="IN194">
        <v>-0.07605349583632376</v>
      </c>
      <c r="IO194">
        <v>-0.01129461987421345</v>
      </c>
      <c r="IP194">
        <v>0.00116580895745559</v>
      </c>
      <c r="IQ194">
        <v>-1.679085872906199E-05</v>
      </c>
      <c r="IR194">
        <v>2</v>
      </c>
      <c r="IS194">
        <v>2290</v>
      </c>
      <c r="IT194">
        <v>0</v>
      </c>
      <c r="IU194">
        <v>32</v>
      </c>
      <c r="IV194">
        <v>10.3</v>
      </c>
      <c r="IW194">
        <v>10</v>
      </c>
      <c r="IX194">
        <v>2.35718</v>
      </c>
      <c r="IY194">
        <v>2.20337</v>
      </c>
      <c r="IZ194">
        <v>1.39648</v>
      </c>
      <c r="JA194">
        <v>2.35962</v>
      </c>
      <c r="JB194">
        <v>1.49536</v>
      </c>
      <c r="JC194">
        <v>2.35718</v>
      </c>
      <c r="JD194">
        <v>38.4769</v>
      </c>
      <c r="JE194">
        <v>24.0437</v>
      </c>
      <c r="JF194">
        <v>18</v>
      </c>
      <c r="JG194">
        <v>514.6950000000001</v>
      </c>
      <c r="JH194">
        <v>424.518</v>
      </c>
      <c r="JI194">
        <v>22.5127</v>
      </c>
      <c r="JJ194">
        <v>29.0886</v>
      </c>
      <c r="JK194">
        <v>30</v>
      </c>
      <c r="JL194">
        <v>29.0903</v>
      </c>
      <c r="JM194">
        <v>29.0316</v>
      </c>
      <c r="JN194">
        <v>47.1738</v>
      </c>
      <c r="JO194">
        <v>53.9182</v>
      </c>
      <c r="JP194">
        <v>0</v>
      </c>
      <c r="JQ194">
        <v>22.4964</v>
      </c>
      <c r="JR194">
        <v>1183.06</v>
      </c>
      <c r="JS194">
        <v>9.347289999999999</v>
      </c>
      <c r="JT194">
        <v>100.301</v>
      </c>
      <c r="JU194">
        <v>100.212</v>
      </c>
    </row>
    <row r="195" spans="1:281">
      <c r="A195">
        <v>179</v>
      </c>
      <c r="B195">
        <v>1651857642.1</v>
      </c>
      <c r="C195">
        <v>641.5</v>
      </c>
      <c r="D195" t="s">
        <v>785</v>
      </c>
      <c r="E195" t="s">
        <v>786</v>
      </c>
      <c r="F195">
        <v>2</v>
      </c>
      <c r="G195" t="s">
        <v>413</v>
      </c>
      <c r="H195" t="s">
        <v>414</v>
      </c>
      <c r="I195">
        <v>1651857640.725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1168.85472680065</v>
      </c>
      <c r="AK195">
        <v>1122.561939393939</v>
      </c>
      <c r="AL195">
        <v>3.394844417529251</v>
      </c>
      <c r="AM195">
        <v>66.38384787954378</v>
      </c>
      <c r="AN195">
        <f>(AP195 - AO195 + DI195*1E3/(8.314*(DK195+273.15)) * AR195/DH195 * AQ195) * DH195/(100*CV195) * 1000/(1000 - AP195)</f>
        <v>0</v>
      </c>
      <c r="AO195">
        <v>9.170483439801119</v>
      </c>
      <c r="AP195">
        <v>18.15815617647058</v>
      </c>
      <c r="AQ195">
        <v>-0.0004574448195854338</v>
      </c>
      <c r="AR195">
        <v>80.44866334591464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417</v>
      </c>
      <c r="AY195" t="s">
        <v>417</v>
      </c>
      <c r="AZ195">
        <v>0</v>
      </c>
      <c r="BA195">
        <v>0</v>
      </c>
      <c r="BB195">
        <f>1-AZ195/BA195</f>
        <v>0</v>
      </c>
      <c r="BC195">
        <v>0</v>
      </c>
      <c r="BD195" t="s">
        <v>417</v>
      </c>
      <c r="BE195" t="s">
        <v>417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1238</v>
      </c>
      <c r="CA195">
        <v>300</v>
      </c>
      <c r="CB195">
        <v>300</v>
      </c>
      <c r="CC195">
        <v>300</v>
      </c>
      <c r="CD195">
        <v>10440.5</v>
      </c>
      <c r="CE195">
        <v>1411.69</v>
      </c>
      <c r="CF195">
        <v>-0.00735121</v>
      </c>
      <c r="CG195">
        <v>-0.77</v>
      </c>
      <c r="CH195" t="s">
        <v>417</v>
      </c>
      <c r="CI195" t="s">
        <v>417</v>
      </c>
      <c r="CJ195" t="s">
        <v>417</v>
      </c>
      <c r="CK195" t="s">
        <v>417</v>
      </c>
      <c r="CL195" t="s">
        <v>417</v>
      </c>
      <c r="CM195" t="s">
        <v>417</v>
      </c>
      <c r="CN195" t="s">
        <v>417</v>
      </c>
      <c r="CO195" t="s">
        <v>417</v>
      </c>
      <c r="CP195" t="s">
        <v>417</v>
      </c>
      <c r="CQ195" t="s">
        <v>417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418</v>
      </c>
      <c r="CY195">
        <v>2</v>
      </c>
      <c r="CZ195" t="b">
        <v>1</v>
      </c>
      <c r="DA195">
        <v>1651857640.725</v>
      </c>
      <c r="DB195">
        <v>1099.265</v>
      </c>
      <c r="DC195">
        <v>1162.79</v>
      </c>
      <c r="DD195">
        <v>18.161775</v>
      </c>
      <c r="DE195">
        <v>9.201052499999999</v>
      </c>
      <c r="DF195">
        <v>1101.7475</v>
      </c>
      <c r="DG195">
        <v>18.159025</v>
      </c>
      <c r="DH195">
        <v>500.0495</v>
      </c>
      <c r="DI195">
        <v>90.083</v>
      </c>
      <c r="DJ195">
        <v>0.099992425</v>
      </c>
      <c r="DK195">
        <v>25.77055</v>
      </c>
      <c r="DL195">
        <v>25.022325</v>
      </c>
      <c r="DM195">
        <v>999.9</v>
      </c>
      <c r="DN195">
        <v>0</v>
      </c>
      <c r="DO195">
        <v>0</v>
      </c>
      <c r="DP195">
        <v>10006.725</v>
      </c>
      <c r="DQ195">
        <v>0</v>
      </c>
      <c r="DR195">
        <v>3.20383</v>
      </c>
      <c r="DS195">
        <v>-63.52555</v>
      </c>
      <c r="DT195">
        <v>1119.6</v>
      </c>
      <c r="DU195">
        <v>1173.5875</v>
      </c>
      <c r="DV195">
        <v>8.960715</v>
      </c>
      <c r="DW195">
        <v>1162.79</v>
      </c>
      <c r="DX195">
        <v>9.201052499999999</v>
      </c>
      <c r="DY195">
        <v>1.6360625</v>
      </c>
      <c r="DZ195">
        <v>0.8288582499999999</v>
      </c>
      <c r="EA195">
        <v>14.302775</v>
      </c>
      <c r="EB195">
        <v>4.2113675</v>
      </c>
      <c r="EC195">
        <v>1500.0025</v>
      </c>
      <c r="ED195">
        <v>0.973007</v>
      </c>
      <c r="EE195">
        <v>0.0269931</v>
      </c>
      <c r="EF195">
        <v>0</v>
      </c>
      <c r="EG195">
        <v>973.7864999999999</v>
      </c>
      <c r="EH195">
        <v>5.00097</v>
      </c>
      <c r="EI195">
        <v>14469.175</v>
      </c>
      <c r="EJ195">
        <v>12491.625</v>
      </c>
      <c r="EK195">
        <v>37.5</v>
      </c>
      <c r="EL195">
        <v>39</v>
      </c>
      <c r="EM195">
        <v>37.875</v>
      </c>
      <c r="EN195">
        <v>38.75</v>
      </c>
      <c r="EO195">
        <v>38.375</v>
      </c>
      <c r="EP195">
        <v>1454.6425</v>
      </c>
      <c r="EQ195">
        <v>40.35</v>
      </c>
      <c r="ER195">
        <v>0</v>
      </c>
      <c r="ES195">
        <v>641.4000000953674</v>
      </c>
      <c r="ET195">
        <v>0</v>
      </c>
      <c r="EU195">
        <v>976.9812692307692</v>
      </c>
      <c r="EV195">
        <v>-33.89576063662067</v>
      </c>
      <c r="EW195">
        <v>-486.3452984780865</v>
      </c>
      <c r="EX195">
        <v>14515.37692307692</v>
      </c>
      <c r="EY195">
        <v>15</v>
      </c>
      <c r="EZ195">
        <v>1651857041.1</v>
      </c>
      <c r="FA195" t="s">
        <v>419</v>
      </c>
      <c r="FB195">
        <v>1651857019.6</v>
      </c>
      <c r="FC195">
        <v>1651857041.1</v>
      </c>
      <c r="FD195">
        <v>1</v>
      </c>
      <c r="FE195">
        <v>0.545</v>
      </c>
      <c r="FF195">
        <v>-0.002</v>
      </c>
      <c r="FG195">
        <v>-1.271</v>
      </c>
      <c r="FH195">
        <v>-0.09</v>
      </c>
      <c r="FI195">
        <v>400</v>
      </c>
      <c r="FJ195">
        <v>10</v>
      </c>
      <c r="FK195">
        <v>0.1</v>
      </c>
      <c r="FL195">
        <v>0.02</v>
      </c>
      <c r="FM195">
        <v>-63.2275225</v>
      </c>
      <c r="FN195">
        <v>-1.427296435272102</v>
      </c>
      <c r="FO195">
        <v>0.313832999768587</v>
      </c>
      <c r="FP195">
        <v>-1</v>
      </c>
      <c r="FQ195">
        <v>9.097048500000001</v>
      </c>
      <c r="FR195">
        <v>-0.8401463414634568</v>
      </c>
      <c r="FS195">
        <v>0.08515753203768878</v>
      </c>
      <c r="FT195">
        <v>-1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0</v>
      </c>
      <c r="GA195" t="s">
        <v>432</v>
      </c>
      <c r="GB195">
        <v>2.98</v>
      </c>
      <c r="GC195">
        <v>2.70618</v>
      </c>
      <c r="GD195">
        <v>0.182326</v>
      </c>
      <c r="GE195">
        <v>0.18663</v>
      </c>
      <c r="GF195">
        <v>0.0870985</v>
      </c>
      <c r="GG195">
        <v>0.0520518</v>
      </c>
      <c r="GH195">
        <v>25799.3</v>
      </c>
      <c r="GI195">
        <v>25719.3</v>
      </c>
      <c r="GJ195">
        <v>29342.1</v>
      </c>
      <c r="GK195">
        <v>29255.3</v>
      </c>
      <c r="GL195">
        <v>35473.2</v>
      </c>
      <c r="GM195">
        <v>36935.4</v>
      </c>
      <c r="GN195">
        <v>41302.7</v>
      </c>
      <c r="GO195">
        <v>41751.4</v>
      </c>
      <c r="GP195">
        <v>1.95492</v>
      </c>
      <c r="GQ195">
        <v>1.83742</v>
      </c>
      <c r="GR195">
        <v>-0.0339523</v>
      </c>
      <c r="GS195">
        <v>0</v>
      </c>
      <c r="GT195">
        <v>25.58</v>
      </c>
      <c r="GU195">
        <v>999.9</v>
      </c>
      <c r="GV195">
        <v>38.4</v>
      </c>
      <c r="GW195">
        <v>34</v>
      </c>
      <c r="GX195">
        <v>22.7751</v>
      </c>
      <c r="GY195">
        <v>62.4876</v>
      </c>
      <c r="GZ195">
        <v>35.1162</v>
      </c>
      <c r="HA195">
        <v>1</v>
      </c>
      <c r="HB195">
        <v>0.136707</v>
      </c>
      <c r="HC195">
        <v>2.41603</v>
      </c>
      <c r="HD195">
        <v>20.3165</v>
      </c>
      <c r="HE195">
        <v>5.21714</v>
      </c>
      <c r="HF195">
        <v>12.0099</v>
      </c>
      <c r="HG195">
        <v>4.98865</v>
      </c>
      <c r="HH195">
        <v>3.2885</v>
      </c>
      <c r="HI195">
        <v>855</v>
      </c>
      <c r="HJ195">
        <v>8510.700000000001</v>
      </c>
      <c r="HK195">
        <v>5139.4</v>
      </c>
      <c r="HL195">
        <v>22.9</v>
      </c>
      <c r="HM195">
        <v>1.86752</v>
      </c>
      <c r="HN195">
        <v>1.86647</v>
      </c>
      <c r="HO195">
        <v>1.866</v>
      </c>
      <c r="HP195">
        <v>1.86588</v>
      </c>
      <c r="HQ195">
        <v>1.86774</v>
      </c>
      <c r="HR195">
        <v>1.87026</v>
      </c>
      <c r="HS195">
        <v>1.8689</v>
      </c>
      <c r="HT195">
        <v>1.87027</v>
      </c>
      <c r="HU195">
        <v>0</v>
      </c>
      <c r="HV195">
        <v>0</v>
      </c>
      <c r="HW195">
        <v>0</v>
      </c>
      <c r="HX195">
        <v>0</v>
      </c>
      <c r="HY195" t="s">
        <v>421</v>
      </c>
      <c r="HZ195" t="s">
        <v>422</v>
      </c>
      <c r="IA195" t="s">
        <v>423</v>
      </c>
      <c r="IB195" t="s">
        <v>423</v>
      </c>
      <c r="IC195" t="s">
        <v>423</v>
      </c>
      <c r="ID195" t="s">
        <v>423</v>
      </c>
      <c r="IE195">
        <v>0</v>
      </c>
      <c r="IF195">
        <v>100</v>
      </c>
      <c r="IG195">
        <v>100</v>
      </c>
      <c r="IH195">
        <v>-2.49</v>
      </c>
      <c r="II195">
        <v>0.0027</v>
      </c>
      <c r="IJ195">
        <v>-0.4995723906072</v>
      </c>
      <c r="IK195">
        <v>-0.002077099775823331</v>
      </c>
      <c r="IL195">
        <v>4.593143279902166E-07</v>
      </c>
      <c r="IM195">
        <v>-1.865383991892071E-10</v>
      </c>
      <c r="IN195">
        <v>-0.07605349583632376</v>
      </c>
      <c r="IO195">
        <v>-0.01129461987421345</v>
      </c>
      <c r="IP195">
        <v>0.00116580895745559</v>
      </c>
      <c r="IQ195">
        <v>-1.679085872906199E-05</v>
      </c>
      <c r="IR195">
        <v>2</v>
      </c>
      <c r="IS195">
        <v>2290</v>
      </c>
      <c r="IT195">
        <v>0</v>
      </c>
      <c r="IU195">
        <v>32</v>
      </c>
      <c r="IV195">
        <v>10.4</v>
      </c>
      <c r="IW195">
        <v>10</v>
      </c>
      <c r="IX195">
        <v>2.36816</v>
      </c>
      <c r="IY195">
        <v>2.20215</v>
      </c>
      <c r="IZ195">
        <v>1.39648</v>
      </c>
      <c r="JA195">
        <v>2.36084</v>
      </c>
      <c r="JB195">
        <v>1.49536</v>
      </c>
      <c r="JC195">
        <v>2.3291</v>
      </c>
      <c r="JD195">
        <v>38.4769</v>
      </c>
      <c r="JE195">
        <v>24.0437</v>
      </c>
      <c r="JF195">
        <v>18</v>
      </c>
      <c r="JG195">
        <v>514.5599999999999</v>
      </c>
      <c r="JH195">
        <v>424.592</v>
      </c>
      <c r="JI195">
        <v>22.5046</v>
      </c>
      <c r="JJ195">
        <v>29.0886</v>
      </c>
      <c r="JK195">
        <v>30</v>
      </c>
      <c r="JL195">
        <v>29.09</v>
      </c>
      <c r="JM195">
        <v>29.0316</v>
      </c>
      <c r="JN195">
        <v>47.4013</v>
      </c>
      <c r="JO195">
        <v>53.9182</v>
      </c>
      <c r="JP195">
        <v>0</v>
      </c>
      <c r="JQ195">
        <v>22.4964</v>
      </c>
      <c r="JR195">
        <v>1189.75</v>
      </c>
      <c r="JS195">
        <v>9.38166</v>
      </c>
      <c r="JT195">
        <v>100.301</v>
      </c>
      <c r="JU195">
        <v>100.211</v>
      </c>
    </row>
    <row r="196" spans="1:281">
      <c r="A196">
        <v>180</v>
      </c>
      <c r="B196">
        <v>1651857644.1</v>
      </c>
      <c r="C196">
        <v>643.5</v>
      </c>
      <c r="D196" t="s">
        <v>787</v>
      </c>
      <c r="E196" t="s">
        <v>788</v>
      </c>
      <c r="F196">
        <v>2</v>
      </c>
      <c r="G196" t="s">
        <v>413</v>
      </c>
      <c r="H196" t="s">
        <v>414</v>
      </c>
      <c r="I196">
        <v>1651857643.1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1175.620705448538</v>
      </c>
      <c r="AK196">
        <v>1129.276969696969</v>
      </c>
      <c r="AL196">
        <v>3.369078508727863</v>
      </c>
      <c r="AM196">
        <v>66.38384787954378</v>
      </c>
      <c r="AN196">
        <f>(AP196 - AO196 + DI196*1E3/(8.314*(DK196+273.15)) * AR196/DH196 * AQ196) * DH196/(100*CV196) * 1000/(1000 - AP196)</f>
        <v>0</v>
      </c>
      <c r="AO196">
        <v>9.185710701938618</v>
      </c>
      <c r="AP196">
        <v>18.15233911764705</v>
      </c>
      <c r="AQ196">
        <v>-0.0008447607467072086</v>
      </c>
      <c r="AR196">
        <v>80.44866334591464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417</v>
      </c>
      <c r="AY196" t="s">
        <v>417</v>
      </c>
      <c r="AZ196">
        <v>0</v>
      </c>
      <c r="BA196">
        <v>0</v>
      </c>
      <c r="BB196">
        <f>1-AZ196/BA196</f>
        <v>0</v>
      </c>
      <c r="BC196">
        <v>0</v>
      </c>
      <c r="BD196" t="s">
        <v>417</v>
      </c>
      <c r="BE196" t="s">
        <v>417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1238</v>
      </c>
      <c r="CA196">
        <v>300</v>
      </c>
      <c r="CB196">
        <v>300</v>
      </c>
      <c r="CC196">
        <v>300</v>
      </c>
      <c r="CD196">
        <v>10440.5</v>
      </c>
      <c r="CE196">
        <v>1411.69</v>
      </c>
      <c r="CF196">
        <v>-0.00735121</v>
      </c>
      <c r="CG196">
        <v>-0.77</v>
      </c>
      <c r="CH196" t="s">
        <v>417</v>
      </c>
      <c r="CI196" t="s">
        <v>417</v>
      </c>
      <c r="CJ196" t="s">
        <v>417</v>
      </c>
      <c r="CK196" t="s">
        <v>417</v>
      </c>
      <c r="CL196" t="s">
        <v>417</v>
      </c>
      <c r="CM196" t="s">
        <v>417</v>
      </c>
      <c r="CN196" t="s">
        <v>417</v>
      </c>
      <c r="CO196" t="s">
        <v>417</v>
      </c>
      <c r="CP196" t="s">
        <v>417</v>
      </c>
      <c r="CQ196" t="s">
        <v>417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418</v>
      </c>
      <c r="CY196">
        <v>2</v>
      </c>
      <c r="CZ196" t="b">
        <v>1</v>
      </c>
      <c r="DA196">
        <v>1651857643.1</v>
      </c>
      <c r="DB196">
        <v>1107.13</v>
      </c>
      <c r="DC196">
        <v>1170.5</v>
      </c>
      <c r="DD196">
        <v>18.15386666666667</v>
      </c>
      <c r="DE196">
        <v>9.252816666666668</v>
      </c>
      <c r="DF196">
        <v>1109.626666666667</v>
      </c>
      <c r="DG196">
        <v>18.15123333333333</v>
      </c>
      <c r="DH196">
        <v>499.9873333333333</v>
      </c>
      <c r="DI196">
        <v>90.0825</v>
      </c>
      <c r="DJ196">
        <v>0.09979806666666667</v>
      </c>
      <c r="DK196">
        <v>25.7707</v>
      </c>
      <c r="DL196">
        <v>25.02146666666667</v>
      </c>
      <c r="DM196">
        <v>999.9</v>
      </c>
      <c r="DN196">
        <v>0</v>
      </c>
      <c r="DO196">
        <v>0</v>
      </c>
      <c r="DP196">
        <v>10025</v>
      </c>
      <c r="DQ196">
        <v>0</v>
      </c>
      <c r="DR196">
        <v>3.20383</v>
      </c>
      <c r="DS196">
        <v>-63.36603333333334</v>
      </c>
      <c r="DT196">
        <v>1127.603333333333</v>
      </c>
      <c r="DU196">
        <v>1181.43</v>
      </c>
      <c r="DV196">
        <v>8.901046666666666</v>
      </c>
      <c r="DW196">
        <v>1170.5</v>
      </c>
      <c r="DX196">
        <v>9.252816666666668</v>
      </c>
      <c r="DY196">
        <v>1.635343333333333</v>
      </c>
      <c r="DZ196">
        <v>0.8335166666666667</v>
      </c>
      <c r="EA196">
        <v>14.29593333333333</v>
      </c>
      <c r="EB196">
        <v>4.291276666666668</v>
      </c>
      <c r="EC196">
        <v>1500</v>
      </c>
      <c r="ED196">
        <v>0.973007</v>
      </c>
      <c r="EE196">
        <v>0.0269931</v>
      </c>
      <c r="EF196">
        <v>0</v>
      </c>
      <c r="EG196">
        <v>972.227</v>
      </c>
      <c r="EH196">
        <v>5.00097</v>
      </c>
      <c r="EI196">
        <v>14450.73333333333</v>
      </c>
      <c r="EJ196">
        <v>12491.63333333333</v>
      </c>
      <c r="EK196">
        <v>37.5</v>
      </c>
      <c r="EL196">
        <v>39</v>
      </c>
      <c r="EM196">
        <v>37.875</v>
      </c>
      <c r="EN196">
        <v>38.75</v>
      </c>
      <c r="EO196">
        <v>38.375</v>
      </c>
      <c r="EP196">
        <v>1454.64</v>
      </c>
      <c r="EQ196">
        <v>40.35</v>
      </c>
      <c r="ER196">
        <v>0</v>
      </c>
      <c r="ES196">
        <v>643.2000000476837</v>
      </c>
      <c r="ET196">
        <v>0</v>
      </c>
      <c r="EU196">
        <v>975.7742</v>
      </c>
      <c r="EV196">
        <v>-33.81392312213134</v>
      </c>
      <c r="EW196">
        <v>-482.8076930431255</v>
      </c>
      <c r="EX196">
        <v>14498.468</v>
      </c>
      <c r="EY196">
        <v>15</v>
      </c>
      <c r="EZ196">
        <v>1651857041.1</v>
      </c>
      <c r="FA196" t="s">
        <v>419</v>
      </c>
      <c r="FB196">
        <v>1651857019.6</v>
      </c>
      <c r="FC196">
        <v>1651857041.1</v>
      </c>
      <c r="FD196">
        <v>1</v>
      </c>
      <c r="FE196">
        <v>0.545</v>
      </c>
      <c r="FF196">
        <v>-0.002</v>
      </c>
      <c r="FG196">
        <v>-1.271</v>
      </c>
      <c r="FH196">
        <v>-0.09</v>
      </c>
      <c r="FI196">
        <v>400</v>
      </c>
      <c r="FJ196">
        <v>10</v>
      </c>
      <c r="FK196">
        <v>0.1</v>
      </c>
      <c r="FL196">
        <v>0.02</v>
      </c>
      <c r="FM196">
        <v>-63.28851707317074</v>
      </c>
      <c r="FN196">
        <v>-0.8785233449474986</v>
      </c>
      <c r="FO196">
        <v>0.2831342480016039</v>
      </c>
      <c r="FP196">
        <v>-1</v>
      </c>
      <c r="FQ196">
        <v>9.065675121951219</v>
      </c>
      <c r="FR196">
        <v>-0.9461945644599217</v>
      </c>
      <c r="FS196">
        <v>0.09635581094585788</v>
      </c>
      <c r="FT196">
        <v>-1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0</v>
      </c>
      <c r="GA196" t="s">
        <v>432</v>
      </c>
      <c r="GB196">
        <v>2.98</v>
      </c>
      <c r="GC196">
        <v>2.70629</v>
      </c>
      <c r="GD196">
        <v>0.183018</v>
      </c>
      <c r="GE196">
        <v>0.187275</v>
      </c>
      <c r="GF196">
        <v>0.087074</v>
      </c>
      <c r="GG196">
        <v>0.052266</v>
      </c>
      <c r="GH196">
        <v>25777.3</v>
      </c>
      <c r="GI196">
        <v>25698.8</v>
      </c>
      <c r="GJ196">
        <v>29341.9</v>
      </c>
      <c r="GK196">
        <v>29255.1</v>
      </c>
      <c r="GL196">
        <v>35474.1</v>
      </c>
      <c r="GM196">
        <v>36927.2</v>
      </c>
      <c r="GN196">
        <v>41302.6</v>
      </c>
      <c r="GO196">
        <v>41751.5</v>
      </c>
      <c r="GP196">
        <v>1.95485</v>
      </c>
      <c r="GQ196">
        <v>1.8373</v>
      </c>
      <c r="GR196">
        <v>-0.0342056</v>
      </c>
      <c r="GS196">
        <v>0</v>
      </c>
      <c r="GT196">
        <v>25.58</v>
      </c>
      <c r="GU196">
        <v>999.9</v>
      </c>
      <c r="GV196">
        <v>38.4</v>
      </c>
      <c r="GW196">
        <v>34</v>
      </c>
      <c r="GX196">
        <v>22.7754</v>
      </c>
      <c r="GY196">
        <v>62.5876</v>
      </c>
      <c r="GZ196">
        <v>35.4006</v>
      </c>
      <c r="HA196">
        <v>1</v>
      </c>
      <c r="HB196">
        <v>0.13673</v>
      </c>
      <c r="HC196">
        <v>2.41057</v>
      </c>
      <c r="HD196">
        <v>20.3166</v>
      </c>
      <c r="HE196">
        <v>5.21744</v>
      </c>
      <c r="HF196">
        <v>12.0099</v>
      </c>
      <c r="HG196">
        <v>4.9888</v>
      </c>
      <c r="HH196">
        <v>3.2885</v>
      </c>
      <c r="HI196">
        <v>855</v>
      </c>
      <c r="HJ196">
        <v>8510.700000000001</v>
      </c>
      <c r="HK196">
        <v>5139.4</v>
      </c>
      <c r="HL196">
        <v>22.9</v>
      </c>
      <c r="HM196">
        <v>1.86752</v>
      </c>
      <c r="HN196">
        <v>1.86646</v>
      </c>
      <c r="HO196">
        <v>1.866</v>
      </c>
      <c r="HP196">
        <v>1.86586</v>
      </c>
      <c r="HQ196">
        <v>1.86775</v>
      </c>
      <c r="HR196">
        <v>1.87026</v>
      </c>
      <c r="HS196">
        <v>1.8689</v>
      </c>
      <c r="HT196">
        <v>1.87027</v>
      </c>
      <c r="HU196">
        <v>0</v>
      </c>
      <c r="HV196">
        <v>0</v>
      </c>
      <c r="HW196">
        <v>0</v>
      </c>
      <c r="HX196">
        <v>0</v>
      </c>
      <c r="HY196" t="s">
        <v>421</v>
      </c>
      <c r="HZ196" t="s">
        <v>422</v>
      </c>
      <c r="IA196" t="s">
        <v>423</v>
      </c>
      <c r="IB196" t="s">
        <v>423</v>
      </c>
      <c r="IC196" t="s">
        <v>423</v>
      </c>
      <c r="ID196" t="s">
        <v>423</v>
      </c>
      <c r="IE196">
        <v>0</v>
      </c>
      <c r="IF196">
        <v>100</v>
      </c>
      <c r="IG196">
        <v>100</v>
      </c>
      <c r="IH196">
        <v>-2.5</v>
      </c>
      <c r="II196">
        <v>0.0025</v>
      </c>
      <c r="IJ196">
        <v>-0.4995723906072</v>
      </c>
      <c r="IK196">
        <v>-0.002077099775823331</v>
      </c>
      <c r="IL196">
        <v>4.593143279902166E-07</v>
      </c>
      <c r="IM196">
        <v>-1.865383991892071E-10</v>
      </c>
      <c r="IN196">
        <v>-0.07605349583632376</v>
      </c>
      <c r="IO196">
        <v>-0.01129461987421345</v>
      </c>
      <c r="IP196">
        <v>0.00116580895745559</v>
      </c>
      <c r="IQ196">
        <v>-1.679085872906199E-05</v>
      </c>
      <c r="IR196">
        <v>2</v>
      </c>
      <c r="IS196">
        <v>2290</v>
      </c>
      <c r="IT196">
        <v>0</v>
      </c>
      <c r="IU196">
        <v>32</v>
      </c>
      <c r="IV196">
        <v>10.4</v>
      </c>
      <c r="IW196">
        <v>10.1</v>
      </c>
      <c r="IX196">
        <v>2.38037</v>
      </c>
      <c r="IY196">
        <v>2.20825</v>
      </c>
      <c r="IZ196">
        <v>1.39648</v>
      </c>
      <c r="JA196">
        <v>2.35962</v>
      </c>
      <c r="JB196">
        <v>1.49536</v>
      </c>
      <c r="JC196">
        <v>2.30347</v>
      </c>
      <c r="JD196">
        <v>38.4769</v>
      </c>
      <c r="JE196">
        <v>24.035</v>
      </c>
      <c r="JF196">
        <v>18</v>
      </c>
      <c r="JG196">
        <v>514.511</v>
      </c>
      <c r="JH196">
        <v>424.518</v>
      </c>
      <c r="JI196">
        <v>22.4954</v>
      </c>
      <c r="JJ196">
        <v>29.0886</v>
      </c>
      <c r="JK196">
        <v>30</v>
      </c>
      <c r="JL196">
        <v>29.09</v>
      </c>
      <c r="JM196">
        <v>29.0316</v>
      </c>
      <c r="JN196">
        <v>47.6233</v>
      </c>
      <c r="JO196">
        <v>53.9182</v>
      </c>
      <c r="JP196">
        <v>0</v>
      </c>
      <c r="JQ196">
        <v>22.4741</v>
      </c>
      <c r="JR196">
        <v>1196.44</v>
      </c>
      <c r="JS196">
        <v>9.4206</v>
      </c>
      <c r="JT196">
        <v>100.3</v>
      </c>
      <c r="JU196">
        <v>100.211</v>
      </c>
    </row>
    <row r="197" spans="1:281">
      <c r="A197">
        <v>181</v>
      </c>
      <c r="B197">
        <v>1651857646.1</v>
      </c>
      <c r="C197">
        <v>645.5</v>
      </c>
      <c r="D197" t="s">
        <v>789</v>
      </c>
      <c r="E197" t="s">
        <v>790</v>
      </c>
      <c r="F197">
        <v>2</v>
      </c>
      <c r="G197" t="s">
        <v>413</v>
      </c>
      <c r="H197" t="s">
        <v>414</v>
      </c>
      <c r="I197">
        <v>1651857644.725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1182.15334084294</v>
      </c>
      <c r="AK197">
        <v>1136.01593939394</v>
      </c>
      <c r="AL197">
        <v>3.362178296478703</v>
      </c>
      <c r="AM197">
        <v>66.38384787954378</v>
      </c>
      <c r="AN197">
        <f>(AP197 - AO197 + DI197*1E3/(8.314*(DK197+273.15)) * AR197/DH197 * AQ197) * DH197/(100*CV197) * 1000/(1000 - AP197)</f>
        <v>0</v>
      </c>
      <c r="AO197">
        <v>9.217436682140649</v>
      </c>
      <c r="AP197">
        <v>18.14486999999999</v>
      </c>
      <c r="AQ197">
        <v>-0.0006047038679430089</v>
      </c>
      <c r="AR197">
        <v>80.44866334591464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417</v>
      </c>
      <c r="AY197" t="s">
        <v>417</v>
      </c>
      <c r="AZ197">
        <v>0</v>
      </c>
      <c r="BA197">
        <v>0</v>
      </c>
      <c r="BB197">
        <f>1-AZ197/BA197</f>
        <v>0</v>
      </c>
      <c r="BC197">
        <v>0</v>
      </c>
      <c r="BD197" t="s">
        <v>417</v>
      </c>
      <c r="BE197" t="s">
        <v>417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1238</v>
      </c>
      <c r="CA197">
        <v>300</v>
      </c>
      <c r="CB197">
        <v>300</v>
      </c>
      <c r="CC197">
        <v>300</v>
      </c>
      <c r="CD197">
        <v>10440.5</v>
      </c>
      <c r="CE197">
        <v>1411.69</v>
      </c>
      <c r="CF197">
        <v>-0.00735121</v>
      </c>
      <c r="CG197">
        <v>-0.77</v>
      </c>
      <c r="CH197" t="s">
        <v>417</v>
      </c>
      <c r="CI197" t="s">
        <v>417</v>
      </c>
      <c r="CJ197" t="s">
        <v>417</v>
      </c>
      <c r="CK197" t="s">
        <v>417</v>
      </c>
      <c r="CL197" t="s">
        <v>417</v>
      </c>
      <c r="CM197" t="s">
        <v>417</v>
      </c>
      <c r="CN197" t="s">
        <v>417</v>
      </c>
      <c r="CO197" t="s">
        <v>417</v>
      </c>
      <c r="CP197" t="s">
        <v>417</v>
      </c>
      <c r="CQ197" t="s">
        <v>417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418</v>
      </c>
      <c r="CY197">
        <v>2</v>
      </c>
      <c r="CZ197" t="b">
        <v>1</v>
      </c>
      <c r="DA197">
        <v>1651857644.725</v>
      </c>
      <c r="DB197">
        <v>1112.51</v>
      </c>
      <c r="DC197">
        <v>1175.775</v>
      </c>
      <c r="DD197">
        <v>18.147925</v>
      </c>
      <c r="DE197">
        <v>9.29213</v>
      </c>
      <c r="DF197">
        <v>1115.0175</v>
      </c>
      <c r="DG197">
        <v>18.145375</v>
      </c>
      <c r="DH197">
        <v>500.04825</v>
      </c>
      <c r="DI197">
        <v>90.08422499999999</v>
      </c>
      <c r="DJ197">
        <v>0.09998552500000001</v>
      </c>
      <c r="DK197">
        <v>25.769275</v>
      </c>
      <c r="DL197">
        <v>25.019825</v>
      </c>
      <c r="DM197">
        <v>999.9</v>
      </c>
      <c r="DN197">
        <v>0</v>
      </c>
      <c r="DO197">
        <v>0</v>
      </c>
      <c r="DP197">
        <v>10012.475</v>
      </c>
      <c r="DQ197">
        <v>0</v>
      </c>
      <c r="DR197">
        <v>3.20383</v>
      </c>
      <c r="DS197">
        <v>-63.263775</v>
      </c>
      <c r="DT197">
        <v>1133.0775</v>
      </c>
      <c r="DU197">
        <v>1186.805</v>
      </c>
      <c r="DV197">
        <v>8.855795000000001</v>
      </c>
      <c r="DW197">
        <v>1175.775</v>
      </c>
      <c r="DX197">
        <v>9.29213</v>
      </c>
      <c r="DY197">
        <v>1.63484</v>
      </c>
      <c r="DZ197">
        <v>0.8370742499999999</v>
      </c>
      <c r="EA197">
        <v>14.2912</v>
      </c>
      <c r="EB197">
        <v>4.3520275</v>
      </c>
      <c r="EC197">
        <v>1500</v>
      </c>
      <c r="ED197">
        <v>0.973007</v>
      </c>
      <c r="EE197">
        <v>0.0269931</v>
      </c>
      <c r="EF197">
        <v>0</v>
      </c>
      <c r="EG197">
        <v>971.722</v>
      </c>
      <c r="EH197">
        <v>5.00097</v>
      </c>
      <c r="EI197">
        <v>14439</v>
      </c>
      <c r="EJ197">
        <v>12491.6</v>
      </c>
      <c r="EK197">
        <v>37.5</v>
      </c>
      <c r="EL197">
        <v>39</v>
      </c>
      <c r="EM197">
        <v>37.875</v>
      </c>
      <c r="EN197">
        <v>38.75</v>
      </c>
      <c r="EO197">
        <v>38.375</v>
      </c>
      <c r="EP197">
        <v>1454.64</v>
      </c>
      <c r="EQ197">
        <v>40.35</v>
      </c>
      <c r="ER197">
        <v>0</v>
      </c>
      <c r="ES197">
        <v>645</v>
      </c>
      <c r="ET197">
        <v>0</v>
      </c>
      <c r="EU197">
        <v>974.9428461538463</v>
      </c>
      <c r="EV197">
        <v>-32.72068375472213</v>
      </c>
      <c r="EW197">
        <v>-478.8923077026681</v>
      </c>
      <c r="EX197">
        <v>14486.5</v>
      </c>
      <c r="EY197">
        <v>15</v>
      </c>
      <c r="EZ197">
        <v>1651857041.1</v>
      </c>
      <c r="FA197" t="s">
        <v>419</v>
      </c>
      <c r="FB197">
        <v>1651857019.6</v>
      </c>
      <c r="FC197">
        <v>1651857041.1</v>
      </c>
      <c r="FD197">
        <v>1</v>
      </c>
      <c r="FE197">
        <v>0.545</v>
      </c>
      <c r="FF197">
        <v>-0.002</v>
      </c>
      <c r="FG197">
        <v>-1.271</v>
      </c>
      <c r="FH197">
        <v>-0.09</v>
      </c>
      <c r="FI197">
        <v>400</v>
      </c>
      <c r="FJ197">
        <v>10</v>
      </c>
      <c r="FK197">
        <v>0.1</v>
      </c>
      <c r="FL197">
        <v>0.02</v>
      </c>
      <c r="FM197">
        <v>-63.3052175</v>
      </c>
      <c r="FN197">
        <v>-0.393441275797193</v>
      </c>
      <c r="FO197">
        <v>0.2767133371266193</v>
      </c>
      <c r="FP197">
        <v>-1</v>
      </c>
      <c r="FQ197">
        <v>9.038993999999999</v>
      </c>
      <c r="FR197">
        <v>-1.057785365853681</v>
      </c>
      <c r="FS197">
        <v>0.1038959390640462</v>
      </c>
      <c r="FT197">
        <v>-1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0</v>
      </c>
      <c r="GA197" t="s">
        <v>432</v>
      </c>
      <c r="GB197">
        <v>2.97998</v>
      </c>
      <c r="GC197">
        <v>2.70637</v>
      </c>
      <c r="GD197">
        <v>0.18371</v>
      </c>
      <c r="GE197">
        <v>0.187959</v>
      </c>
      <c r="GF197">
        <v>0.08706029999999999</v>
      </c>
      <c r="GG197">
        <v>0.0524321</v>
      </c>
      <c r="GH197">
        <v>25755.6</v>
      </c>
      <c r="GI197">
        <v>25677.4</v>
      </c>
      <c r="GJ197">
        <v>29342.1</v>
      </c>
      <c r="GK197">
        <v>29255.4</v>
      </c>
      <c r="GL197">
        <v>35474.9</v>
      </c>
      <c r="GM197">
        <v>36921</v>
      </c>
      <c r="GN197">
        <v>41302.9</v>
      </c>
      <c r="GO197">
        <v>41751.8</v>
      </c>
      <c r="GP197">
        <v>1.95485</v>
      </c>
      <c r="GQ197">
        <v>1.83727</v>
      </c>
      <c r="GR197">
        <v>-0.0341758</v>
      </c>
      <c r="GS197">
        <v>0</v>
      </c>
      <c r="GT197">
        <v>25.58</v>
      </c>
      <c r="GU197">
        <v>999.9</v>
      </c>
      <c r="GV197">
        <v>38.4</v>
      </c>
      <c r="GW197">
        <v>34</v>
      </c>
      <c r="GX197">
        <v>22.7755</v>
      </c>
      <c r="GY197">
        <v>62.2976</v>
      </c>
      <c r="GZ197">
        <v>35.2965</v>
      </c>
      <c r="HA197">
        <v>1</v>
      </c>
      <c r="HB197">
        <v>0.136776</v>
      </c>
      <c r="HC197">
        <v>2.43441</v>
      </c>
      <c r="HD197">
        <v>20.3163</v>
      </c>
      <c r="HE197">
        <v>5.21744</v>
      </c>
      <c r="HF197">
        <v>12.0099</v>
      </c>
      <c r="HG197">
        <v>4.9886</v>
      </c>
      <c r="HH197">
        <v>3.28848</v>
      </c>
      <c r="HI197">
        <v>855.2</v>
      </c>
      <c r="HJ197">
        <v>8512.799999999999</v>
      </c>
      <c r="HK197">
        <v>5139.4</v>
      </c>
      <c r="HL197">
        <v>22.9</v>
      </c>
      <c r="HM197">
        <v>1.86752</v>
      </c>
      <c r="HN197">
        <v>1.86646</v>
      </c>
      <c r="HO197">
        <v>1.866</v>
      </c>
      <c r="HP197">
        <v>1.86585</v>
      </c>
      <c r="HQ197">
        <v>1.86774</v>
      </c>
      <c r="HR197">
        <v>1.87027</v>
      </c>
      <c r="HS197">
        <v>1.8689</v>
      </c>
      <c r="HT197">
        <v>1.87027</v>
      </c>
      <c r="HU197">
        <v>0</v>
      </c>
      <c r="HV197">
        <v>0</v>
      </c>
      <c r="HW197">
        <v>0</v>
      </c>
      <c r="HX197">
        <v>0</v>
      </c>
      <c r="HY197" t="s">
        <v>421</v>
      </c>
      <c r="HZ197" t="s">
        <v>422</v>
      </c>
      <c r="IA197" t="s">
        <v>423</v>
      </c>
      <c r="IB197" t="s">
        <v>423</v>
      </c>
      <c r="IC197" t="s">
        <v>423</v>
      </c>
      <c r="ID197" t="s">
        <v>423</v>
      </c>
      <c r="IE197">
        <v>0</v>
      </c>
      <c r="IF197">
        <v>100</v>
      </c>
      <c r="IG197">
        <v>100</v>
      </c>
      <c r="IH197">
        <v>-2.51</v>
      </c>
      <c r="II197">
        <v>0.0024</v>
      </c>
      <c r="IJ197">
        <v>-0.4995723906072</v>
      </c>
      <c r="IK197">
        <v>-0.002077099775823331</v>
      </c>
      <c r="IL197">
        <v>4.593143279902166E-07</v>
      </c>
      <c r="IM197">
        <v>-1.865383991892071E-10</v>
      </c>
      <c r="IN197">
        <v>-0.07605349583632376</v>
      </c>
      <c r="IO197">
        <v>-0.01129461987421345</v>
      </c>
      <c r="IP197">
        <v>0.00116580895745559</v>
      </c>
      <c r="IQ197">
        <v>-1.679085872906199E-05</v>
      </c>
      <c r="IR197">
        <v>2</v>
      </c>
      <c r="IS197">
        <v>2290</v>
      </c>
      <c r="IT197">
        <v>0</v>
      </c>
      <c r="IU197">
        <v>32</v>
      </c>
      <c r="IV197">
        <v>10.4</v>
      </c>
      <c r="IW197">
        <v>10.1</v>
      </c>
      <c r="IX197">
        <v>2.39014</v>
      </c>
      <c r="IY197">
        <v>2.20337</v>
      </c>
      <c r="IZ197">
        <v>1.39648</v>
      </c>
      <c r="JA197">
        <v>2.35962</v>
      </c>
      <c r="JB197">
        <v>1.49536</v>
      </c>
      <c r="JC197">
        <v>2.35352</v>
      </c>
      <c r="JD197">
        <v>38.4769</v>
      </c>
      <c r="JE197">
        <v>24.0437</v>
      </c>
      <c r="JF197">
        <v>18</v>
      </c>
      <c r="JG197">
        <v>514.511</v>
      </c>
      <c r="JH197">
        <v>424.503</v>
      </c>
      <c r="JI197">
        <v>22.487</v>
      </c>
      <c r="JJ197">
        <v>29.0876</v>
      </c>
      <c r="JK197">
        <v>30.0001</v>
      </c>
      <c r="JL197">
        <v>29.09</v>
      </c>
      <c r="JM197">
        <v>29.0316</v>
      </c>
      <c r="JN197">
        <v>47.8382</v>
      </c>
      <c r="JO197">
        <v>53.6461</v>
      </c>
      <c r="JP197">
        <v>0</v>
      </c>
      <c r="JQ197">
        <v>22.4741</v>
      </c>
      <c r="JR197">
        <v>1203.13</v>
      </c>
      <c r="JS197">
        <v>9.44782</v>
      </c>
      <c r="JT197">
        <v>100.301</v>
      </c>
      <c r="JU197">
        <v>100.212</v>
      </c>
    </row>
    <row r="198" spans="1:281">
      <c r="A198">
        <v>182</v>
      </c>
      <c r="B198">
        <v>1651857648.1</v>
      </c>
      <c r="C198">
        <v>647.5</v>
      </c>
      <c r="D198" t="s">
        <v>791</v>
      </c>
      <c r="E198" t="s">
        <v>792</v>
      </c>
      <c r="F198">
        <v>2</v>
      </c>
      <c r="G198" t="s">
        <v>413</v>
      </c>
      <c r="H198" t="s">
        <v>414</v>
      </c>
      <c r="I198">
        <v>1651857647.1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1188.842857044218</v>
      </c>
      <c r="AK198">
        <v>1142.781333333334</v>
      </c>
      <c r="AL198">
        <v>3.373337698261085</v>
      </c>
      <c r="AM198">
        <v>66.38384787954378</v>
      </c>
      <c r="AN198">
        <f>(AP198 - AO198 + DI198*1E3/(8.314*(DK198+273.15)) * AR198/DH198 * AQ198) * DH198/(100*CV198) * 1000/(1000 - AP198)</f>
        <v>0</v>
      </c>
      <c r="AO198">
        <v>9.266481765416977</v>
      </c>
      <c r="AP198">
        <v>18.14187294117647</v>
      </c>
      <c r="AQ198">
        <v>-0.0006439860814376797</v>
      </c>
      <c r="AR198">
        <v>80.44866334591464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417</v>
      </c>
      <c r="AY198" t="s">
        <v>417</v>
      </c>
      <c r="AZ198">
        <v>0</v>
      </c>
      <c r="BA198">
        <v>0</v>
      </c>
      <c r="BB198">
        <f>1-AZ198/BA198</f>
        <v>0</v>
      </c>
      <c r="BC198">
        <v>0</v>
      </c>
      <c r="BD198" t="s">
        <v>417</v>
      </c>
      <c r="BE198" t="s">
        <v>417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1238</v>
      </c>
      <c r="CA198">
        <v>300</v>
      </c>
      <c r="CB198">
        <v>300</v>
      </c>
      <c r="CC198">
        <v>300</v>
      </c>
      <c r="CD198">
        <v>10440.5</v>
      </c>
      <c r="CE198">
        <v>1411.69</v>
      </c>
      <c r="CF198">
        <v>-0.00735121</v>
      </c>
      <c r="CG198">
        <v>-0.77</v>
      </c>
      <c r="CH198" t="s">
        <v>417</v>
      </c>
      <c r="CI198" t="s">
        <v>417</v>
      </c>
      <c r="CJ198" t="s">
        <v>417</v>
      </c>
      <c r="CK198" t="s">
        <v>417</v>
      </c>
      <c r="CL198" t="s">
        <v>417</v>
      </c>
      <c r="CM198" t="s">
        <v>417</v>
      </c>
      <c r="CN198" t="s">
        <v>417</v>
      </c>
      <c r="CO198" t="s">
        <v>417</v>
      </c>
      <c r="CP198" t="s">
        <v>417</v>
      </c>
      <c r="CQ198" t="s">
        <v>417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418</v>
      </c>
      <c r="CY198">
        <v>2</v>
      </c>
      <c r="CZ198" t="b">
        <v>1</v>
      </c>
      <c r="DA198">
        <v>1651857647.1</v>
      </c>
      <c r="DB198">
        <v>1120.39</v>
      </c>
      <c r="DC198">
        <v>1183.82</v>
      </c>
      <c r="DD198">
        <v>18.1429</v>
      </c>
      <c r="DE198">
        <v>9.323726666666666</v>
      </c>
      <c r="DF198">
        <v>1122.91</v>
      </c>
      <c r="DG198">
        <v>18.14043333333333</v>
      </c>
      <c r="DH198">
        <v>500.0586666666666</v>
      </c>
      <c r="DI198">
        <v>90.08596666666666</v>
      </c>
      <c r="DJ198">
        <v>0.1002583333333333</v>
      </c>
      <c r="DK198">
        <v>25.76956666666667</v>
      </c>
      <c r="DL198">
        <v>25.02226666666667</v>
      </c>
      <c r="DM198">
        <v>999.9</v>
      </c>
      <c r="DN198">
        <v>0</v>
      </c>
      <c r="DO198">
        <v>0</v>
      </c>
      <c r="DP198">
        <v>9987.5</v>
      </c>
      <c r="DQ198">
        <v>0</v>
      </c>
      <c r="DR198">
        <v>3.20383</v>
      </c>
      <c r="DS198">
        <v>-63.42746666666667</v>
      </c>
      <c r="DT198">
        <v>1141.093333333333</v>
      </c>
      <c r="DU198">
        <v>1194.963333333333</v>
      </c>
      <c r="DV198">
        <v>8.819166666666666</v>
      </c>
      <c r="DW198">
        <v>1183.82</v>
      </c>
      <c r="DX198">
        <v>9.323726666666666</v>
      </c>
      <c r="DY198">
        <v>1.63442</v>
      </c>
      <c r="DZ198">
        <v>0.839937</v>
      </c>
      <c r="EA198">
        <v>14.28723333333333</v>
      </c>
      <c r="EB198">
        <v>4.40078</v>
      </c>
      <c r="EC198">
        <v>1499.993333333333</v>
      </c>
      <c r="ED198">
        <v>0.973007</v>
      </c>
      <c r="EE198">
        <v>0.0269931</v>
      </c>
      <c r="EF198">
        <v>0</v>
      </c>
      <c r="EG198">
        <v>970.0056666666666</v>
      </c>
      <c r="EH198">
        <v>5.00097</v>
      </c>
      <c r="EI198">
        <v>14418.26666666667</v>
      </c>
      <c r="EJ198">
        <v>12491.6</v>
      </c>
      <c r="EK198">
        <v>37.5</v>
      </c>
      <c r="EL198">
        <v>39</v>
      </c>
      <c r="EM198">
        <v>37.875</v>
      </c>
      <c r="EN198">
        <v>38.75</v>
      </c>
      <c r="EO198">
        <v>38.375</v>
      </c>
      <c r="EP198">
        <v>1454.633333333333</v>
      </c>
      <c r="EQ198">
        <v>40.35</v>
      </c>
      <c r="ER198">
        <v>0</v>
      </c>
      <c r="ES198">
        <v>647.4000000953674</v>
      </c>
      <c r="ET198">
        <v>0</v>
      </c>
      <c r="EU198">
        <v>973.6375384615385</v>
      </c>
      <c r="EV198">
        <v>-33.1414016624697</v>
      </c>
      <c r="EW198">
        <v>-473.4085463678007</v>
      </c>
      <c r="EX198">
        <v>14467.45384615385</v>
      </c>
      <c r="EY198">
        <v>15</v>
      </c>
      <c r="EZ198">
        <v>1651857041.1</v>
      </c>
      <c r="FA198" t="s">
        <v>419</v>
      </c>
      <c r="FB198">
        <v>1651857019.6</v>
      </c>
      <c r="FC198">
        <v>1651857041.1</v>
      </c>
      <c r="FD198">
        <v>1</v>
      </c>
      <c r="FE198">
        <v>0.545</v>
      </c>
      <c r="FF198">
        <v>-0.002</v>
      </c>
      <c r="FG198">
        <v>-1.271</v>
      </c>
      <c r="FH198">
        <v>-0.09</v>
      </c>
      <c r="FI198">
        <v>400</v>
      </c>
      <c r="FJ198">
        <v>10</v>
      </c>
      <c r="FK198">
        <v>0.1</v>
      </c>
      <c r="FL198">
        <v>0.02</v>
      </c>
      <c r="FM198">
        <v>-63.3246292682927</v>
      </c>
      <c r="FN198">
        <v>-0.345719163763128</v>
      </c>
      <c r="FO198">
        <v>0.2717658651943443</v>
      </c>
      <c r="FP198">
        <v>-1</v>
      </c>
      <c r="FQ198">
        <v>8.999944146341463</v>
      </c>
      <c r="FR198">
        <v>-1.137276167247365</v>
      </c>
      <c r="FS198">
        <v>0.1135927706600314</v>
      </c>
      <c r="FT198">
        <v>-1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0</v>
      </c>
      <c r="GA198" t="s">
        <v>432</v>
      </c>
      <c r="GB198">
        <v>2.97992</v>
      </c>
      <c r="GC198">
        <v>2.70625</v>
      </c>
      <c r="GD198">
        <v>0.184403</v>
      </c>
      <c r="GE198">
        <v>0.188642</v>
      </c>
      <c r="GF198">
        <v>0.0870504</v>
      </c>
      <c r="GG198">
        <v>0.0525236</v>
      </c>
      <c r="GH198">
        <v>25733.6</v>
      </c>
      <c r="GI198">
        <v>25656</v>
      </c>
      <c r="GJ198">
        <v>29341.9</v>
      </c>
      <c r="GK198">
        <v>29255.7</v>
      </c>
      <c r="GL198">
        <v>35474.9</v>
      </c>
      <c r="GM198">
        <v>36917.7</v>
      </c>
      <c r="GN198">
        <v>41302.4</v>
      </c>
      <c r="GO198">
        <v>41752.2</v>
      </c>
      <c r="GP198">
        <v>1.9548</v>
      </c>
      <c r="GQ198">
        <v>1.83748</v>
      </c>
      <c r="GR198">
        <v>-0.0339523</v>
      </c>
      <c r="GS198">
        <v>0</v>
      </c>
      <c r="GT198">
        <v>25.58</v>
      </c>
      <c r="GU198">
        <v>999.9</v>
      </c>
      <c r="GV198">
        <v>38.4</v>
      </c>
      <c r="GW198">
        <v>34</v>
      </c>
      <c r="GX198">
        <v>22.7738</v>
      </c>
      <c r="GY198">
        <v>62.3976</v>
      </c>
      <c r="GZ198">
        <v>35.3926</v>
      </c>
      <c r="HA198">
        <v>1</v>
      </c>
      <c r="HB198">
        <v>0.136837</v>
      </c>
      <c r="HC198">
        <v>2.4293</v>
      </c>
      <c r="HD198">
        <v>20.3163</v>
      </c>
      <c r="HE198">
        <v>5.21699</v>
      </c>
      <c r="HF198">
        <v>12.0099</v>
      </c>
      <c r="HG198">
        <v>4.9883</v>
      </c>
      <c r="HH198">
        <v>3.28845</v>
      </c>
      <c r="HI198">
        <v>855.2</v>
      </c>
      <c r="HJ198">
        <v>8512.799999999999</v>
      </c>
      <c r="HK198">
        <v>5139.4</v>
      </c>
      <c r="HL198">
        <v>22.9</v>
      </c>
      <c r="HM198">
        <v>1.86752</v>
      </c>
      <c r="HN198">
        <v>1.86647</v>
      </c>
      <c r="HO198">
        <v>1.866</v>
      </c>
      <c r="HP198">
        <v>1.86586</v>
      </c>
      <c r="HQ198">
        <v>1.86774</v>
      </c>
      <c r="HR198">
        <v>1.87027</v>
      </c>
      <c r="HS198">
        <v>1.8689</v>
      </c>
      <c r="HT198">
        <v>1.87027</v>
      </c>
      <c r="HU198">
        <v>0</v>
      </c>
      <c r="HV198">
        <v>0</v>
      </c>
      <c r="HW198">
        <v>0</v>
      </c>
      <c r="HX198">
        <v>0</v>
      </c>
      <c r="HY198" t="s">
        <v>421</v>
      </c>
      <c r="HZ198" t="s">
        <v>422</v>
      </c>
      <c r="IA198" t="s">
        <v>423</v>
      </c>
      <c r="IB198" t="s">
        <v>423</v>
      </c>
      <c r="IC198" t="s">
        <v>423</v>
      </c>
      <c r="ID198" t="s">
        <v>423</v>
      </c>
      <c r="IE198">
        <v>0</v>
      </c>
      <c r="IF198">
        <v>100</v>
      </c>
      <c r="IG198">
        <v>100</v>
      </c>
      <c r="IH198">
        <v>-2.52</v>
      </c>
      <c r="II198">
        <v>0.0024</v>
      </c>
      <c r="IJ198">
        <v>-0.4995723906072</v>
      </c>
      <c r="IK198">
        <v>-0.002077099775823331</v>
      </c>
      <c r="IL198">
        <v>4.593143279902166E-07</v>
      </c>
      <c r="IM198">
        <v>-1.865383991892071E-10</v>
      </c>
      <c r="IN198">
        <v>-0.07605349583632376</v>
      </c>
      <c r="IO198">
        <v>-0.01129461987421345</v>
      </c>
      <c r="IP198">
        <v>0.00116580895745559</v>
      </c>
      <c r="IQ198">
        <v>-1.679085872906199E-05</v>
      </c>
      <c r="IR198">
        <v>2</v>
      </c>
      <c r="IS198">
        <v>2290</v>
      </c>
      <c r="IT198">
        <v>0</v>
      </c>
      <c r="IU198">
        <v>32</v>
      </c>
      <c r="IV198">
        <v>10.5</v>
      </c>
      <c r="IW198">
        <v>10.1</v>
      </c>
      <c r="IX198">
        <v>2.40112</v>
      </c>
      <c r="IY198">
        <v>2.21313</v>
      </c>
      <c r="IZ198">
        <v>1.39648</v>
      </c>
      <c r="JA198">
        <v>2.3584</v>
      </c>
      <c r="JB198">
        <v>1.49536</v>
      </c>
      <c r="JC198">
        <v>2.28149</v>
      </c>
      <c r="JD198">
        <v>38.4769</v>
      </c>
      <c r="JE198">
        <v>24.035</v>
      </c>
      <c r="JF198">
        <v>18</v>
      </c>
      <c r="JG198">
        <v>514.478</v>
      </c>
      <c r="JH198">
        <v>424.621</v>
      </c>
      <c r="JI198">
        <v>22.4772</v>
      </c>
      <c r="JJ198">
        <v>29.0863</v>
      </c>
      <c r="JK198">
        <v>30.0001</v>
      </c>
      <c r="JL198">
        <v>29.09</v>
      </c>
      <c r="JM198">
        <v>29.0314</v>
      </c>
      <c r="JN198">
        <v>48.0554</v>
      </c>
      <c r="JO198">
        <v>53.6461</v>
      </c>
      <c r="JP198">
        <v>0</v>
      </c>
      <c r="JQ198">
        <v>22.4533</v>
      </c>
      <c r="JR198">
        <v>1209.83</v>
      </c>
      <c r="JS198">
        <v>9.48457</v>
      </c>
      <c r="JT198">
        <v>100.3</v>
      </c>
      <c r="JU198">
        <v>100.213</v>
      </c>
    </row>
    <row r="199" spans="1:281">
      <c r="A199">
        <v>183</v>
      </c>
      <c r="B199">
        <v>1651857650.1</v>
      </c>
      <c r="C199">
        <v>649.5</v>
      </c>
      <c r="D199" t="s">
        <v>793</v>
      </c>
      <c r="E199" t="s">
        <v>794</v>
      </c>
      <c r="F199">
        <v>2</v>
      </c>
      <c r="G199" t="s">
        <v>413</v>
      </c>
      <c r="H199" t="s">
        <v>414</v>
      </c>
      <c r="I199">
        <v>1651857648.725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1195.754256669004</v>
      </c>
      <c r="AK199">
        <v>1149.530484848485</v>
      </c>
      <c r="AL199">
        <v>3.378544164907669</v>
      </c>
      <c r="AM199">
        <v>66.38384787954378</v>
      </c>
      <c r="AN199">
        <f>(AP199 - AO199 + DI199*1E3/(8.314*(DK199+273.15)) * AR199/DH199 * AQ199) * DH199/(100*CV199) * 1000/(1000 - AP199)</f>
        <v>0</v>
      </c>
      <c r="AO199">
        <v>9.306190604916321</v>
      </c>
      <c r="AP199">
        <v>18.14114911764706</v>
      </c>
      <c r="AQ199">
        <v>-0.0005216207273271462</v>
      </c>
      <c r="AR199">
        <v>80.44866334591464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417</v>
      </c>
      <c r="AY199" t="s">
        <v>417</v>
      </c>
      <c r="AZ199">
        <v>0</v>
      </c>
      <c r="BA199">
        <v>0</v>
      </c>
      <c r="BB199">
        <f>1-AZ199/BA199</f>
        <v>0</v>
      </c>
      <c r="BC199">
        <v>0</v>
      </c>
      <c r="BD199" t="s">
        <v>417</v>
      </c>
      <c r="BE199" t="s">
        <v>417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1238</v>
      </c>
      <c r="CA199">
        <v>300</v>
      </c>
      <c r="CB199">
        <v>300</v>
      </c>
      <c r="CC199">
        <v>300</v>
      </c>
      <c r="CD199">
        <v>10440.5</v>
      </c>
      <c r="CE199">
        <v>1411.69</v>
      </c>
      <c r="CF199">
        <v>-0.00735121</v>
      </c>
      <c r="CG199">
        <v>-0.77</v>
      </c>
      <c r="CH199" t="s">
        <v>417</v>
      </c>
      <c r="CI199" t="s">
        <v>417</v>
      </c>
      <c r="CJ199" t="s">
        <v>417</v>
      </c>
      <c r="CK199" t="s">
        <v>417</v>
      </c>
      <c r="CL199" t="s">
        <v>417</v>
      </c>
      <c r="CM199" t="s">
        <v>417</v>
      </c>
      <c r="CN199" t="s">
        <v>417</v>
      </c>
      <c r="CO199" t="s">
        <v>417</v>
      </c>
      <c r="CP199" t="s">
        <v>417</v>
      </c>
      <c r="CQ199" t="s">
        <v>417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418</v>
      </c>
      <c r="CY199">
        <v>2</v>
      </c>
      <c r="CZ199" t="b">
        <v>1</v>
      </c>
      <c r="DA199">
        <v>1651857648.725</v>
      </c>
      <c r="DB199">
        <v>1125.7775</v>
      </c>
      <c r="DC199">
        <v>1189.3075</v>
      </c>
      <c r="DD199">
        <v>18.141425</v>
      </c>
      <c r="DE199">
        <v>9.344362499999999</v>
      </c>
      <c r="DF199">
        <v>1128.3025</v>
      </c>
      <c r="DG199">
        <v>18.139025</v>
      </c>
      <c r="DH199">
        <v>500.0435</v>
      </c>
      <c r="DI199">
        <v>90.08642499999999</v>
      </c>
      <c r="DJ199">
        <v>0.09990297499999999</v>
      </c>
      <c r="DK199">
        <v>25.770225</v>
      </c>
      <c r="DL199">
        <v>25.02355</v>
      </c>
      <c r="DM199">
        <v>999.9</v>
      </c>
      <c r="DN199">
        <v>0</v>
      </c>
      <c r="DO199">
        <v>0</v>
      </c>
      <c r="DP199">
        <v>10009.6625</v>
      </c>
      <c r="DQ199">
        <v>0</v>
      </c>
      <c r="DR199">
        <v>3.20383</v>
      </c>
      <c r="DS199">
        <v>-63.529925</v>
      </c>
      <c r="DT199">
        <v>1146.575</v>
      </c>
      <c r="DU199">
        <v>1200.525</v>
      </c>
      <c r="DV199">
        <v>8.797072499999999</v>
      </c>
      <c r="DW199">
        <v>1189.3075</v>
      </c>
      <c r="DX199">
        <v>9.344362499999999</v>
      </c>
      <c r="DY199">
        <v>1.634295</v>
      </c>
      <c r="DZ199">
        <v>0.84180025</v>
      </c>
      <c r="EA199">
        <v>14.28605</v>
      </c>
      <c r="EB199">
        <v>4.43241</v>
      </c>
      <c r="EC199">
        <v>1499.99</v>
      </c>
      <c r="ED199">
        <v>0.973007</v>
      </c>
      <c r="EE199">
        <v>0.0269931</v>
      </c>
      <c r="EF199">
        <v>0</v>
      </c>
      <c r="EG199">
        <v>969.4699999999999</v>
      </c>
      <c r="EH199">
        <v>5.00097</v>
      </c>
      <c r="EI199">
        <v>14406.2</v>
      </c>
      <c r="EJ199">
        <v>12491.55</v>
      </c>
      <c r="EK199">
        <v>37.5</v>
      </c>
      <c r="EL199">
        <v>39</v>
      </c>
      <c r="EM199">
        <v>37.875</v>
      </c>
      <c r="EN199">
        <v>38.75</v>
      </c>
      <c r="EO199">
        <v>38.375</v>
      </c>
      <c r="EP199">
        <v>1454.63</v>
      </c>
      <c r="EQ199">
        <v>40.35</v>
      </c>
      <c r="ER199">
        <v>0</v>
      </c>
      <c r="ES199">
        <v>649.2000000476837</v>
      </c>
      <c r="ET199">
        <v>0</v>
      </c>
      <c r="EU199">
        <v>972.49072</v>
      </c>
      <c r="EV199">
        <v>-33.19523081873353</v>
      </c>
      <c r="EW199">
        <v>-468.8923084084634</v>
      </c>
      <c r="EX199">
        <v>14450.868</v>
      </c>
      <c r="EY199">
        <v>15</v>
      </c>
      <c r="EZ199">
        <v>1651857041.1</v>
      </c>
      <c r="FA199" t="s">
        <v>419</v>
      </c>
      <c r="FB199">
        <v>1651857019.6</v>
      </c>
      <c r="FC199">
        <v>1651857041.1</v>
      </c>
      <c r="FD199">
        <v>1</v>
      </c>
      <c r="FE199">
        <v>0.545</v>
      </c>
      <c r="FF199">
        <v>-0.002</v>
      </c>
      <c r="FG199">
        <v>-1.271</v>
      </c>
      <c r="FH199">
        <v>-0.09</v>
      </c>
      <c r="FI199">
        <v>400</v>
      </c>
      <c r="FJ199">
        <v>10</v>
      </c>
      <c r="FK199">
        <v>0.1</v>
      </c>
      <c r="FL199">
        <v>0.02</v>
      </c>
      <c r="FM199">
        <v>-63.3689675</v>
      </c>
      <c r="FN199">
        <v>-0.05150206378969643</v>
      </c>
      <c r="FO199">
        <v>0.2604919033170706</v>
      </c>
      <c r="FP199">
        <v>-1</v>
      </c>
      <c r="FQ199">
        <v>8.967377750000001</v>
      </c>
      <c r="FR199">
        <v>-1.129658724202669</v>
      </c>
      <c r="FS199">
        <v>0.1101569325437011</v>
      </c>
      <c r="FT199">
        <v>-1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0</v>
      </c>
      <c r="GA199" t="s">
        <v>432</v>
      </c>
      <c r="GB199">
        <v>2.97997</v>
      </c>
      <c r="GC199">
        <v>2.70607</v>
      </c>
      <c r="GD199">
        <v>0.185093</v>
      </c>
      <c r="GE199">
        <v>0.189318</v>
      </c>
      <c r="GF199">
        <v>0.0870457</v>
      </c>
      <c r="GG199">
        <v>0.052646</v>
      </c>
      <c r="GH199">
        <v>25711.6</v>
      </c>
      <c r="GI199">
        <v>25635</v>
      </c>
      <c r="GJ199">
        <v>29341.6</v>
      </c>
      <c r="GK199">
        <v>29256.1</v>
      </c>
      <c r="GL199">
        <v>35475</v>
      </c>
      <c r="GM199">
        <v>36913.4</v>
      </c>
      <c r="GN199">
        <v>41302.3</v>
      </c>
      <c r="GO199">
        <v>41752.7</v>
      </c>
      <c r="GP199">
        <v>1.9546</v>
      </c>
      <c r="GQ199">
        <v>1.83773</v>
      </c>
      <c r="GR199">
        <v>-0.0340864</v>
      </c>
      <c r="GS199">
        <v>0</v>
      </c>
      <c r="GT199">
        <v>25.58</v>
      </c>
      <c r="GU199">
        <v>999.9</v>
      </c>
      <c r="GV199">
        <v>38.4</v>
      </c>
      <c r="GW199">
        <v>34</v>
      </c>
      <c r="GX199">
        <v>22.7734</v>
      </c>
      <c r="GY199">
        <v>62.4376</v>
      </c>
      <c r="GZ199">
        <v>35.3646</v>
      </c>
      <c r="HA199">
        <v>1</v>
      </c>
      <c r="HB199">
        <v>0.136822</v>
      </c>
      <c r="HC199">
        <v>2.44117</v>
      </c>
      <c r="HD199">
        <v>20.3163</v>
      </c>
      <c r="HE199">
        <v>5.21654</v>
      </c>
      <c r="HF199">
        <v>12.0099</v>
      </c>
      <c r="HG199">
        <v>4.9883</v>
      </c>
      <c r="HH199">
        <v>3.28845</v>
      </c>
      <c r="HI199">
        <v>855.2</v>
      </c>
      <c r="HJ199">
        <v>8512.799999999999</v>
      </c>
      <c r="HK199">
        <v>5139.4</v>
      </c>
      <c r="HL199">
        <v>22.9</v>
      </c>
      <c r="HM199">
        <v>1.86752</v>
      </c>
      <c r="HN199">
        <v>1.86647</v>
      </c>
      <c r="HO199">
        <v>1.866</v>
      </c>
      <c r="HP199">
        <v>1.86588</v>
      </c>
      <c r="HQ199">
        <v>1.86775</v>
      </c>
      <c r="HR199">
        <v>1.87027</v>
      </c>
      <c r="HS199">
        <v>1.8689</v>
      </c>
      <c r="HT199">
        <v>1.87027</v>
      </c>
      <c r="HU199">
        <v>0</v>
      </c>
      <c r="HV199">
        <v>0</v>
      </c>
      <c r="HW199">
        <v>0</v>
      </c>
      <c r="HX199">
        <v>0</v>
      </c>
      <c r="HY199" t="s">
        <v>421</v>
      </c>
      <c r="HZ199" t="s">
        <v>422</v>
      </c>
      <c r="IA199" t="s">
        <v>423</v>
      </c>
      <c r="IB199" t="s">
        <v>423</v>
      </c>
      <c r="IC199" t="s">
        <v>423</v>
      </c>
      <c r="ID199" t="s">
        <v>423</v>
      </c>
      <c r="IE199">
        <v>0</v>
      </c>
      <c r="IF199">
        <v>100</v>
      </c>
      <c r="IG199">
        <v>100</v>
      </c>
      <c r="IH199">
        <v>-2.54</v>
      </c>
      <c r="II199">
        <v>0.0024</v>
      </c>
      <c r="IJ199">
        <v>-0.4995723906072</v>
      </c>
      <c r="IK199">
        <v>-0.002077099775823331</v>
      </c>
      <c r="IL199">
        <v>4.593143279902166E-07</v>
      </c>
      <c r="IM199">
        <v>-1.865383991892071E-10</v>
      </c>
      <c r="IN199">
        <v>-0.07605349583632376</v>
      </c>
      <c r="IO199">
        <v>-0.01129461987421345</v>
      </c>
      <c r="IP199">
        <v>0.00116580895745559</v>
      </c>
      <c r="IQ199">
        <v>-1.679085872906199E-05</v>
      </c>
      <c r="IR199">
        <v>2</v>
      </c>
      <c r="IS199">
        <v>2290</v>
      </c>
      <c r="IT199">
        <v>0</v>
      </c>
      <c r="IU199">
        <v>32</v>
      </c>
      <c r="IV199">
        <v>10.5</v>
      </c>
      <c r="IW199">
        <v>10.2</v>
      </c>
      <c r="IX199">
        <v>2.41211</v>
      </c>
      <c r="IY199">
        <v>2.20093</v>
      </c>
      <c r="IZ199">
        <v>1.39648</v>
      </c>
      <c r="JA199">
        <v>2.35962</v>
      </c>
      <c r="JB199">
        <v>1.49536</v>
      </c>
      <c r="JC199">
        <v>2.37183</v>
      </c>
      <c r="JD199">
        <v>38.4769</v>
      </c>
      <c r="JE199">
        <v>24.0437</v>
      </c>
      <c r="JF199">
        <v>18</v>
      </c>
      <c r="JG199">
        <v>514.343</v>
      </c>
      <c r="JH199">
        <v>424.761</v>
      </c>
      <c r="JI199">
        <v>22.4697</v>
      </c>
      <c r="JJ199">
        <v>29.0861</v>
      </c>
      <c r="JK199">
        <v>30.0001</v>
      </c>
      <c r="JL199">
        <v>29.0897</v>
      </c>
      <c r="JM199">
        <v>29.0302</v>
      </c>
      <c r="JN199">
        <v>48.2701</v>
      </c>
      <c r="JO199">
        <v>53.3692</v>
      </c>
      <c r="JP199">
        <v>0</v>
      </c>
      <c r="JQ199">
        <v>22.4533</v>
      </c>
      <c r="JR199">
        <v>1216.52</v>
      </c>
      <c r="JS199">
        <v>9.510429999999999</v>
      </c>
      <c r="JT199">
        <v>100.299</v>
      </c>
      <c r="JU199">
        <v>100.214</v>
      </c>
    </row>
    <row r="200" spans="1:281">
      <c r="A200">
        <v>184</v>
      </c>
      <c r="B200">
        <v>1651857652.1</v>
      </c>
      <c r="C200">
        <v>651.5</v>
      </c>
      <c r="D200" t="s">
        <v>795</v>
      </c>
      <c r="E200" t="s">
        <v>796</v>
      </c>
      <c r="F200">
        <v>2</v>
      </c>
      <c r="G200" t="s">
        <v>413</v>
      </c>
      <c r="H200" t="s">
        <v>414</v>
      </c>
      <c r="I200">
        <v>1651857651.1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1202.592163880977</v>
      </c>
      <c r="AK200">
        <v>1156.296242424242</v>
      </c>
      <c r="AL200">
        <v>3.381943659664138</v>
      </c>
      <c r="AM200">
        <v>66.38384787954378</v>
      </c>
      <c r="AN200">
        <f>(AP200 - AO200 + DI200*1E3/(8.314*(DK200+273.15)) * AR200/DH200 * AQ200) * DH200/(100*CV200) * 1000/(1000 - AP200)</f>
        <v>0</v>
      </c>
      <c r="AO200">
        <v>9.329692370244951</v>
      </c>
      <c r="AP200">
        <v>18.13826470588235</v>
      </c>
      <c r="AQ200">
        <v>-0.0001962511626759605</v>
      </c>
      <c r="AR200">
        <v>80.44866334591464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417</v>
      </c>
      <c r="AY200" t="s">
        <v>417</v>
      </c>
      <c r="AZ200">
        <v>0</v>
      </c>
      <c r="BA200">
        <v>0</v>
      </c>
      <c r="BB200">
        <f>1-AZ200/BA200</f>
        <v>0</v>
      </c>
      <c r="BC200">
        <v>0</v>
      </c>
      <c r="BD200" t="s">
        <v>417</v>
      </c>
      <c r="BE200" t="s">
        <v>417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1238</v>
      </c>
      <c r="CA200">
        <v>300</v>
      </c>
      <c r="CB200">
        <v>300</v>
      </c>
      <c r="CC200">
        <v>300</v>
      </c>
      <c r="CD200">
        <v>10440.5</v>
      </c>
      <c r="CE200">
        <v>1411.69</v>
      </c>
      <c r="CF200">
        <v>-0.00735121</v>
      </c>
      <c r="CG200">
        <v>-0.77</v>
      </c>
      <c r="CH200" t="s">
        <v>417</v>
      </c>
      <c r="CI200" t="s">
        <v>417</v>
      </c>
      <c r="CJ200" t="s">
        <v>417</v>
      </c>
      <c r="CK200" t="s">
        <v>417</v>
      </c>
      <c r="CL200" t="s">
        <v>417</v>
      </c>
      <c r="CM200" t="s">
        <v>417</v>
      </c>
      <c r="CN200" t="s">
        <v>417</v>
      </c>
      <c r="CO200" t="s">
        <v>417</v>
      </c>
      <c r="CP200" t="s">
        <v>417</v>
      </c>
      <c r="CQ200" t="s">
        <v>417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418</v>
      </c>
      <c r="CY200">
        <v>2</v>
      </c>
      <c r="CZ200" t="b">
        <v>1</v>
      </c>
      <c r="DA200">
        <v>1651857651.1</v>
      </c>
      <c r="DB200">
        <v>1133.656666666667</v>
      </c>
      <c r="DC200">
        <v>1197.24</v>
      </c>
      <c r="DD200">
        <v>18.13856666666667</v>
      </c>
      <c r="DE200">
        <v>9.377920000000001</v>
      </c>
      <c r="DF200">
        <v>1136.196666666667</v>
      </c>
      <c r="DG200">
        <v>18.13616666666667</v>
      </c>
      <c r="DH200">
        <v>500.026</v>
      </c>
      <c r="DI200">
        <v>90.08896666666668</v>
      </c>
      <c r="DJ200">
        <v>0.09999583333333334</v>
      </c>
      <c r="DK200">
        <v>25.7682</v>
      </c>
      <c r="DL200">
        <v>25.01786666666667</v>
      </c>
      <c r="DM200">
        <v>999.9</v>
      </c>
      <c r="DN200">
        <v>0</v>
      </c>
      <c r="DO200">
        <v>0</v>
      </c>
      <c r="DP200">
        <v>10003.76666666667</v>
      </c>
      <c r="DQ200">
        <v>0</v>
      </c>
      <c r="DR200">
        <v>3.20383</v>
      </c>
      <c r="DS200">
        <v>-63.58453333333333</v>
      </c>
      <c r="DT200">
        <v>1154.6</v>
      </c>
      <c r="DU200">
        <v>1208.576666666667</v>
      </c>
      <c r="DV200">
        <v>8.760613333333334</v>
      </c>
      <c r="DW200">
        <v>1197.24</v>
      </c>
      <c r="DX200">
        <v>9.377920000000001</v>
      </c>
      <c r="DY200">
        <v>1.634083333333333</v>
      </c>
      <c r="DZ200">
        <v>0.8448473333333334</v>
      </c>
      <c r="EA200">
        <v>14.28403333333333</v>
      </c>
      <c r="EB200">
        <v>4.484016666666666</v>
      </c>
      <c r="EC200">
        <v>1499.98</v>
      </c>
      <c r="ED200">
        <v>0.973007</v>
      </c>
      <c r="EE200">
        <v>0.0269931</v>
      </c>
      <c r="EF200">
        <v>0</v>
      </c>
      <c r="EG200">
        <v>968.0933333333332</v>
      </c>
      <c r="EH200">
        <v>5.00097</v>
      </c>
      <c r="EI200">
        <v>14388.8</v>
      </c>
      <c r="EJ200">
        <v>12491.5</v>
      </c>
      <c r="EK200">
        <v>37.5</v>
      </c>
      <c r="EL200">
        <v>39</v>
      </c>
      <c r="EM200">
        <v>37.875</v>
      </c>
      <c r="EN200">
        <v>38.75</v>
      </c>
      <c r="EO200">
        <v>38.375</v>
      </c>
      <c r="EP200">
        <v>1454.63</v>
      </c>
      <c r="EQ200">
        <v>40.35</v>
      </c>
      <c r="ER200">
        <v>0</v>
      </c>
      <c r="ES200">
        <v>651</v>
      </c>
      <c r="ET200">
        <v>0</v>
      </c>
      <c r="EU200">
        <v>971.6441923076923</v>
      </c>
      <c r="EV200">
        <v>-33.13897435598614</v>
      </c>
      <c r="EW200">
        <v>-466.4923077031231</v>
      </c>
      <c r="EX200">
        <v>14439.15769230769</v>
      </c>
      <c r="EY200">
        <v>15</v>
      </c>
      <c r="EZ200">
        <v>1651857041.1</v>
      </c>
      <c r="FA200" t="s">
        <v>419</v>
      </c>
      <c r="FB200">
        <v>1651857019.6</v>
      </c>
      <c r="FC200">
        <v>1651857041.1</v>
      </c>
      <c r="FD200">
        <v>1</v>
      </c>
      <c r="FE200">
        <v>0.545</v>
      </c>
      <c r="FF200">
        <v>-0.002</v>
      </c>
      <c r="FG200">
        <v>-1.271</v>
      </c>
      <c r="FH200">
        <v>-0.09</v>
      </c>
      <c r="FI200">
        <v>400</v>
      </c>
      <c r="FJ200">
        <v>10</v>
      </c>
      <c r="FK200">
        <v>0.1</v>
      </c>
      <c r="FL200">
        <v>0.02</v>
      </c>
      <c r="FM200">
        <v>-63.36979512195122</v>
      </c>
      <c r="FN200">
        <v>-0.9431414634146913</v>
      </c>
      <c r="FO200">
        <v>0.2491528749546268</v>
      </c>
      <c r="FP200">
        <v>-1</v>
      </c>
      <c r="FQ200">
        <v>8.924166341463414</v>
      </c>
      <c r="FR200">
        <v>-1.059040348432037</v>
      </c>
      <c r="FS200">
        <v>0.1055039293166338</v>
      </c>
      <c r="FT200">
        <v>-1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0</v>
      </c>
      <c r="GA200" t="s">
        <v>432</v>
      </c>
      <c r="GB200">
        <v>2.98006</v>
      </c>
      <c r="GC200">
        <v>2.70613</v>
      </c>
      <c r="GD200">
        <v>0.185788</v>
      </c>
      <c r="GE200">
        <v>0.189982</v>
      </c>
      <c r="GF200">
        <v>0.0870353</v>
      </c>
      <c r="GG200">
        <v>0.052773</v>
      </c>
      <c r="GH200">
        <v>25690</v>
      </c>
      <c r="GI200">
        <v>25613.9</v>
      </c>
      <c r="GJ200">
        <v>29342.1</v>
      </c>
      <c r="GK200">
        <v>29256</v>
      </c>
      <c r="GL200">
        <v>35476.1</v>
      </c>
      <c r="GM200">
        <v>36908.4</v>
      </c>
      <c r="GN200">
        <v>41303.1</v>
      </c>
      <c r="GO200">
        <v>41752.7</v>
      </c>
      <c r="GP200">
        <v>1.95462</v>
      </c>
      <c r="GQ200">
        <v>1.83768</v>
      </c>
      <c r="GR200">
        <v>-0.0339448</v>
      </c>
      <c r="GS200">
        <v>0</v>
      </c>
      <c r="GT200">
        <v>25.5792</v>
      </c>
      <c r="GU200">
        <v>999.9</v>
      </c>
      <c r="GV200">
        <v>38.4</v>
      </c>
      <c r="GW200">
        <v>34</v>
      </c>
      <c r="GX200">
        <v>22.7737</v>
      </c>
      <c r="GY200">
        <v>61.9976</v>
      </c>
      <c r="GZ200">
        <v>35.1522</v>
      </c>
      <c r="HA200">
        <v>1</v>
      </c>
      <c r="HB200">
        <v>0.136776</v>
      </c>
      <c r="HC200">
        <v>2.45951</v>
      </c>
      <c r="HD200">
        <v>20.3162</v>
      </c>
      <c r="HE200">
        <v>5.21699</v>
      </c>
      <c r="HF200">
        <v>12.0099</v>
      </c>
      <c r="HG200">
        <v>4.9884</v>
      </c>
      <c r="HH200">
        <v>3.28853</v>
      </c>
      <c r="HI200">
        <v>855.2</v>
      </c>
      <c r="HJ200">
        <v>8512.799999999999</v>
      </c>
      <c r="HK200">
        <v>5139.4</v>
      </c>
      <c r="HL200">
        <v>22.9</v>
      </c>
      <c r="HM200">
        <v>1.86752</v>
      </c>
      <c r="HN200">
        <v>1.86647</v>
      </c>
      <c r="HO200">
        <v>1.866</v>
      </c>
      <c r="HP200">
        <v>1.86588</v>
      </c>
      <c r="HQ200">
        <v>1.86775</v>
      </c>
      <c r="HR200">
        <v>1.87026</v>
      </c>
      <c r="HS200">
        <v>1.86891</v>
      </c>
      <c r="HT200">
        <v>1.87027</v>
      </c>
      <c r="HU200">
        <v>0</v>
      </c>
      <c r="HV200">
        <v>0</v>
      </c>
      <c r="HW200">
        <v>0</v>
      </c>
      <c r="HX200">
        <v>0</v>
      </c>
      <c r="HY200" t="s">
        <v>421</v>
      </c>
      <c r="HZ200" t="s">
        <v>422</v>
      </c>
      <c r="IA200" t="s">
        <v>423</v>
      </c>
      <c r="IB200" t="s">
        <v>423</v>
      </c>
      <c r="IC200" t="s">
        <v>423</v>
      </c>
      <c r="ID200" t="s">
        <v>423</v>
      </c>
      <c r="IE200">
        <v>0</v>
      </c>
      <c r="IF200">
        <v>100</v>
      </c>
      <c r="IG200">
        <v>100</v>
      </c>
      <c r="IH200">
        <v>-2.55</v>
      </c>
      <c r="II200">
        <v>0.0024</v>
      </c>
      <c r="IJ200">
        <v>-0.4995723906072</v>
      </c>
      <c r="IK200">
        <v>-0.002077099775823331</v>
      </c>
      <c r="IL200">
        <v>4.593143279902166E-07</v>
      </c>
      <c r="IM200">
        <v>-1.865383991892071E-10</v>
      </c>
      <c r="IN200">
        <v>-0.07605349583632376</v>
      </c>
      <c r="IO200">
        <v>-0.01129461987421345</v>
      </c>
      <c r="IP200">
        <v>0.00116580895745559</v>
      </c>
      <c r="IQ200">
        <v>-1.679085872906199E-05</v>
      </c>
      <c r="IR200">
        <v>2</v>
      </c>
      <c r="IS200">
        <v>2290</v>
      </c>
      <c r="IT200">
        <v>0</v>
      </c>
      <c r="IU200">
        <v>32</v>
      </c>
      <c r="IV200">
        <v>10.5</v>
      </c>
      <c r="IW200">
        <v>10.2</v>
      </c>
      <c r="IX200">
        <v>2.4231</v>
      </c>
      <c r="IY200">
        <v>2.20337</v>
      </c>
      <c r="IZ200">
        <v>1.39648</v>
      </c>
      <c r="JA200">
        <v>2.35962</v>
      </c>
      <c r="JB200">
        <v>1.49536</v>
      </c>
      <c r="JC200">
        <v>2.31323</v>
      </c>
      <c r="JD200">
        <v>38.4769</v>
      </c>
      <c r="JE200">
        <v>24.0437</v>
      </c>
      <c r="JF200">
        <v>18</v>
      </c>
      <c r="JG200">
        <v>514.349</v>
      </c>
      <c r="JH200">
        <v>424.724</v>
      </c>
      <c r="JI200">
        <v>22.461</v>
      </c>
      <c r="JJ200">
        <v>29.0861</v>
      </c>
      <c r="JK200">
        <v>30.0001</v>
      </c>
      <c r="JL200">
        <v>29.0884</v>
      </c>
      <c r="JM200">
        <v>29.0292</v>
      </c>
      <c r="JN200">
        <v>48.4929</v>
      </c>
      <c r="JO200">
        <v>53.3692</v>
      </c>
      <c r="JP200">
        <v>0</v>
      </c>
      <c r="JQ200">
        <v>22.4533</v>
      </c>
      <c r="JR200">
        <v>1223.21</v>
      </c>
      <c r="JS200">
        <v>9.54968</v>
      </c>
      <c r="JT200">
        <v>100.301</v>
      </c>
      <c r="JU200">
        <v>100.214</v>
      </c>
    </row>
    <row r="201" spans="1:281">
      <c r="A201">
        <v>185</v>
      </c>
      <c r="B201">
        <v>1651857654.1</v>
      </c>
      <c r="C201">
        <v>653.5</v>
      </c>
      <c r="D201" t="s">
        <v>797</v>
      </c>
      <c r="E201" t="s">
        <v>798</v>
      </c>
      <c r="F201">
        <v>2</v>
      </c>
      <c r="G201" t="s">
        <v>413</v>
      </c>
      <c r="H201" t="s">
        <v>414</v>
      </c>
      <c r="I201">
        <v>1651857652.725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1209.357445713275</v>
      </c>
      <c r="AK201">
        <v>1163.132606060606</v>
      </c>
      <c r="AL201">
        <v>3.406858057928295</v>
      </c>
      <c r="AM201">
        <v>66.38384787954378</v>
      </c>
      <c r="AN201">
        <f>(AP201 - AO201 + DI201*1E3/(8.314*(DK201+273.15)) * AR201/DH201 * AQ201) * DH201/(100*CV201) * 1000/(1000 - AP201)</f>
        <v>0</v>
      </c>
      <c r="AO201">
        <v>9.356463156616407</v>
      </c>
      <c r="AP201">
        <v>18.12918176470588</v>
      </c>
      <c r="AQ201">
        <v>2.036139452373421E-05</v>
      </c>
      <c r="AR201">
        <v>80.44866334591464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417</v>
      </c>
      <c r="AY201" t="s">
        <v>417</v>
      </c>
      <c r="AZ201">
        <v>0</v>
      </c>
      <c r="BA201">
        <v>0</v>
      </c>
      <c r="BB201">
        <f>1-AZ201/BA201</f>
        <v>0</v>
      </c>
      <c r="BC201">
        <v>0</v>
      </c>
      <c r="BD201" t="s">
        <v>417</v>
      </c>
      <c r="BE201" t="s">
        <v>417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1238</v>
      </c>
      <c r="CA201">
        <v>300</v>
      </c>
      <c r="CB201">
        <v>300</v>
      </c>
      <c r="CC201">
        <v>300</v>
      </c>
      <c r="CD201">
        <v>10440.5</v>
      </c>
      <c r="CE201">
        <v>1411.69</v>
      </c>
      <c r="CF201">
        <v>-0.00735121</v>
      </c>
      <c r="CG201">
        <v>-0.77</v>
      </c>
      <c r="CH201" t="s">
        <v>417</v>
      </c>
      <c r="CI201" t="s">
        <v>417</v>
      </c>
      <c r="CJ201" t="s">
        <v>417</v>
      </c>
      <c r="CK201" t="s">
        <v>417</v>
      </c>
      <c r="CL201" t="s">
        <v>417</v>
      </c>
      <c r="CM201" t="s">
        <v>417</v>
      </c>
      <c r="CN201" t="s">
        <v>417</v>
      </c>
      <c r="CO201" t="s">
        <v>417</v>
      </c>
      <c r="CP201" t="s">
        <v>417</v>
      </c>
      <c r="CQ201" t="s">
        <v>417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418</v>
      </c>
      <c r="CY201">
        <v>2</v>
      </c>
      <c r="CZ201" t="b">
        <v>1</v>
      </c>
      <c r="DA201">
        <v>1651857652.725</v>
      </c>
      <c r="DB201">
        <v>1139.1025</v>
      </c>
      <c r="DC201">
        <v>1202.665</v>
      </c>
      <c r="DD201">
        <v>18.13255</v>
      </c>
      <c r="DE201">
        <v>9.4014775</v>
      </c>
      <c r="DF201">
        <v>1141.65</v>
      </c>
      <c r="DG201">
        <v>18.130275</v>
      </c>
      <c r="DH201">
        <v>500.0535</v>
      </c>
      <c r="DI201">
        <v>90.09105000000001</v>
      </c>
      <c r="DJ201">
        <v>0.10009245</v>
      </c>
      <c r="DK201">
        <v>25.7669</v>
      </c>
      <c r="DL201">
        <v>25.022425</v>
      </c>
      <c r="DM201">
        <v>999.9</v>
      </c>
      <c r="DN201">
        <v>0</v>
      </c>
      <c r="DO201">
        <v>0</v>
      </c>
      <c r="DP201">
        <v>9999.075000000001</v>
      </c>
      <c r="DQ201">
        <v>0</v>
      </c>
      <c r="DR201">
        <v>3.20383</v>
      </c>
      <c r="DS201">
        <v>-63.56417500000001</v>
      </c>
      <c r="DT201">
        <v>1160.1375</v>
      </c>
      <c r="DU201">
        <v>1214.08</v>
      </c>
      <c r="DV201">
        <v>8.731092500000001</v>
      </c>
      <c r="DW201">
        <v>1202.665</v>
      </c>
      <c r="DX201">
        <v>9.4014775</v>
      </c>
      <c r="DY201">
        <v>1.6335825</v>
      </c>
      <c r="DZ201">
        <v>0.846989</v>
      </c>
      <c r="EA201">
        <v>14.2793</v>
      </c>
      <c r="EB201">
        <v>4.520185</v>
      </c>
      <c r="EC201">
        <v>1499.99</v>
      </c>
      <c r="ED201">
        <v>0.973007</v>
      </c>
      <c r="EE201">
        <v>0.0269931</v>
      </c>
      <c r="EF201">
        <v>0</v>
      </c>
      <c r="EG201">
        <v>967.47325</v>
      </c>
      <c r="EH201">
        <v>5.00097</v>
      </c>
      <c r="EI201">
        <v>14376.85</v>
      </c>
      <c r="EJ201">
        <v>12491.575</v>
      </c>
      <c r="EK201">
        <v>37.5</v>
      </c>
      <c r="EL201">
        <v>39</v>
      </c>
      <c r="EM201">
        <v>37.875</v>
      </c>
      <c r="EN201">
        <v>38.75</v>
      </c>
      <c r="EO201">
        <v>38.375</v>
      </c>
      <c r="EP201">
        <v>1454.6325</v>
      </c>
      <c r="EQ201">
        <v>40.35</v>
      </c>
      <c r="ER201">
        <v>0</v>
      </c>
      <c r="ES201">
        <v>653.4000000953674</v>
      </c>
      <c r="ET201">
        <v>0</v>
      </c>
      <c r="EU201">
        <v>970.3631538461539</v>
      </c>
      <c r="EV201">
        <v>-32.06591447605309</v>
      </c>
      <c r="EW201">
        <v>-461.1623925343019</v>
      </c>
      <c r="EX201">
        <v>14420.61538461538</v>
      </c>
      <c r="EY201">
        <v>15</v>
      </c>
      <c r="EZ201">
        <v>1651857041.1</v>
      </c>
      <c r="FA201" t="s">
        <v>419</v>
      </c>
      <c r="FB201">
        <v>1651857019.6</v>
      </c>
      <c r="FC201">
        <v>1651857041.1</v>
      </c>
      <c r="FD201">
        <v>1</v>
      </c>
      <c r="FE201">
        <v>0.545</v>
      </c>
      <c r="FF201">
        <v>-0.002</v>
      </c>
      <c r="FG201">
        <v>-1.271</v>
      </c>
      <c r="FH201">
        <v>-0.09</v>
      </c>
      <c r="FI201">
        <v>400</v>
      </c>
      <c r="FJ201">
        <v>10</v>
      </c>
      <c r="FK201">
        <v>0.1</v>
      </c>
      <c r="FL201">
        <v>0.02</v>
      </c>
      <c r="FM201">
        <v>-63.3605525</v>
      </c>
      <c r="FN201">
        <v>-1.769924577861036</v>
      </c>
      <c r="FO201">
        <v>0.2368706345112244</v>
      </c>
      <c r="FP201">
        <v>-1</v>
      </c>
      <c r="FQ201">
        <v>8.892660750000001</v>
      </c>
      <c r="FR201">
        <v>-1.035752082551616</v>
      </c>
      <c r="FS201">
        <v>0.1005791273422945</v>
      </c>
      <c r="FT201">
        <v>-1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0</v>
      </c>
      <c r="GA201" t="s">
        <v>432</v>
      </c>
      <c r="GB201">
        <v>2.98009</v>
      </c>
      <c r="GC201">
        <v>2.70617</v>
      </c>
      <c r="GD201">
        <v>0.186483</v>
      </c>
      <c r="GE201">
        <v>0.190648</v>
      </c>
      <c r="GF201">
        <v>0.0870099</v>
      </c>
      <c r="GG201">
        <v>0.0528984</v>
      </c>
      <c r="GH201">
        <v>25668.4</v>
      </c>
      <c r="GI201">
        <v>25592.7</v>
      </c>
      <c r="GJ201">
        <v>29342.4</v>
      </c>
      <c r="GK201">
        <v>29255.9</v>
      </c>
      <c r="GL201">
        <v>35477.3</v>
      </c>
      <c r="GM201">
        <v>36903.4</v>
      </c>
      <c r="GN201">
        <v>41303.3</v>
      </c>
      <c r="GO201">
        <v>41752.5</v>
      </c>
      <c r="GP201">
        <v>1.9549</v>
      </c>
      <c r="GQ201">
        <v>1.8377</v>
      </c>
      <c r="GR201">
        <v>-0.0337064</v>
      </c>
      <c r="GS201">
        <v>0</v>
      </c>
      <c r="GT201">
        <v>25.5781</v>
      </c>
      <c r="GU201">
        <v>999.9</v>
      </c>
      <c r="GV201">
        <v>38.4</v>
      </c>
      <c r="GW201">
        <v>34</v>
      </c>
      <c r="GX201">
        <v>22.7752</v>
      </c>
      <c r="GY201">
        <v>62.6076</v>
      </c>
      <c r="GZ201">
        <v>35.4607</v>
      </c>
      <c r="HA201">
        <v>1</v>
      </c>
      <c r="HB201">
        <v>0.136715</v>
      </c>
      <c r="HC201">
        <v>2.45099</v>
      </c>
      <c r="HD201">
        <v>20.3162</v>
      </c>
      <c r="HE201">
        <v>5.21774</v>
      </c>
      <c r="HF201">
        <v>12.0099</v>
      </c>
      <c r="HG201">
        <v>4.98865</v>
      </c>
      <c r="HH201">
        <v>3.28863</v>
      </c>
      <c r="HI201">
        <v>855.2</v>
      </c>
      <c r="HJ201">
        <v>8512.799999999999</v>
      </c>
      <c r="HK201">
        <v>5139.4</v>
      </c>
      <c r="HL201">
        <v>22.9</v>
      </c>
      <c r="HM201">
        <v>1.86752</v>
      </c>
      <c r="HN201">
        <v>1.86647</v>
      </c>
      <c r="HO201">
        <v>1.866</v>
      </c>
      <c r="HP201">
        <v>1.86586</v>
      </c>
      <c r="HQ201">
        <v>1.86774</v>
      </c>
      <c r="HR201">
        <v>1.87027</v>
      </c>
      <c r="HS201">
        <v>1.86891</v>
      </c>
      <c r="HT201">
        <v>1.87027</v>
      </c>
      <c r="HU201">
        <v>0</v>
      </c>
      <c r="HV201">
        <v>0</v>
      </c>
      <c r="HW201">
        <v>0</v>
      </c>
      <c r="HX201">
        <v>0</v>
      </c>
      <c r="HY201" t="s">
        <v>421</v>
      </c>
      <c r="HZ201" t="s">
        <v>422</v>
      </c>
      <c r="IA201" t="s">
        <v>423</v>
      </c>
      <c r="IB201" t="s">
        <v>423</v>
      </c>
      <c r="IC201" t="s">
        <v>423</v>
      </c>
      <c r="ID201" t="s">
        <v>423</v>
      </c>
      <c r="IE201">
        <v>0</v>
      </c>
      <c r="IF201">
        <v>100</v>
      </c>
      <c r="IG201">
        <v>100</v>
      </c>
      <c r="IH201">
        <v>-2.56</v>
      </c>
      <c r="II201">
        <v>0.0023</v>
      </c>
      <c r="IJ201">
        <v>-0.4995723906072</v>
      </c>
      <c r="IK201">
        <v>-0.002077099775823331</v>
      </c>
      <c r="IL201">
        <v>4.593143279902166E-07</v>
      </c>
      <c r="IM201">
        <v>-1.865383991892071E-10</v>
      </c>
      <c r="IN201">
        <v>-0.07605349583632376</v>
      </c>
      <c r="IO201">
        <v>-0.01129461987421345</v>
      </c>
      <c r="IP201">
        <v>0.00116580895745559</v>
      </c>
      <c r="IQ201">
        <v>-1.679085872906199E-05</v>
      </c>
      <c r="IR201">
        <v>2</v>
      </c>
      <c r="IS201">
        <v>2290</v>
      </c>
      <c r="IT201">
        <v>0</v>
      </c>
      <c r="IU201">
        <v>32</v>
      </c>
      <c r="IV201">
        <v>10.6</v>
      </c>
      <c r="IW201">
        <v>10.2</v>
      </c>
      <c r="IX201">
        <v>2.43408</v>
      </c>
      <c r="IY201">
        <v>2.20825</v>
      </c>
      <c r="IZ201">
        <v>1.39648</v>
      </c>
      <c r="JA201">
        <v>2.35962</v>
      </c>
      <c r="JB201">
        <v>1.49536</v>
      </c>
      <c r="JC201">
        <v>2.27661</v>
      </c>
      <c r="JD201">
        <v>38.4769</v>
      </c>
      <c r="JE201">
        <v>24.035</v>
      </c>
      <c r="JF201">
        <v>18</v>
      </c>
      <c r="JG201">
        <v>514.523</v>
      </c>
      <c r="JH201">
        <v>424.739</v>
      </c>
      <c r="JI201">
        <v>22.4499</v>
      </c>
      <c r="JJ201">
        <v>29.0861</v>
      </c>
      <c r="JK201">
        <v>30</v>
      </c>
      <c r="JL201">
        <v>29.0875</v>
      </c>
      <c r="JM201">
        <v>29.0292</v>
      </c>
      <c r="JN201">
        <v>48.7069</v>
      </c>
      <c r="JO201">
        <v>53.0885</v>
      </c>
      <c r="JP201">
        <v>0</v>
      </c>
      <c r="JQ201">
        <v>22.4318</v>
      </c>
      <c r="JR201">
        <v>1229.9</v>
      </c>
      <c r="JS201">
        <v>9.580349999999999</v>
      </c>
      <c r="JT201">
        <v>100.302</v>
      </c>
      <c r="JU201">
        <v>100.214</v>
      </c>
    </row>
    <row r="202" spans="1:281">
      <c r="A202">
        <v>186</v>
      </c>
      <c r="B202">
        <v>1651857656.1</v>
      </c>
      <c r="C202">
        <v>655.5</v>
      </c>
      <c r="D202" t="s">
        <v>799</v>
      </c>
      <c r="E202" t="s">
        <v>800</v>
      </c>
      <c r="F202">
        <v>2</v>
      </c>
      <c r="G202" t="s">
        <v>413</v>
      </c>
      <c r="H202" t="s">
        <v>414</v>
      </c>
      <c r="I202">
        <v>1651857655.1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1216.130943212361</v>
      </c>
      <c r="AK202">
        <v>1169.936424242424</v>
      </c>
      <c r="AL202">
        <v>3.408056885951736</v>
      </c>
      <c r="AM202">
        <v>66.38384787954378</v>
      </c>
      <c r="AN202">
        <f>(AP202 - AO202 + DI202*1E3/(8.314*(DK202+273.15)) * AR202/DH202 * AQ202) * DH202/(100*CV202) * 1000/(1000 - AP202)</f>
        <v>0</v>
      </c>
      <c r="AO202">
        <v>9.384102832600348</v>
      </c>
      <c r="AP202">
        <v>18.123035</v>
      </c>
      <c r="AQ202">
        <v>-0.0001497551450341726</v>
      </c>
      <c r="AR202">
        <v>80.44866334591464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417</v>
      </c>
      <c r="AY202" t="s">
        <v>417</v>
      </c>
      <c r="AZ202">
        <v>0</v>
      </c>
      <c r="BA202">
        <v>0</v>
      </c>
      <c r="BB202">
        <f>1-AZ202/BA202</f>
        <v>0</v>
      </c>
      <c r="BC202">
        <v>0</v>
      </c>
      <c r="BD202" t="s">
        <v>417</v>
      </c>
      <c r="BE202" t="s">
        <v>417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1238</v>
      </c>
      <c r="CA202">
        <v>300</v>
      </c>
      <c r="CB202">
        <v>300</v>
      </c>
      <c r="CC202">
        <v>300</v>
      </c>
      <c r="CD202">
        <v>10440.5</v>
      </c>
      <c r="CE202">
        <v>1411.69</v>
      </c>
      <c r="CF202">
        <v>-0.00735121</v>
      </c>
      <c r="CG202">
        <v>-0.77</v>
      </c>
      <c r="CH202" t="s">
        <v>417</v>
      </c>
      <c r="CI202" t="s">
        <v>417</v>
      </c>
      <c r="CJ202" t="s">
        <v>417</v>
      </c>
      <c r="CK202" t="s">
        <v>417</v>
      </c>
      <c r="CL202" t="s">
        <v>417</v>
      </c>
      <c r="CM202" t="s">
        <v>417</v>
      </c>
      <c r="CN202" t="s">
        <v>417</v>
      </c>
      <c r="CO202" t="s">
        <v>417</v>
      </c>
      <c r="CP202" t="s">
        <v>417</v>
      </c>
      <c r="CQ202" t="s">
        <v>417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418</v>
      </c>
      <c r="CY202">
        <v>2</v>
      </c>
      <c r="CZ202" t="b">
        <v>1</v>
      </c>
      <c r="DA202">
        <v>1651857655.1</v>
      </c>
      <c r="DB202">
        <v>1147.066666666667</v>
      </c>
      <c r="DC202">
        <v>1210.583333333333</v>
      </c>
      <c r="DD202">
        <v>18.1256</v>
      </c>
      <c r="DE202">
        <v>9.444733333333334</v>
      </c>
      <c r="DF202">
        <v>1149.626666666667</v>
      </c>
      <c r="DG202">
        <v>18.1234</v>
      </c>
      <c r="DH202">
        <v>500.0806666666667</v>
      </c>
      <c r="DI202">
        <v>90.09246666666667</v>
      </c>
      <c r="DJ202">
        <v>0.1001603333333333</v>
      </c>
      <c r="DK202">
        <v>25.76386666666667</v>
      </c>
      <c r="DL202">
        <v>25.025</v>
      </c>
      <c r="DM202">
        <v>999.9</v>
      </c>
      <c r="DN202">
        <v>0</v>
      </c>
      <c r="DO202">
        <v>0</v>
      </c>
      <c r="DP202">
        <v>9974.379999999999</v>
      </c>
      <c r="DQ202">
        <v>0</v>
      </c>
      <c r="DR202">
        <v>3.20383</v>
      </c>
      <c r="DS202">
        <v>-63.52176666666667</v>
      </c>
      <c r="DT202">
        <v>1168.236666666667</v>
      </c>
      <c r="DU202">
        <v>1222.126666666667</v>
      </c>
      <c r="DV202">
        <v>8.680860000000001</v>
      </c>
      <c r="DW202">
        <v>1210.583333333333</v>
      </c>
      <c r="DX202">
        <v>9.444733333333334</v>
      </c>
      <c r="DY202">
        <v>1.632983333333333</v>
      </c>
      <c r="DZ202">
        <v>0.8508993333333333</v>
      </c>
      <c r="EA202">
        <v>14.27356666666667</v>
      </c>
      <c r="EB202">
        <v>4.58602</v>
      </c>
      <c r="EC202">
        <v>1499.986666666667</v>
      </c>
      <c r="ED202">
        <v>0.973007</v>
      </c>
      <c r="EE202">
        <v>0.0269931</v>
      </c>
      <c r="EF202">
        <v>0</v>
      </c>
      <c r="EG202">
        <v>966.071</v>
      </c>
      <c r="EH202">
        <v>5.00097</v>
      </c>
      <c r="EI202">
        <v>14359</v>
      </c>
      <c r="EJ202">
        <v>12491.46666666667</v>
      </c>
      <c r="EK202">
        <v>37.5</v>
      </c>
      <c r="EL202">
        <v>39</v>
      </c>
      <c r="EM202">
        <v>37.875</v>
      </c>
      <c r="EN202">
        <v>38.75</v>
      </c>
      <c r="EO202">
        <v>38.375</v>
      </c>
      <c r="EP202">
        <v>1454.63</v>
      </c>
      <c r="EQ202">
        <v>40.35</v>
      </c>
      <c r="ER202">
        <v>0</v>
      </c>
      <c r="ES202">
        <v>655.2000000476837</v>
      </c>
      <c r="ET202">
        <v>0</v>
      </c>
      <c r="EU202">
        <v>969.27284</v>
      </c>
      <c r="EV202">
        <v>-30.7103077351568</v>
      </c>
      <c r="EW202">
        <v>-459.7076930031207</v>
      </c>
      <c r="EX202">
        <v>14404.496</v>
      </c>
      <c r="EY202">
        <v>15</v>
      </c>
      <c r="EZ202">
        <v>1651857041.1</v>
      </c>
      <c r="FA202" t="s">
        <v>419</v>
      </c>
      <c r="FB202">
        <v>1651857019.6</v>
      </c>
      <c r="FC202">
        <v>1651857041.1</v>
      </c>
      <c r="FD202">
        <v>1</v>
      </c>
      <c r="FE202">
        <v>0.545</v>
      </c>
      <c r="FF202">
        <v>-0.002</v>
      </c>
      <c r="FG202">
        <v>-1.271</v>
      </c>
      <c r="FH202">
        <v>-0.09</v>
      </c>
      <c r="FI202">
        <v>400</v>
      </c>
      <c r="FJ202">
        <v>10</v>
      </c>
      <c r="FK202">
        <v>0.1</v>
      </c>
      <c r="FL202">
        <v>0.02</v>
      </c>
      <c r="FM202">
        <v>-63.43012439024391</v>
      </c>
      <c r="FN202">
        <v>-1.013567247386977</v>
      </c>
      <c r="FO202">
        <v>0.1641833519686225</v>
      </c>
      <c r="FP202">
        <v>-1</v>
      </c>
      <c r="FQ202">
        <v>8.854871219512194</v>
      </c>
      <c r="FR202">
        <v>-1.08046160278744</v>
      </c>
      <c r="FS202">
        <v>0.1071703050698126</v>
      </c>
      <c r="FT202">
        <v>-1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0</v>
      </c>
      <c r="GA202" t="s">
        <v>432</v>
      </c>
      <c r="GB202">
        <v>2.97997</v>
      </c>
      <c r="GC202">
        <v>2.70611</v>
      </c>
      <c r="GD202">
        <v>0.187163</v>
      </c>
      <c r="GE202">
        <v>0.191313</v>
      </c>
      <c r="GF202">
        <v>0.08699419999999999</v>
      </c>
      <c r="GG202">
        <v>0.0531019</v>
      </c>
      <c r="GH202">
        <v>25646.7</v>
      </c>
      <c r="GI202">
        <v>25571.7</v>
      </c>
      <c r="GJ202">
        <v>29342.2</v>
      </c>
      <c r="GK202">
        <v>29255.9</v>
      </c>
      <c r="GL202">
        <v>35477.7</v>
      </c>
      <c r="GM202">
        <v>36895.3</v>
      </c>
      <c r="GN202">
        <v>41303</v>
      </c>
      <c r="GO202">
        <v>41752.4</v>
      </c>
      <c r="GP202">
        <v>1.9548</v>
      </c>
      <c r="GQ202">
        <v>1.83795</v>
      </c>
      <c r="GR202">
        <v>-0.033997</v>
      </c>
      <c r="GS202">
        <v>0</v>
      </c>
      <c r="GT202">
        <v>25.5778</v>
      </c>
      <c r="GU202">
        <v>999.9</v>
      </c>
      <c r="GV202">
        <v>38.4</v>
      </c>
      <c r="GW202">
        <v>34</v>
      </c>
      <c r="GX202">
        <v>22.7714</v>
      </c>
      <c r="GY202">
        <v>62.6176</v>
      </c>
      <c r="GZ202">
        <v>35.4768</v>
      </c>
      <c r="HA202">
        <v>1</v>
      </c>
      <c r="HB202">
        <v>0.136687</v>
      </c>
      <c r="HC202">
        <v>2.4675</v>
      </c>
      <c r="HD202">
        <v>20.316</v>
      </c>
      <c r="HE202">
        <v>5.21789</v>
      </c>
      <c r="HF202">
        <v>12.0099</v>
      </c>
      <c r="HG202">
        <v>4.9889</v>
      </c>
      <c r="HH202">
        <v>3.28865</v>
      </c>
      <c r="HI202">
        <v>855.4</v>
      </c>
      <c r="HJ202">
        <v>8514.9</v>
      </c>
      <c r="HK202">
        <v>5139.4</v>
      </c>
      <c r="HL202">
        <v>22.9</v>
      </c>
      <c r="HM202">
        <v>1.86752</v>
      </c>
      <c r="HN202">
        <v>1.86647</v>
      </c>
      <c r="HO202">
        <v>1.866</v>
      </c>
      <c r="HP202">
        <v>1.86586</v>
      </c>
      <c r="HQ202">
        <v>1.86775</v>
      </c>
      <c r="HR202">
        <v>1.87027</v>
      </c>
      <c r="HS202">
        <v>1.86891</v>
      </c>
      <c r="HT202">
        <v>1.87027</v>
      </c>
      <c r="HU202">
        <v>0</v>
      </c>
      <c r="HV202">
        <v>0</v>
      </c>
      <c r="HW202">
        <v>0</v>
      </c>
      <c r="HX202">
        <v>0</v>
      </c>
      <c r="HY202" t="s">
        <v>421</v>
      </c>
      <c r="HZ202" t="s">
        <v>422</v>
      </c>
      <c r="IA202" t="s">
        <v>423</v>
      </c>
      <c r="IB202" t="s">
        <v>423</v>
      </c>
      <c r="IC202" t="s">
        <v>423</v>
      </c>
      <c r="ID202" t="s">
        <v>423</v>
      </c>
      <c r="IE202">
        <v>0</v>
      </c>
      <c r="IF202">
        <v>100</v>
      </c>
      <c r="IG202">
        <v>100</v>
      </c>
      <c r="IH202">
        <v>-2.57</v>
      </c>
      <c r="II202">
        <v>0.0022</v>
      </c>
      <c r="IJ202">
        <v>-0.4995723906072</v>
      </c>
      <c r="IK202">
        <v>-0.002077099775823331</v>
      </c>
      <c r="IL202">
        <v>4.593143279902166E-07</v>
      </c>
      <c r="IM202">
        <v>-1.865383991892071E-10</v>
      </c>
      <c r="IN202">
        <v>-0.07605349583632376</v>
      </c>
      <c r="IO202">
        <v>-0.01129461987421345</v>
      </c>
      <c r="IP202">
        <v>0.00116580895745559</v>
      </c>
      <c r="IQ202">
        <v>-1.679085872906199E-05</v>
      </c>
      <c r="IR202">
        <v>2</v>
      </c>
      <c r="IS202">
        <v>2290</v>
      </c>
      <c r="IT202">
        <v>0</v>
      </c>
      <c r="IU202">
        <v>32</v>
      </c>
      <c r="IV202">
        <v>10.6</v>
      </c>
      <c r="IW202">
        <v>10.2</v>
      </c>
      <c r="IX202">
        <v>2.44507</v>
      </c>
      <c r="IY202">
        <v>2.20337</v>
      </c>
      <c r="IZ202">
        <v>1.39648</v>
      </c>
      <c r="JA202">
        <v>2.35962</v>
      </c>
      <c r="JB202">
        <v>1.49536</v>
      </c>
      <c r="JC202">
        <v>2.34619</v>
      </c>
      <c r="JD202">
        <v>38.4769</v>
      </c>
      <c r="JE202">
        <v>24.0437</v>
      </c>
      <c r="JF202">
        <v>18</v>
      </c>
      <c r="JG202">
        <v>514.457</v>
      </c>
      <c r="JH202">
        <v>424.888</v>
      </c>
      <c r="JI202">
        <v>22.4426</v>
      </c>
      <c r="JJ202">
        <v>29.0861</v>
      </c>
      <c r="JK202">
        <v>30</v>
      </c>
      <c r="JL202">
        <v>29.0875</v>
      </c>
      <c r="JM202">
        <v>29.0292</v>
      </c>
      <c r="JN202">
        <v>48.9257</v>
      </c>
      <c r="JO202">
        <v>53.0885</v>
      </c>
      <c r="JP202">
        <v>0</v>
      </c>
      <c r="JQ202">
        <v>22.4318</v>
      </c>
      <c r="JR202">
        <v>1236.6</v>
      </c>
      <c r="JS202">
        <v>9.62341</v>
      </c>
      <c r="JT202">
        <v>100.301</v>
      </c>
      <c r="JU202">
        <v>100.214</v>
      </c>
    </row>
    <row r="203" spans="1:281">
      <c r="A203">
        <v>187</v>
      </c>
      <c r="B203">
        <v>1651857658.1</v>
      </c>
      <c r="C203">
        <v>657.5</v>
      </c>
      <c r="D203" t="s">
        <v>801</v>
      </c>
      <c r="E203" t="s">
        <v>802</v>
      </c>
      <c r="F203">
        <v>2</v>
      </c>
      <c r="G203" t="s">
        <v>413</v>
      </c>
      <c r="H203" t="s">
        <v>414</v>
      </c>
      <c r="I203">
        <v>1651857656.725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1222.908421943795</v>
      </c>
      <c r="AK203">
        <v>1176.654242424242</v>
      </c>
      <c r="AL203">
        <v>3.375938203504414</v>
      </c>
      <c r="AM203">
        <v>66.38384787954378</v>
      </c>
      <c r="AN203">
        <f>(AP203 - AO203 + DI203*1E3/(8.314*(DK203+273.15)) * AR203/DH203 * AQ203) * DH203/(100*CV203) * 1000/(1000 - AP203)</f>
        <v>0</v>
      </c>
      <c r="AO203">
        <v>9.414436005530337</v>
      </c>
      <c r="AP203">
        <v>18.12155558823528</v>
      </c>
      <c r="AQ203">
        <v>-0.0003630127319695958</v>
      </c>
      <c r="AR203">
        <v>80.44866334591464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417</v>
      </c>
      <c r="AY203" t="s">
        <v>417</v>
      </c>
      <c r="AZ203">
        <v>0</v>
      </c>
      <c r="BA203">
        <v>0</v>
      </c>
      <c r="BB203">
        <f>1-AZ203/BA203</f>
        <v>0</v>
      </c>
      <c r="BC203">
        <v>0</v>
      </c>
      <c r="BD203" t="s">
        <v>417</v>
      </c>
      <c r="BE203" t="s">
        <v>417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1238</v>
      </c>
      <c r="CA203">
        <v>300</v>
      </c>
      <c r="CB203">
        <v>300</v>
      </c>
      <c r="CC203">
        <v>300</v>
      </c>
      <c r="CD203">
        <v>10440.5</v>
      </c>
      <c r="CE203">
        <v>1411.69</v>
      </c>
      <c r="CF203">
        <v>-0.00735121</v>
      </c>
      <c r="CG203">
        <v>-0.77</v>
      </c>
      <c r="CH203" t="s">
        <v>417</v>
      </c>
      <c r="CI203" t="s">
        <v>417</v>
      </c>
      <c r="CJ203" t="s">
        <v>417</v>
      </c>
      <c r="CK203" t="s">
        <v>417</v>
      </c>
      <c r="CL203" t="s">
        <v>417</v>
      </c>
      <c r="CM203" t="s">
        <v>417</v>
      </c>
      <c r="CN203" t="s">
        <v>417</v>
      </c>
      <c r="CO203" t="s">
        <v>417</v>
      </c>
      <c r="CP203" t="s">
        <v>417</v>
      </c>
      <c r="CQ203" t="s">
        <v>417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418</v>
      </c>
      <c r="CY203">
        <v>2</v>
      </c>
      <c r="CZ203" t="b">
        <v>1</v>
      </c>
      <c r="DA203">
        <v>1651857656.725</v>
      </c>
      <c r="DB203">
        <v>1152.43</v>
      </c>
      <c r="DC203">
        <v>1216.015</v>
      </c>
      <c r="DD203">
        <v>18.1227</v>
      </c>
      <c r="DE203">
        <v>9.4859925</v>
      </c>
      <c r="DF203">
        <v>1155.005</v>
      </c>
      <c r="DG203">
        <v>18.1205</v>
      </c>
      <c r="DH203">
        <v>500.0535</v>
      </c>
      <c r="DI203">
        <v>90.09257500000001</v>
      </c>
      <c r="DJ203">
        <v>0.10023375</v>
      </c>
      <c r="DK203">
        <v>25.761775</v>
      </c>
      <c r="DL203">
        <v>25.0202</v>
      </c>
      <c r="DM203">
        <v>999.9</v>
      </c>
      <c r="DN203">
        <v>0</v>
      </c>
      <c r="DO203">
        <v>0</v>
      </c>
      <c r="DP203">
        <v>9959.219999999999</v>
      </c>
      <c r="DQ203">
        <v>0</v>
      </c>
      <c r="DR203">
        <v>3.20383</v>
      </c>
      <c r="DS203">
        <v>-63.5843</v>
      </c>
      <c r="DT203">
        <v>1173.705</v>
      </c>
      <c r="DU203">
        <v>1227.66</v>
      </c>
      <c r="DV203">
        <v>8.636699999999999</v>
      </c>
      <c r="DW203">
        <v>1216.015</v>
      </c>
      <c r="DX203">
        <v>9.4859925</v>
      </c>
      <c r="DY203">
        <v>1.6327225</v>
      </c>
      <c r="DZ203">
        <v>0.85461725</v>
      </c>
      <c r="EA203">
        <v>14.2711</v>
      </c>
      <c r="EB203">
        <v>4.648355</v>
      </c>
      <c r="EC203">
        <v>1499.98</v>
      </c>
      <c r="ED203">
        <v>0.973007</v>
      </c>
      <c r="EE203">
        <v>0.0269931</v>
      </c>
      <c r="EF203">
        <v>0</v>
      </c>
      <c r="EG203">
        <v>965.4125</v>
      </c>
      <c r="EH203">
        <v>5.00097</v>
      </c>
      <c r="EI203">
        <v>14346.525</v>
      </c>
      <c r="EJ203">
        <v>12491.475</v>
      </c>
      <c r="EK203">
        <v>37.5</v>
      </c>
      <c r="EL203">
        <v>39</v>
      </c>
      <c r="EM203">
        <v>37.875</v>
      </c>
      <c r="EN203">
        <v>38.75</v>
      </c>
      <c r="EO203">
        <v>38.375</v>
      </c>
      <c r="EP203">
        <v>1454.6275</v>
      </c>
      <c r="EQ203">
        <v>40.35</v>
      </c>
      <c r="ER203">
        <v>0</v>
      </c>
      <c r="ES203">
        <v>657</v>
      </c>
      <c r="ET203">
        <v>0</v>
      </c>
      <c r="EU203">
        <v>968.5122307692308</v>
      </c>
      <c r="EV203">
        <v>-30.31329914180933</v>
      </c>
      <c r="EW203">
        <v>-457.0769230777875</v>
      </c>
      <c r="EX203">
        <v>14393.07307692308</v>
      </c>
      <c r="EY203">
        <v>15</v>
      </c>
      <c r="EZ203">
        <v>1651857041.1</v>
      </c>
      <c r="FA203" t="s">
        <v>419</v>
      </c>
      <c r="FB203">
        <v>1651857019.6</v>
      </c>
      <c r="FC203">
        <v>1651857041.1</v>
      </c>
      <c r="FD203">
        <v>1</v>
      </c>
      <c r="FE203">
        <v>0.545</v>
      </c>
      <c r="FF203">
        <v>-0.002</v>
      </c>
      <c r="FG203">
        <v>-1.271</v>
      </c>
      <c r="FH203">
        <v>-0.09</v>
      </c>
      <c r="FI203">
        <v>400</v>
      </c>
      <c r="FJ203">
        <v>10</v>
      </c>
      <c r="FK203">
        <v>0.1</v>
      </c>
      <c r="FL203">
        <v>0.02</v>
      </c>
      <c r="FM203">
        <v>-63.46254878048781</v>
      </c>
      <c r="FN203">
        <v>-0.7188627177700881</v>
      </c>
      <c r="FO203">
        <v>0.1242960747804606</v>
      </c>
      <c r="FP203">
        <v>-1</v>
      </c>
      <c r="FQ203">
        <v>8.837485853658537</v>
      </c>
      <c r="FR203">
        <v>-1.115929756097547</v>
      </c>
      <c r="FS203">
        <v>0.1104725844364843</v>
      </c>
      <c r="FT203">
        <v>-1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0</v>
      </c>
      <c r="GA203" t="s">
        <v>432</v>
      </c>
      <c r="GB203">
        <v>2.98008</v>
      </c>
      <c r="GC203">
        <v>2.70607</v>
      </c>
      <c r="GD203">
        <v>0.187849</v>
      </c>
      <c r="GE203">
        <v>0.19197</v>
      </c>
      <c r="GF203">
        <v>0.0869818</v>
      </c>
      <c r="GG203">
        <v>0.0533248</v>
      </c>
      <c r="GH203">
        <v>25625</v>
      </c>
      <c r="GI203">
        <v>25550.8</v>
      </c>
      <c r="GJ203">
        <v>29342.1</v>
      </c>
      <c r="GK203">
        <v>29255.8</v>
      </c>
      <c r="GL203">
        <v>35478.1</v>
      </c>
      <c r="GM203">
        <v>36886.6</v>
      </c>
      <c r="GN203">
        <v>41303</v>
      </c>
      <c r="GO203">
        <v>41752.3</v>
      </c>
      <c r="GP203">
        <v>1.95497</v>
      </c>
      <c r="GQ203">
        <v>1.8382</v>
      </c>
      <c r="GR203">
        <v>-0.033997</v>
      </c>
      <c r="GS203">
        <v>0</v>
      </c>
      <c r="GT203">
        <v>25.5778</v>
      </c>
      <c r="GU203">
        <v>999.9</v>
      </c>
      <c r="GV203">
        <v>38.4</v>
      </c>
      <c r="GW203">
        <v>34</v>
      </c>
      <c r="GX203">
        <v>22.7726</v>
      </c>
      <c r="GY203">
        <v>62.4176</v>
      </c>
      <c r="GZ203">
        <v>35.008</v>
      </c>
      <c r="HA203">
        <v>1</v>
      </c>
      <c r="HB203">
        <v>0.136697</v>
      </c>
      <c r="HC203">
        <v>2.45796</v>
      </c>
      <c r="HD203">
        <v>20.3161</v>
      </c>
      <c r="HE203">
        <v>5.21744</v>
      </c>
      <c r="HF203">
        <v>12.0099</v>
      </c>
      <c r="HG203">
        <v>4.9889</v>
      </c>
      <c r="HH203">
        <v>3.28858</v>
      </c>
      <c r="HI203">
        <v>855.4</v>
      </c>
      <c r="HJ203">
        <v>8514.9</v>
      </c>
      <c r="HK203">
        <v>5139.4</v>
      </c>
      <c r="HL203">
        <v>22.9</v>
      </c>
      <c r="HM203">
        <v>1.86751</v>
      </c>
      <c r="HN203">
        <v>1.86647</v>
      </c>
      <c r="HO203">
        <v>1.866</v>
      </c>
      <c r="HP203">
        <v>1.86586</v>
      </c>
      <c r="HQ203">
        <v>1.86775</v>
      </c>
      <c r="HR203">
        <v>1.87026</v>
      </c>
      <c r="HS203">
        <v>1.86891</v>
      </c>
      <c r="HT203">
        <v>1.87027</v>
      </c>
      <c r="HU203">
        <v>0</v>
      </c>
      <c r="HV203">
        <v>0</v>
      </c>
      <c r="HW203">
        <v>0</v>
      </c>
      <c r="HX203">
        <v>0</v>
      </c>
      <c r="HY203" t="s">
        <v>421</v>
      </c>
      <c r="HZ203" t="s">
        <v>422</v>
      </c>
      <c r="IA203" t="s">
        <v>423</v>
      </c>
      <c r="IB203" t="s">
        <v>423</v>
      </c>
      <c r="IC203" t="s">
        <v>423</v>
      </c>
      <c r="ID203" t="s">
        <v>423</v>
      </c>
      <c r="IE203">
        <v>0</v>
      </c>
      <c r="IF203">
        <v>100</v>
      </c>
      <c r="IG203">
        <v>100</v>
      </c>
      <c r="IH203">
        <v>-2.58</v>
      </c>
      <c r="II203">
        <v>0.0022</v>
      </c>
      <c r="IJ203">
        <v>-0.4995723906072</v>
      </c>
      <c r="IK203">
        <v>-0.002077099775823331</v>
      </c>
      <c r="IL203">
        <v>4.593143279902166E-07</v>
      </c>
      <c r="IM203">
        <v>-1.865383991892071E-10</v>
      </c>
      <c r="IN203">
        <v>-0.07605349583632376</v>
      </c>
      <c r="IO203">
        <v>-0.01129461987421345</v>
      </c>
      <c r="IP203">
        <v>0.00116580895745559</v>
      </c>
      <c r="IQ203">
        <v>-1.679085872906199E-05</v>
      </c>
      <c r="IR203">
        <v>2</v>
      </c>
      <c r="IS203">
        <v>2290</v>
      </c>
      <c r="IT203">
        <v>0</v>
      </c>
      <c r="IU203">
        <v>32</v>
      </c>
      <c r="IV203">
        <v>10.6</v>
      </c>
      <c r="IW203">
        <v>10.3</v>
      </c>
      <c r="IX203">
        <v>2.45605</v>
      </c>
      <c r="IY203">
        <v>2.20947</v>
      </c>
      <c r="IZ203">
        <v>1.39648</v>
      </c>
      <c r="JA203">
        <v>2.35962</v>
      </c>
      <c r="JB203">
        <v>1.49536</v>
      </c>
      <c r="JC203">
        <v>2.2937</v>
      </c>
      <c r="JD203">
        <v>38.4769</v>
      </c>
      <c r="JE203">
        <v>24.035</v>
      </c>
      <c r="JF203">
        <v>18</v>
      </c>
      <c r="JG203">
        <v>514.572</v>
      </c>
      <c r="JH203">
        <v>425.037</v>
      </c>
      <c r="JI203">
        <v>22.4329</v>
      </c>
      <c r="JJ203">
        <v>29.0861</v>
      </c>
      <c r="JK203">
        <v>30</v>
      </c>
      <c r="JL203">
        <v>29.0875</v>
      </c>
      <c r="JM203">
        <v>29.0292</v>
      </c>
      <c r="JN203">
        <v>49.1429</v>
      </c>
      <c r="JO203">
        <v>52.7883</v>
      </c>
      <c r="JP203">
        <v>0</v>
      </c>
      <c r="JQ203">
        <v>22.4096</v>
      </c>
      <c r="JR203">
        <v>1243.32</v>
      </c>
      <c r="JS203">
        <v>9.65203</v>
      </c>
      <c r="JT203">
        <v>100.301</v>
      </c>
      <c r="JU203">
        <v>100.213</v>
      </c>
    </row>
    <row r="204" spans="1:281">
      <c r="A204">
        <v>188</v>
      </c>
      <c r="B204">
        <v>1651857660.1</v>
      </c>
      <c r="C204">
        <v>659.5</v>
      </c>
      <c r="D204" t="s">
        <v>803</v>
      </c>
      <c r="E204" t="s">
        <v>804</v>
      </c>
      <c r="F204">
        <v>2</v>
      </c>
      <c r="G204" t="s">
        <v>413</v>
      </c>
      <c r="H204" t="s">
        <v>414</v>
      </c>
      <c r="I204">
        <v>1651857659.1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1229.725060393672</v>
      </c>
      <c r="AK204">
        <v>1183.534606060606</v>
      </c>
      <c r="AL204">
        <v>3.416861877240077</v>
      </c>
      <c r="AM204">
        <v>66.38384787954378</v>
      </c>
      <c r="AN204">
        <f>(AP204 - AO204 + DI204*1E3/(8.314*(DK204+273.15)) * AR204/DH204 * AQ204) * DH204/(100*CV204) * 1000/(1000 - AP204)</f>
        <v>0</v>
      </c>
      <c r="AO204">
        <v>9.458462183365489</v>
      </c>
      <c r="AP204">
        <v>18.1187</v>
      </c>
      <c r="AQ204">
        <v>-0.000238695702686693</v>
      </c>
      <c r="AR204">
        <v>80.44866334591464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417</v>
      </c>
      <c r="AY204" t="s">
        <v>417</v>
      </c>
      <c r="AZ204">
        <v>0</v>
      </c>
      <c r="BA204">
        <v>0</v>
      </c>
      <c r="BB204">
        <f>1-AZ204/BA204</f>
        <v>0</v>
      </c>
      <c r="BC204">
        <v>0</v>
      </c>
      <c r="BD204" t="s">
        <v>417</v>
      </c>
      <c r="BE204" t="s">
        <v>417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1238</v>
      </c>
      <c r="CA204">
        <v>300</v>
      </c>
      <c r="CB204">
        <v>300</v>
      </c>
      <c r="CC204">
        <v>300</v>
      </c>
      <c r="CD204">
        <v>10440.5</v>
      </c>
      <c r="CE204">
        <v>1411.69</v>
      </c>
      <c r="CF204">
        <v>-0.00735121</v>
      </c>
      <c r="CG204">
        <v>-0.77</v>
      </c>
      <c r="CH204" t="s">
        <v>417</v>
      </c>
      <c r="CI204" t="s">
        <v>417</v>
      </c>
      <c r="CJ204" t="s">
        <v>417</v>
      </c>
      <c r="CK204" t="s">
        <v>417</v>
      </c>
      <c r="CL204" t="s">
        <v>417</v>
      </c>
      <c r="CM204" t="s">
        <v>417</v>
      </c>
      <c r="CN204" t="s">
        <v>417</v>
      </c>
      <c r="CO204" t="s">
        <v>417</v>
      </c>
      <c r="CP204" t="s">
        <v>417</v>
      </c>
      <c r="CQ204" t="s">
        <v>417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418</v>
      </c>
      <c r="CY204">
        <v>2</v>
      </c>
      <c r="CZ204" t="b">
        <v>1</v>
      </c>
      <c r="DA204">
        <v>1651857659.1</v>
      </c>
      <c r="DB204">
        <v>1160.396666666667</v>
      </c>
      <c r="DC204">
        <v>1224.013333333333</v>
      </c>
      <c r="DD204">
        <v>18.1188</v>
      </c>
      <c r="DE204">
        <v>9.535410000000001</v>
      </c>
      <c r="DF204">
        <v>1162.986666666667</v>
      </c>
      <c r="DG204">
        <v>18.1167</v>
      </c>
      <c r="DH204">
        <v>500.0509999999999</v>
      </c>
      <c r="DI204">
        <v>90.09003333333334</v>
      </c>
      <c r="DJ204">
        <v>0.09987230000000001</v>
      </c>
      <c r="DK204">
        <v>25.76133333333333</v>
      </c>
      <c r="DL204">
        <v>25.01896666666667</v>
      </c>
      <c r="DM204">
        <v>999.9</v>
      </c>
      <c r="DN204">
        <v>0</v>
      </c>
      <c r="DO204">
        <v>0</v>
      </c>
      <c r="DP204">
        <v>9996.25</v>
      </c>
      <c r="DQ204">
        <v>0</v>
      </c>
      <c r="DR204">
        <v>3.20383</v>
      </c>
      <c r="DS204">
        <v>-63.61473333333333</v>
      </c>
      <c r="DT204">
        <v>1181.813333333333</v>
      </c>
      <c r="DU204">
        <v>1235.796666666667</v>
      </c>
      <c r="DV204">
        <v>8.583400000000001</v>
      </c>
      <c r="DW204">
        <v>1224.013333333333</v>
      </c>
      <c r="DX204">
        <v>9.535410000000001</v>
      </c>
      <c r="DY204">
        <v>1.632323333333334</v>
      </c>
      <c r="DZ204">
        <v>0.8590453333333334</v>
      </c>
      <c r="EA204">
        <v>14.2674</v>
      </c>
      <c r="EB204">
        <v>4.722326666666667</v>
      </c>
      <c r="EC204">
        <v>1499.976666666667</v>
      </c>
      <c r="ED204">
        <v>0.973007</v>
      </c>
      <c r="EE204">
        <v>0.0269931</v>
      </c>
      <c r="EF204">
        <v>0</v>
      </c>
      <c r="EG204">
        <v>964.0733333333334</v>
      </c>
      <c r="EH204">
        <v>5.00097</v>
      </c>
      <c r="EI204">
        <v>14327.16666666667</v>
      </c>
      <c r="EJ204">
        <v>12491.43333333333</v>
      </c>
      <c r="EK204">
        <v>37.5</v>
      </c>
      <c r="EL204">
        <v>39</v>
      </c>
      <c r="EM204">
        <v>37.875</v>
      </c>
      <c r="EN204">
        <v>38.75</v>
      </c>
      <c r="EO204">
        <v>38.375</v>
      </c>
      <c r="EP204">
        <v>1454.626666666667</v>
      </c>
      <c r="EQ204">
        <v>40.35</v>
      </c>
      <c r="ER204">
        <v>0</v>
      </c>
      <c r="ES204">
        <v>659.4000000953674</v>
      </c>
      <c r="ET204">
        <v>0</v>
      </c>
      <c r="EU204">
        <v>967.2761923076923</v>
      </c>
      <c r="EV204">
        <v>-30.25425637096975</v>
      </c>
      <c r="EW204">
        <v>-454.1948711764578</v>
      </c>
      <c r="EX204">
        <v>14374.82307692308</v>
      </c>
      <c r="EY204">
        <v>15</v>
      </c>
      <c r="EZ204">
        <v>1651857041.1</v>
      </c>
      <c r="FA204" t="s">
        <v>419</v>
      </c>
      <c r="FB204">
        <v>1651857019.6</v>
      </c>
      <c r="FC204">
        <v>1651857041.1</v>
      </c>
      <c r="FD204">
        <v>1</v>
      </c>
      <c r="FE204">
        <v>0.545</v>
      </c>
      <c r="FF204">
        <v>-0.002</v>
      </c>
      <c r="FG204">
        <v>-1.271</v>
      </c>
      <c r="FH204">
        <v>-0.09</v>
      </c>
      <c r="FI204">
        <v>400</v>
      </c>
      <c r="FJ204">
        <v>10</v>
      </c>
      <c r="FK204">
        <v>0.1</v>
      </c>
      <c r="FL204">
        <v>0.02</v>
      </c>
      <c r="FM204">
        <v>-63.49987804878049</v>
      </c>
      <c r="FN204">
        <v>-0.6782278745644875</v>
      </c>
      <c r="FO204">
        <v>0.1181036946453226</v>
      </c>
      <c r="FP204">
        <v>-1</v>
      </c>
      <c r="FQ204">
        <v>8.778838292682925</v>
      </c>
      <c r="FR204">
        <v>-1.167656027874555</v>
      </c>
      <c r="FS204">
        <v>0.1156505220196889</v>
      </c>
      <c r="FT204">
        <v>-1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0</v>
      </c>
      <c r="GA204" t="s">
        <v>432</v>
      </c>
      <c r="GB204">
        <v>2.98003</v>
      </c>
      <c r="GC204">
        <v>2.70601</v>
      </c>
      <c r="GD204">
        <v>0.188535</v>
      </c>
      <c r="GE204">
        <v>0.19263</v>
      </c>
      <c r="GF204">
        <v>0.08697680000000001</v>
      </c>
      <c r="GG204">
        <v>0.0534278</v>
      </c>
      <c r="GH204">
        <v>25603.6</v>
      </c>
      <c r="GI204">
        <v>25529.9</v>
      </c>
      <c r="GJ204">
        <v>29342.4</v>
      </c>
      <c r="GK204">
        <v>29255.8</v>
      </c>
      <c r="GL204">
        <v>35478.7</v>
      </c>
      <c r="GM204">
        <v>36882.8</v>
      </c>
      <c r="GN204">
        <v>41303.4</v>
      </c>
      <c r="GO204">
        <v>41752.6</v>
      </c>
      <c r="GP204">
        <v>1.95487</v>
      </c>
      <c r="GQ204">
        <v>1.8383</v>
      </c>
      <c r="GR204">
        <v>-0.0342131</v>
      </c>
      <c r="GS204">
        <v>0</v>
      </c>
      <c r="GT204">
        <v>25.5776</v>
      </c>
      <c r="GU204">
        <v>999.9</v>
      </c>
      <c r="GV204">
        <v>38.4</v>
      </c>
      <c r="GW204">
        <v>34</v>
      </c>
      <c r="GX204">
        <v>22.7746</v>
      </c>
      <c r="GY204">
        <v>62.5776</v>
      </c>
      <c r="GZ204">
        <v>35.1202</v>
      </c>
      <c r="HA204">
        <v>1</v>
      </c>
      <c r="HB204">
        <v>0.136684</v>
      </c>
      <c r="HC204">
        <v>2.47154</v>
      </c>
      <c r="HD204">
        <v>20.3159</v>
      </c>
      <c r="HE204">
        <v>5.21714</v>
      </c>
      <c r="HF204">
        <v>12.0099</v>
      </c>
      <c r="HG204">
        <v>4.9888</v>
      </c>
      <c r="HH204">
        <v>3.2885</v>
      </c>
      <c r="HI204">
        <v>855.4</v>
      </c>
      <c r="HJ204">
        <v>8514.9</v>
      </c>
      <c r="HK204">
        <v>5139.4</v>
      </c>
      <c r="HL204">
        <v>22.9</v>
      </c>
      <c r="HM204">
        <v>1.86751</v>
      </c>
      <c r="HN204">
        <v>1.86647</v>
      </c>
      <c r="HO204">
        <v>1.866</v>
      </c>
      <c r="HP204">
        <v>1.86588</v>
      </c>
      <c r="HQ204">
        <v>1.86775</v>
      </c>
      <c r="HR204">
        <v>1.87025</v>
      </c>
      <c r="HS204">
        <v>1.86891</v>
      </c>
      <c r="HT204">
        <v>1.87027</v>
      </c>
      <c r="HU204">
        <v>0</v>
      </c>
      <c r="HV204">
        <v>0</v>
      </c>
      <c r="HW204">
        <v>0</v>
      </c>
      <c r="HX204">
        <v>0</v>
      </c>
      <c r="HY204" t="s">
        <v>421</v>
      </c>
      <c r="HZ204" t="s">
        <v>422</v>
      </c>
      <c r="IA204" t="s">
        <v>423</v>
      </c>
      <c r="IB204" t="s">
        <v>423</v>
      </c>
      <c r="IC204" t="s">
        <v>423</v>
      </c>
      <c r="ID204" t="s">
        <v>423</v>
      </c>
      <c r="IE204">
        <v>0</v>
      </c>
      <c r="IF204">
        <v>100</v>
      </c>
      <c r="IG204">
        <v>100</v>
      </c>
      <c r="IH204">
        <v>-2.6</v>
      </c>
      <c r="II204">
        <v>0.0021</v>
      </c>
      <c r="IJ204">
        <v>-0.4995723906072</v>
      </c>
      <c r="IK204">
        <v>-0.002077099775823331</v>
      </c>
      <c r="IL204">
        <v>4.593143279902166E-07</v>
      </c>
      <c r="IM204">
        <v>-1.865383991892071E-10</v>
      </c>
      <c r="IN204">
        <v>-0.07605349583632376</v>
      </c>
      <c r="IO204">
        <v>-0.01129461987421345</v>
      </c>
      <c r="IP204">
        <v>0.00116580895745559</v>
      </c>
      <c r="IQ204">
        <v>-1.679085872906199E-05</v>
      </c>
      <c r="IR204">
        <v>2</v>
      </c>
      <c r="IS204">
        <v>2290</v>
      </c>
      <c r="IT204">
        <v>0</v>
      </c>
      <c r="IU204">
        <v>32</v>
      </c>
      <c r="IV204">
        <v>10.7</v>
      </c>
      <c r="IW204">
        <v>10.3</v>
      </c>
      <c r="IX204">
        <v>2.46704</v>
      </c>
      <c r="IY204">
        <v>2.20337</v>
      </c>
      <c r="IZ204">
        <v>1.39648</v>
      </c>
      <c r="JA204">
        <v>2.35962</v>
      </c>
      <c r="JB204">
        <v>1.49536</v>
      </c>
      <c r="JC204">
        <v>2.36084</v>
      </c>
      <c r="JD204">
        <v>38.4769</v>
      </c>
      <c r="JE204">
        <v>24.0437</v>
      </c>
      <c r="JF204">
        <v>18</v>
      </c>
      <c r="JG204">
        <v>514.506</v>
      </c>
      <c r="JH204">
        <v>425.097</v>
      </c>
      <c r="JI204">
        <v>22.4259</v>
      </c>
      <c r="JJ204">
        <v>29.0851</v>
      </c>
      <c r="JK204">
        <v>30</v>
      </c>
      <c r="JL204">
        <v>29.0875</v>
      </c>
      <c r="JM204">
        <v>29.0292</v>
      </c>
      <c r="JN204">
        <v>49.3629</v>
      </c>
      <c r="JO204">
        <v>52.7883</v>
      </c>
      <c r="JP204">
        <v>0</v>
      </c>
      <c r="JQ204">
        <v>22.4096</v>
      </c>
      <c r="JR204">
        <v>1250</v>
      </c>
      <c r="JS204">
        <v>9.687760000000001</v>
      </c>
      <c r="JT204">
        <v>100.302</v>
      </c>
      <c r="JU204">
        <v>100.214</v>
      </c>
    </row>
    <row r="205" spans="1:281">
      <c r="A205">
        <v>189</v>
      </c>
      <c r="B205">
        <v>1651857662.1</v>
      </c>
      <c r="C205">
        <v>661.5</v>
      </c>
      <c r="D205" t="s">
        <v>805</v>
      </c>
      <c r="E205" t="s">
        <v>806</v>
      </c>
      <c r="F205">
        <v>2</v>
      </c>
      <c r="G205" t="s">
        <v>413</v>
      </c>
      <c r="H205" t="s">
        <v>414</v>
      </c>
      <c r="I205">
        <v>1651857660.725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1236.580499374227</v>
      </c>
      <c r="AK205">
        <v>1190.37993939394</v>
      </c>
      <c r="AL205">
        <v>3.424175568398822</v>
      </c>
      <c r="AM205">
        <v>66.38384787954378</v>
      </c>
      <c r="AN205">
        <f>(AP205 - AO205 + DI205*1E3/(8.314*(DK205+273.15)) * AR205/DH205 * AQ205) * DH205/(100*CV205) * 1000/(1000 - AP205)</f>
        <v>0</v>
      </c>
      <c r="AO205">
        <v>9.507578762590706</v>
      </c>
      <c r="AP205">
        <v>18.1182632352941</v>
      </c>
      <c r="AQ205">
        <v>-0.0001733434492090556</v>
      </c>
      <c r="AR205">
        <v>80.44866334591464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417</v>
      </c>
      <c r="AY205" t="s">
        <v>417</v>
      </c>
      <c r="AZ205">
        <v>0</v>
      </c>
      <c r="BA205">
        <v>0</v>
      </c>
      <c r="BB205">
        <f>1-AZ205/BA205</f>
        <v>0</v>
      </c>
      <c r="BC205">
        <v>0</v>
      </c>
      <c r="BD205" t="s">
        <v>417</v>
      </c>
      <c r="BE205" t="s">
        <v>417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1238</v>
      </c>
      <c r="CA205">
        <v>300</v>
      </c>
      <c r="CB205">
        <v>300</v>
      </c>
      <c r="CC205">
        <v>300</v>
      </c>
      <c r="CD205">
        <v>10440.5</v>
      </c>
      <c r="CE205">
        <v>1411.69</v>
      </c>
      <c r="CF205">
        <v>-0.00735121</v>
      </c>
      <c r="CG205">
        <v>-0.77</v>
      </c>
      <c r="CH205" t="s">
        <v>417</v>
      </c>
      <c r="CI205" t="s">
        <v>417</v>
      </c>
      <c r="CJ205" t="s">
        <v>417</v>
      </c>
      <c r="CK205" t="s">
        <v>417</v>
      </c>
      <c r="CL205" t="s">
        <v>417</v>
      </c>
      <c r="CM205" t="s">
        <v>417</v>
      </c>
      <c r="CN205" t="s">
        <v>417</v>
      </c>
      <c r="CO205" t="s">
        <v>417</v>
      </c>
      <c r="CP205" t="s">
        <v>417</v>
      </c>
      <c r="CQ205" t="s">
        <v>417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418</v>
      </c>
      <c r="CY205">
        <v>2</v>
      </c>
      <c r="CZ205" t="b">
        <v>1</v>
      </c>
      <c r="DA205">
        <v>1651857660.725</v>
      </c>
      <c r="DB205">
        <v>1165.8725</v>
      </c>
      <c r="DC205">
        <v>1229.445</v>
      </c>
      <c r="DD205">
        <v>18.1186</v>
      </c>
      <c r="DE205">
        <v>9.553447500000001</v>
      </c>
      <c r="DF205">
        <v>1168.47</v>
      </c>
      <c r="DG205">
        <v>18.1165</v>
      </c>
      <c r="DH205">
        <v>500.04275</v>
      </c>
      <c r="DI205">
        <v>90.08847500000002</v>
      </c>
      <c r="DJ205">
        <v>0.099852525</v>
      </c>
      <c r="DK205">
        <v>25.762025</v>
      </c>
      <c r="DL205">
        <v>25.017975</v>
      </c>
      <c r="DM205">
        <v>999.9</v>
      </c>
      <c r="DN205">
        <v>0</v>
      </c>
      <c r="DO205">
        <v>0</v>
      </c>
      <c r="DP205">
        <v>9995.612499999999</v>
      </c>
      <c r="DQ205">
        <v>0</v>
      </c>
      <c r="DR205">
        <v>3.20383</v>
      </c>
      <c r="DS205">
        <v>-63.573325</v>
      </c>
      <c r="DT205">
        <v>1187.3875</v>
      </c>
      <c r="DU205">
        <v>1241.3075</v>
      </c>
      <c r="DV205">
        <v>8.565164999999999</v>
      </c>
      <c r="DW205">
        <v>1229.445</v>
      </c>
      <c r="DX205">
        <v>9.553447500000001</v>
      </c>
      <c r="DY205">
        <v>1.6322775</v>
      </c>
      <c r="DZ205">
        <v>0.8606555</v>
      </c>
      <c r="EA205">
        <v>14.26695</v>
      </c>
      <c r="EB205">
        <v>4.7491225</v>
      </c>
      <c r="EC205">
        <v>1499.97</v>
      </c>
      <c r="ED205">
        <v>0.973007</v>
      </c>
      <c r="EE205">
        <v>0.0269931</v>
      </c>
      <c r="EF205">
        <v>0</v>
      </c>
      <c r="EG205">
        <v>963.40425</v>
      </c>
      <c r="EH205">
        <v>5.00097</v>
      </c>
      <c r="EI205">
        <v>14316.2</v>
      </c>
      <c r="EJ205">
        <v>12491.375</v>
      </c>
      <c r="EK205">
        <v>37.5</v>
      </c>
      <c r="EL205">
        <v>39</v>
      </c>
      <c r="EM205">
        <v>37.875</v>
      </c>
      <c r="EN205">
        <v>38.75</v>
      </c>
      <c r="EO205">
        <v>38.375</v>
      </c>
      <c r="EP205">
        <v>1454.62</v>
      </c>
      <c r="EQ205">
        <v>40.35</v>
      </c>
      <c r="ER205">
        <v>0</v>
      </c>
      <c r="ES205">
        <v>661.2000000476837</v>
      </c>
      <c r="ET205">
        <v>0</v>
      </c>
      <c r="EU205">
        <v>966.2118399999999</v>
      </c>
      <c r="EV205">
        <v>-29.94653850888496</v>
      </c>
      <c r="EW205">
        <v>-449.8769237581823</v>
      </c>
      <c r="EX205">
        <v>14358.936</v>
      </c>
      <c r="EY205">
        <v>15</v>
      </c>
      <c r="EZ205">
        <v>1651857041.1</v>
      </c>
      <c r="FA205" t="s">
        <v>419</v>
      </c>
      <c r="FB205">
        <v>1651857019.6</v>
      </c>
      <c r="FC205">
        <v>1651857041.1</v>
      </c>
      <c r="FD205">
        <v>1</v>
      </c>
      <c r="FE205">
        <v>0.545</v>
      </c>
      <c r="FF205">
        <v>-0.002</v>
      </c>
      <c r="FG205">
        <v>-1.271</v>
      </c>
      <c r="FH205">
        <v>-0.09</v>
      </c>
      <c r="FI205">
        <v>400</v>
      </c>
      <c r="FJ205">
        <v>10</v>
      </c>
      <c r="FK205">
        <v>0.1</v>
      </c>
      <c r="FL205">
        <v>0.02</v>
      </c>
      <c r="FM205">
        <v>-63.49971463414634</v>
      </c>
      <c r="FN205">
        <v>-0.7742550522647416</v>
      </c>
      <c r="FO205">
        <v>0.1175959132377989</v>
      </c>
      <c r="FP205">
        <v>-1</v>
      </c>
      <c r="FQ205">
        <v>8.759066341463415</v>
      </c>
      <c r="FR205">
        <v>-1.160300696864119</v>
      </c>
      <c r="FS205">
        <v>0.1149153359558011</v>
      </c>
      <c r="FT205">
        <v>-1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0</v>
      </c>
      <c r="GA205" t="s">
        <v>432</v>
      </c>
      <c r="GB205">
        <v>2.9799</v>
      </c>
      <c r="GC205">
        <v>2.70593</v>
      </c>
      <c r="GD205">
        <v>0.18921</v>
      </c>
      <c r="GE205">
        <v>0.193283</v>
      </c>
      <c r="GF205">
        <v>0.0869699</v>
      </c>
      <c r="GG205">
        <v>0.0535402</v>
      </c>
      <c r="GH205">
        <v>25582.2</v>
      </c>
      <c r="GI205">
        <v>25509.3</v>
      </c>
      <c r="GJ205">
        <v>29342.4</v>
      </c>
      <c r="GK205">
        <v>29255.8</v>
      </c>
      <c r="GL205">
        <v>35479</v>
      </c>
      <c r="GM205">
        <v>36878.4</v>
      </c>
      <c r="GN205">
        <v>41303.4</v>
      </c>
      <c r="GO205">
        <v>41752.6</v>
      </c>
      <c r="GP205">
        <v>1.95462</v>
      </c>
      <c r="GQ205">
        <v>1.83838</v>
      </c>
      <c r="GR205">
        <v>-0.0339746</v>
      </c>
      <c r="GS205">
        <v>0</v>
      </c>
      <c r="GT205">
        <v>25.5764</v>
      </c>
      <c r="GU205">
        <v>999.9</v>
      </c>
      <c r="GV205">
        <v>38.4</v>
      </c>
      <c r="GW205">
        <v>34</v>
      </c>
      <c r="GX205">
        <v>22.775</v>
      </c>
      <c r="GY205">
        <v>62.5876</v>
      </c>
      <c r="GZ205">
        <v>35.2083</v>
      </c>
      <c r="HA205">
        <v>1</v>
      </c>
      <c r="HB205">
        <v>0.136715</v>
      </c>
      <c r="HC205">
        <v>2.49211</v>
      </c>
      <c r="HD205">
        <v>20.3154</v>
      </c>
      <c r="HE205">
        <v>5.21714</v>
      </c>
      <c r="HF205">
        <v>12.0099</v>
      </c>
      <c r="HG205">
        <v>4.9886</v>
      </c>
      <c r="HH205">
        <v>3.2885</v>
      </c>
      <c r="HI205">
        <v>855.4</v>
      </c>
      <c r="HJ205">
        <v>8514.9</v>
      </c>
      <c r="HK205">
        <v>5139.4</v>
      </c>
      <c r="HL205">
        <v>22.9</v>
      </c>
      <c r="HM205">
        <v>1.86752</v>
      </c>
      <c r="HN205">
        <v>1.86646</v>
      </c>
      <c r="HO205">
        <v>1.866</v>
      </c>
      <c r="HP205">
        <v>1.86588</v>
      </c>
      <c r="HQ205">
        <v>1.86774</v>
      </c>
      <c r="HR205">
        <v>1.87026</v>
      </c>
      <c r="HS205">
        <v>1.8689</v>
      </c>
      <c r="HT205">
        <v>1.87027</v>
      </c>
      <c r="HU205">
        <v>0</v>
      </c>
      <c r="HV205">
        <v>0</v>
      </c>
      <c r="HW205">
        <v>0</v>
      </c>
      <c r="HX205">
        <v>0</v>
      </c>
      <c r="HY205" t="s">
        <v>421</v>
      </c>
      <c r="HZ205" t="s">
        <v>422</v>
      </c>
      <c r="IA205" t="s">
        <v>423</v>
      </c>
      <c r="IB205" t="s">
        <v>423</v>
      </c>
      <c r="IC205" t="s">
        <v>423</v>
      </c>
      <c r="ID205" t="s">
        <v>423</v>
      </c>
      <c r="IE205">
        <v>0</v>
      </c>
      <c r="IF205">
        <v>100</v>
      </c>
      <c r="IG205">
        <v>100</v>
      </c>
      <c r="IH205">
        <v>-2.61</v>
      </c>
      <c r="II205">
        <v>0.0021</v>
      </c>
      <c r="IJ205">
        <v>-0.4995723906072</v>
      </c>
      <c r="IK205">
        <v>-0.002077099775823331</v>
      </c>
      <c r="IL205">
        <v>4.593143279902166E-07</v>
      </c>
      <c r="IM205">
        <v>-1.865383991892071E-10</v>
      </c>
      <c r="IN205">
        <v>-0.07605349583632376</v>
      </c>
      <c r="IO205">
        <v>-0.01129461987421345</v>
      </c>
      <c r="IP205">
        <v>0.00116580895745559</v>
      </c>
      <c r="IQ205">
        <v>-1.679085872906199E-05</v>
      </c>
      <c r="IR205">
        <v>2</v>
      </c>
      <c r="IS205">
        <v>2290</v>
      </c>
      <c r="IT205">
        <v>0</v>
      </c>
      <c r="IU205">
        <v>32</v>
      </c>
      <c r="IV205">
        <v>10.7</v>
      </c>
      <c r="IW205">
        <v>10.3</v>
      </c>
      <c r="IX205">
        <v>2.47681</v>
      </c>
      <c r="IY205">
        <v>2.20703</v>
      </c>
      <c r="IZ205">
        <v>1.39648</v>
      </c>
      <c r="JA205">
        <v>2.35962</v>
      </c>
      <c r="JB205">
        <v>1.49536</v>
      </c>
      <c r="JC205">
        <v>2.30591</v>
      </c>
      <c r="JD205">
        <v>38.4769</v>
      </c>
      <c r="JE205">
        <v>24.035</v>
      </c>
      <c r="JF205">
        <v>18</v>
      </c>
      <c r="JG205">
        <v>514.342</v>
      </c>
      <c r="JH205">
        <v>425.135</v>
      </c>
      <c r="JI205">
        <v>22.4171</v>
      </c>
      <c r="JJ205">
        <v>29.0836</v>
      </c>
      <c r="JK205">
        <v>30.0001</v>
      </c>
      <c r="JL205">
        <v>29.0875</v>
      </c>
      <c r="JM205">
        <v>29.0281</v>
      </c>
      <c r="JN205">
        <v>49.579</v>
      </c>
      <c r="JO205">
        <v>52.4885</v>
      </c>
      <c r="JP205">
        <v>0</v>
      </c>
      <c r="JQ205">
        <v>22.4096</v>
      </c>
      <c r="JR205">
        <v>1256.7</v>
      </c>
      <c r="JS205">
        <v>9.725160000000001</v>
      </c>
      <c r="JT205">
        <v>100.302</v>
      </c>
      <c r="JU205">
        <v>100.214</v>
      </c>
    </row>
    <row r="206" spans="1:281">
      <c r="A206">
        <v>190</v>
      </c>
      <c r="B206">
        <v>1651857664.1</v>
      </c>
      <c r="C206">
        <v>663.5</v>
      </c>
      <c r="D206" t="s">
        <v>807</v>
      </c>
      <c r="E206" t="s">
        <v>808</v>
      </c>
      <c r="F206">
        <v>2</v>
      </c>
      <c r="G206" t="s">
        <v>413</v>
      </c>
      <c r="H206" t="s">
        <v>414</v>
      </c>
      <c r="I206">
        <v>1651857663.1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1243.348520778172</v>
      </c>
      <c r="AK206">
        <v>1197.147212121212</v>
      </c>
      <c r="AL206">
        <v>3.395687743826932</v>
      </c>
      <c r="AM206">
        <v>66.38384787954378</v>
      </c>
      <c r="AN206">
        <f>(AP206 - AO206 + DI206*1E3/(8.314*(DK206+273.15)) * AR206/DH206 * AQ206) * DH206/(100*CV206) * 1000/(1000 - AP206)</f>
        <v>0</v>
      </c>
      <c r="AO206">
        <v>9.540030698774592</v>
      </c>
      <c r="AP206">
        <v>18.114005</v>
      </c>
      <c r="AQ206">
        <v>-4.959995727421203E-05</v>
      </c>
      <c r="AR206">
        <v>80.44866334591464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417</v>
      </c>
      <c r="AY206" t="s">
        <v>417</v>
      </c>
      <c r="AZ206">
        <v>0</v>
      </c>
      <c r="BA206">
        <v>0</v>
      </c>
      <c r="BB206">
        <f>1-AZ206/BA206</f>
        <v>0</v>
      </c>
      <c r="BC206">
        <v>0</v>
      </c>
      <c r="BD206" t="s">
        <v>417</v>
      </c>
      <c r="BE206" t="s">
        <v>417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1238</v>
      </c>
      <c r="CA206">
        <v>300</v>
      </c>
      <c r="CB206">
        <v>300</v>
      </c>
      <c r="CC206">
        <v>300</v>
      </c>
      <c r="CD206">
        <v>10440.5</v>
      </c>
      <c r="CE206">
        <v>1411.69</v>
      </c>
      <c r="CF206">
        <v>-0.00735121</v>
      </c>
      <c r="CG206">
        <v>-0.77</v>
      </c>
      <c r="CH206" t="s">
        <v>417</v>
      </c>
      <c r="CI206" t="s">
        <v>417</v>
      </c>
      <c r="CJ206" t="s">
        <v>417</v>
      </c>
      <c r="CK206" t="s">
        <v>417</v>
      </c>
      <c r="CL206" t="s">
        <v>417</v>
      </c>
      <c r="CM206" t="s">
        <v>417</v>
      </c>
      <c r="CN206" t="s">
        <v>417</v>
      </c>
      <c r="CO206" t="s">
        <v>417</v>
      </c>
      <c r="CP206" t="s">
        <v>417</v>
      </c>
      <c r="CQ206" t="s">
        <v>417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418</v>
      </c>
      <c r="CY206">
        <v>2</v>
      </c>
      <c r="CZ206" t="b">
        <v>1</v>
      </c>
      <c r="DA206">
        <v>1651857663.1</v>
      </c>
      <c r="DB206">
        <v>1173.803333333334</v>
      </c>
      <c r="DC206">
        <v>1237.433333333333</v>
      </c>
      <c r="DD206">
        <v>18.11443333333333</v>
      </c>
      <c r="DE206">
        <v>9.587839999999998</v>
      </c>
      <c r="DF206">
        <v>1176.416666666667</v>
      </c>
      <c r="DG206">
        <v>18.11236666666667</v>
      </c>
      <c r="DH206">
        <v>500.02</v>
      </c>
      <c r="DI206">
        <v>90.08893333333333</v>
      </c>
      <c r="DJ206">
        <v>0.1000222666666667</v>
      </c>
      <c r="DK206">
        <v>25.76223333333333</v>
      </c>
      <c r="DL206">
        <v>25.02476666666666</v>
      </c>
      <c r="DM206">
        <v>999.9</v>
      </c>
      <c r="DN206">
        <v>0</v>
      </c>
      <c r="DO206">
        <v>0</v>
      </c>
      <c r="DP206">
        <v>9980.620000000001</v>
      </c>
      <c r="DQ206">
        <v>0</v>
      </c>
      <c r="DR206">
        <v>3.20383</v>
      </c>
      <c r="DS206">
        <v>-63.62906666666667</v>
      </c>
      <c r="DT206">
        <v>1195.46</v>
      </c>
      <c r="DU206">
        <v>1249.413333333333</v>
      </c>
      <c r="DV206">
        <v>8.526603333333334</v>
      </c>
      <c r="DW206">
        <v>1237.433333333333</v>
      </c>
      <c r="DX206">
        <v>9.587839999999998</v>
      </c>
      <c r="DY206">
        <v>1.63191</v>
      </c>
      <c r="DZ206">
        <v>0.8637589999999999</v>
      </c>
      <c r="EA206">
        <v>14.2635</v>
      </c>
      <c r="EB206">
        <v>4.800666666666666</v>
      </c>
      <c r="EC206">
        <v>1499.966666666666</v>
      </c>
      <c r="ED206">
        <v>0.973007</v>
      </c>
      <c r="EE206">
        <v>0.0269931</v>
      </c>
      <c r="EF206">
        <v>0</v>
      </c>
      <c r="EG206">
        <v>961.947</v>
      </c>
      <c r="EH206">
        <v>5.00097</v>
      </c>
      <c r="EI206">
        <v>14299.83333333333</v>
      </c>
      <c r="EJ206">
        <v>12491.36666666667</v>
      </c>
      <c r="EK206">
        <v>37.5</v>
      </c>
      <c r="EL206">
        <v>39</v>
      </c>
      <c r="EM206">
        <v>37.875</v>
      </c>
      <c r="EN206">
        <v>38.75</v>
      </c>
      <c r="EO206">
        <v>38.375</v>
      </c>
      <c r="EP206">
        <v>1454.616666666667</v>
      </c>
      <c r="EQ206">
        <v>40.35</v>
      </c>
      <c r="ER206">
        <v>0</v>
      </c>
      <c r="ES206">
        <v>663</v>
      </c>
      <c r="ET206">
        <v>0</v>
      </c>
      <c r="EU206">
        <v>965.4381923076924</v>
      </c>
      <c r="EV206">
        <v>-30.23558974556732</v>
      </c>
      <c r="EW206">
        <v>-447.1760683747537</v>
      </c>
      <c r="EX206">
        <v>14347.77307692308</v>
      </c>
      <c r="EY206">
        <v>15</v>
      </c>
      <c r="EZ206">
        <v>1651857041.1</v>
      </c>
      <c r="FA206" t="s">
        <v>419</v>
      </c>
      <c r="FB206">
        <v>1651857019.6</v>
      </c>
      <c r="FC206">
        <v>1651857041.1</v>
      </c>
      <c r="FD206">
        <v>1</v>
      </c>
      <c r="FE206">
        <v>0.545</v>
      </c>
      <c r="FF206">
        <v>-0.002</v>
      </c>
      <c r="FG206">
        <v>-1.271</v>
      </c>
      <c r="FH206">
        <v>-0.09</v>
      </c>
      <c r="FI206">
        <v>400</v>
      </c>
      <c r="FJ206">
        <v>10</v>
      </c>
      <c r="FK206">
        <v>0.1</v>
      </c>
      <c r="FL206">
        <v>0.02</v>
      </c>
      <c r="FM206">
        <v>-63.51879512195121</v>
      </c>
      <c r="FN206">
        <v>-0.9010411149826368</v>
      </c>
      <c r="FO206">
        <v>0.1190377823833305</v>
      </c>
      <c r="FP206">
        <v>-1</v>
      </c>
      <c r="FQ206">
        <v>8.701233414634148</v>
      </c>
      <c r="FR206">
        <v>-1.12121707317071</v>
      </c>
      <c r="FS206">
        <v>0.1110077248819299</v>
      </c>
      <c r="FT206">
        <v>-1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0</v>
      </c>
      <c r="GA206" t="s">
        <v>432</v>
      </c>
      <c r="GB206">
        <v>2.97998</v>
      </c>
      <c r="GC206">
        <v>2.70601</v>
      </c>
      <c r="GD206">
        <v>0.189891</v>
      </c>
      <c r="GE206">
        <v>0.19395</v>
      </c>
      <c r="GF206">
        <v>0.08694730000000001</v>
      </c>
      <c r="GG206">
        <v>0.053685</v>
      </c>
      <c r="GH206">
        <v>25560.6</v>
      </c>
      <c r="GI206">
        <v>25488.1</v>
      </c>
      <c r="GJ206">
        <v>29342.2</v>
      </c>
      <c r="GK206">
        <v>29255.8</v>
      </c>
      <c r="GL206">
        <v>35479.7</v>
      </c>
      <c r="GM206">
        <v>36872.6</v>
      </c>
      <c r="GN206">
        <v>41303.2</v>
      </c>
      <c r="GO206">
        <v>41752.4</v>
      </c>
      <c r="GP206">
        <v>1.95448</v>
      </c>
      <c r="GQ206">
        <v>1.83835</v>
      </c>
      <c r="GR206">
        <v>-0.033509</v>
      </c>
      <c r="GS206">
        <v>0</v>
      </c>
      <c r="GT206">
        <v>25.5757</v>
      </c>
      <c r="GU206">
        <v>999.9</v>
      </c>
      <c r="GV206">
        <v>38.4</v>
      </c>
      <c r="GW206">
        <v>34</v>
      </c>
      <c r="GX206">
        <v>22.7744</v>
      </c>
      <c r="GY206">
        <v>62.7776</v>
      </c>
      <c r="GZ206">
        <v>35.3846</v>
      </c>
      <c r="HA206">
        <v>1</v>
      </c>
      <c r="HB206">
        <v>0.136682</v>
      </c>
      <c r="HC206">
        <v>2.47909</v>
      </c>
      <c r="HD206">
        <v>20.3155</v>
      </c>
      <c r="HE206">
        <v>5.21714</v>
      </c>
      <c r="HF206">
        <v>12.0099</v>
      </c>
      <c r="HG206">
        <v>4.9886</v>
      </c>
      <c r="HH206">
        <v>3.2885</v>
      </c>
      <c r="HI206">
        <v>855.4</v>
      </c>
      <c r="HJ206">
        <v>8514.9</v>
      </c>
      <c r="HK206">
        <v>5139.4</v>
      </c>
      <c r="HL206">
        <v>22.9</v>
      </c>
      <c r="HM206">
        <v>1.86752</v>
      </c>
      <c r="HN206">
        <v>1.86646</v>
      </c>
      <c r="HO206">
        <v>1.866</v>
      </c>
      <c r="HP206">
        <v>1.86587</v>
      </c>
      <c r="HQ206">
        <v>1.86772</v>
      </c>
      <c r="HR206">
        <v>1.87027</v>
      </c>
      <c r="HS206">
        <v>1.8689</v>
      </c>
      <c r="HT206">
        <v>1.87027</v>
      </c>
      <c r="HU206">
        <v>0</v>
      </c>
      <c r="HV206">
        <v>0</v>
      </c>
      <c r="HW206">
        <v>0</v>
      </c>
      <c r="HX206">
        <v>0</v>
      </c>
      <c r="HY206" t="s">
        <v>421</v>
      </c>
      <c r="HZ206" t="s">
        <v>422</v>
      </c>
      <c r="IA206" t="s">
        <v>423</v>
      </c>
      <c r="IB206" t="s">
        <v>423</v>
      </c>
      <c r="IC206" t="s">
        <v>423</v>
      </c>
      <c r="ID206" t="s">
        <v>423</v>
      </c>
      <c r="IE206">
        <v>0</v>
      </c>
      <c r="IF206">
        <v>100</v>
      </c>
      <c r="IG206">
        <v>100</v>
      </c>
      <c r="IH206">
        <v>-2.62</v>
      </c>
      <c r="II206">
        <v>0.002</v>
      </c>
      <c r="IJ206">
        <v>-0.4995723906072</v>
      </c>
      <c r="IK206">
        <v>-0.002077099775823331</v>
      </c>
      <c r="IL206">
        <v>4.593143279902166E-07</v>
      </c>
      <c r="IM206">
        <v>-1.865383991892071E-10</v>
      </c>
      <c r="IN206">
        <v>-0.07605349583632376</v>
      </c>
      <c r="IO206">
        <v>-0.01129461987421345</v>
      </c>
      <c r="IP206">
        <v>0.00116580895745559</v>
      </c>
      <c r="IQ206">
        <v>-1.679085872906199E-05</v>
      </c>
      <c r="IR206">
        <v>2</v>
      </c>
      <c r="IS206">
        <v>2290</v>
      </c>
      <c r="IT206">
        <v>0</v>
      </c>
      <c r="IU206">
        <v>32</v>
      </c>
      <c r="IV206">
        <v>10.7</v>
      </c>
      <c r="IW206">
        <v>10.4</v>
      </c>
      <c r="IX206">
        <v>2.48779</v>
      </c>
      <c r="IY206">
        <v>2.20215</v>
      </c>
      <c r="IZ206">
        <v>1.39648</v>
      </c>
      <c r="JA206">
        <v>2.3584</v>
      </c>
      <c r="JB206">
        <v>1.49536</v>
      </c>
      <c r="JC206">
        <v>2.35229</v>
      </c>
      <c r="JD206">
        <v>38.4769</v>
      </c>
      <c r="JE206">
        <v>24.035</v>
      </c>
      <c r="JF206">
        <v>18</v>
      </c>
      <c r="JG206">
        <v>514.235</v>
      </c>
      <c r="JH206">
        <v>425.112</v>
      </c>
      <c r="JI206">
        <v>22.4069</v>
      </c>
      <c r="JJ206">
        <v>29.0836</v>
      </c>
      <c r="JK206">
        <v>30</v>
      </c>
      <c r="JL206">
        <v>29.0865</v>
      </c>
      <c r="JM206">
        <v>29.027</v>
      </c>
      <c r="JN206">
        <v>49.7915</v>
      </c>
      <c r="JO206">
        <v>52.4885</v>
      </c>
      <c r="JP206">
        <v>0</v>
      </c>
      <c r="JQ206">
        <v>22.3902</v>
      </c>
      <c r="JR206">
        <v>1263.39</v>
      </c>
      <c r="JS206">
        <v>9.769740000000001</v>
      </c>
      <c r="JT206">
        <v>100.302</v>
      </c>
      <c r="JU206">
        <v>100.213</v>
      </c>
    </row>
    <row r="207" spans="1:281">
      <c r="A207">
        <v>191</v>
      </c>
      <c r="B207">
        <v>1651857666.1</v>
      </c>
      <c r="C207">
        <v>665.5</v>
      </c>
      <c r="D207" t="s">
        <v>809</v>
      </c>
      <c r="E207" t="s">
        <v>810</v>
      </c>
      <c r="F207">
        <v>2</v>
      </c>
      <c r="G207" t="s">
        <v>413</v>
      </c>
      <c r="H207" t="s">
        <v>414</v>
      </c>
      <c r="I207">
        <v>1651857664.725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1250.209245119727</v>
      </c>
      <c r="AK207">
        <v>1204.001818181818</v>
      </c>
      <c r="AL207">
        <v>3.413217378965831</v>
      </c>
      <c r="AM207">
        <v>66.38384787954378</v>
      </c>
      <c r="AN207">
        <f>(AP207 - AO207 + DI207*1E3/(8.314*(DK207+273.15)) * AR207/DH207 * AQ207) * DH207/(100*CV207) * 1000/(1000 - AP207)</f>
        <v>0</v>
      </c>
      <c r="AO207">
        <v>9.563794167341898</v>
      </c>
      <c r="AP207">
        <v>18.10447588235293</v>
      </c>
      <c r="AQ207">
        <v>4.194039290594518E-05</v>
      </c>
      <c r="AR207">
        <v>80.44866334591464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417</v>
      </c>
      <c r="AY207" t="s">
        <v>417</v>
      </c>
      <c r="AZ207">
        <v>0</v>
      </c>
      <c r="BA207">
        <v>0</v>
      </c>
      <c r="BB207">
        <f>1-AZ207/BA207</f>
        <v>0</v>
      </c>
      <c r="BC207">
        <v>0</v>
      </c>
      <c r="BD207" t="s">
        <v>417</v>
      </c>
      <c r="BE207" t="s">
        <v>417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1238</v>
      </c>
      <c r="CA207">
        <v>300</v>
      </c>
      <c r="CB207">
        <v>300</v>
      </c>
      <c r="CC207">
        <v>300</v>
      </c>
      <c r="CD207">
        <v>10440.5</v>
      </c>
      <c r="CE207">
        <v>1411.69</v>
      </c>
      <c r="CF207">
        <v>-0.00735121</v>
      </c>
      <c r="CG207">
        <v>-0.77</v>
      </c>
      <c r="CH207" t="s">
        <v>417</v>
      </c>
      <c r="CI207" t="s">
        <v>417</v>
      </c>
      <c r="CJ207" t="s">
        <v>417</v>
      </c>
      <c r="CK207" t="s">
        <v>417</v>
      </c>
      <c r="CL207" t="s">
        <v>417</v>
      </c>
      <c r="CM207" t="s">
        <v>417</v>
      </c>
      <c r="CN207" t="s">
        <v>417</v>
      </c>
      <c r="CO207" t="s">
        <v>417</v>
      </c>
      <c r="CP207" t="s">
        <v>417</v>
      </c>
      <c r="CQ207" t="s">
        <v>417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418</v>
      </c>
      <c r="CY207">
        <v>2</v>
      </c>
      <c r="CZ207" t="b">
        <v>1</v>
      </c>
      <c r="DA207">
        <v>1651857664.725</v>
      </c>
      <c r="DB207">
        <v>1179.26</v>
      </c>
      <c r="DC207">
        <v>1242.855</v>
      </c>
      <c r="DD207">
        <v>18.10835</v>
      </c>
      <c r="DE207">
        <v>9.6216925</v>
      </c>
      <c r="DF207">
        <v>1181.88</v>
      </c>
      <c r="DG207">
        <v>18.1064</v>
      </c>
      <c r="DH207">
        <v>500.01825</v>
      </c>
      <c r="DI207">
        <v>90.0907</v>
      </c>
      <c r="DJ207">
        <v>0.10008875</v>
      </c>
      <c r="DK207">
        <v>25.760775</v>
      </c>
      <c r="DL207">
        <v>25.02475</v>
      </c>
      <c r="DM207">
        <v>999.9</v>
      </c>
      <c r="DN207">
        <v>0</v>
      </c>
      <c r="DO207">
        <v>0</v>
      </c>
      <c r="DP207">
        <v>9975.625</v>
      </c>
      <c r="DQ207">
        <v>0</v>
      </c>
      <c r="DR207">
        <v>3.2091</v>
      </c>
      <c r="DS207">
        <v>-63.5961</v>
      </c>
      <c r="DT207">
        <v>1201.01</v>
      </c>
      <c r="DU207">
        <v>1254.93</v>
      </c>
      <c r="DV207">
        <v>8.486660000000001</v>
      </c>
      <c r="DW207">
        <v>1242.855</v>
      </c>
      <c r="DX207">
        <v>9.6216925</v>
      </c>
      <c r="DY207">
        <v>1.6313925</v>
      </c>
      <c r="DZ207">
        <v>0.8668252500000001</v>
      </c>
      <c r="EA207">
        <v>14.258575</v>
      </c>
      <c r="EB207">
        <v>4.8514125</v>
      </c>
      <c r="EC207">
        <v>1500.0375</v>
      </c>
      <c r="ED207">
        <v>0.9730082499999999</v>
      </c>
      <c r="EE207">
        <v>0.02699174999999999</v>
      </c>
      <c r="EF207">
        <v>0</v>
      </c>
      <c r="EG207">
        <v>961.18575</v>
      </c>
      <c r="EH207">
        <v>5.00097</v>
      </c>
      <c r="EI207">
        <v>14289</v>
      </c>
      <c r="EJ207">
        <v>12491.95</v>
      </c>
      <c r="EK207">
        <v>37.5</v>
      </c>
      <c r="EL207">
        <v>39</v>
      </c>
      <c r="EM207">
        <v>37.875</v>
      </c>
      <c r="EN207">
        <v>38.75</v>
      </c>
      <c r="EO207">
        <v>38.375</v>
      </c>
      <c r="EP207">
        <v>1454.685</v>
      </c>
      <c r="EQ207">
        <v>40.35</v>
      </c>
      <c r="ER207">
        <v>0</v>
      </c>
      <c r="ES207">
        <v>665.4000000953674</v>
      </c>
      <c r="ET207">
        <v>0</v>
      </c>
      <c r="EU207">
        <v>964.2478846153847</v>
      </c>
      <c r="EV207">
        <v>-30.01945294537828</v>
      </c>
      <c r="EW207">
        <v>-442.0102557890596</v>
      </c>
      <c r="EX207">
        <v>14330.08461538461</v>
      </c>
      <c r="EY207">
        <v>15</v>
      </c>
      <c r="EZ207">
        <v>1651857041.1</v>
      </c>
      <c r="FA207" t="s">
        <v>419</v>
      </c>
      <c r="FB207">
        <v>1651857019.6</v>
      </c>
      <c r="FC207">
        <v>1651857041.1</v>
      </c>
      <c r="FD207">
        <v>1</v>
      </c>
      <c r="FE207">
        <v>0.545</v>
      </c>
      <c r="FF207">
        <v>-0.002</v>
      </c>
      <c r="FG207">
        <v>-1.271</v>
      </c>
      <c r="FH207">
        <v>-0.09</v>
      </c>
      <c r="FI207">
        <v>400</v>
      </c>
      <c r="FJ207">
        <v>10</v>
      </c>
      <c r="FK207">
        <v>0.1</v>
      </c>
      <c r="FL207">
        <v>0.02</v>
      </c>
      <c r="FM207">
        <v>-63.55456</v>
      </c>
      <c r="FN207">
        <v>-0.5359091932457503</v>
      </c>
      <c r="FO207">
        <v>0.07658710008872205</v>
      </c>
      <c r="FP207">
        <v>-1</v>
      </c>
      <c r="FQ207">
        <v>8.669096249999999</v>
      </c>
      <c r="FR207">
        <v>-1.14421767354599</v>
      </c>
      <c r="FS207">
        <v>0.1104765668521498</v>
      </c>
      <c r="FT207">
        <v>-1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0</v>
      </c>
      <c r="GA207" t="s">
        <v>432</v>
      </c>
      <c r="GB207">
        <v>2.97999</v>
      </c>
      <c r="GC207">
        <v>2.70616</v>
      </c>
      <c r="GD207">
        <v>0.190573</v>
      </c>
      <c r="GE207">
        <v>0.194596</v>
      </c>
      <c r="GF207">
        <v>0.0869219</v>
      </c>
      <c r="GG207">
        <v>0.0539051</v>
      </c>
      <c r="GH207">
        <v>25539.2</v>
      </c>
      <c r="GI207">
        <v>25467.6</v>
      </c>
      <c r="GJ207">
        <v>29342.3</v>
      </c>
      <c r="GK207">
        <v>29255.7</v>
      </c>
      <c r="GL207">
        <v>35480.8</v>
      </c>
      <c r="GM207">
        <v>36863.9</v>
      </c>
      <c r="GN207">
        <v>41303.3</v>
      </c>
      <c r="GO207">
        <v>41752.3</v>
      </c>
      <c r="GP207">
        <v>1.95445</v>
      </c>
      <c r="GQ207">
        <v>1.8383</v>
      </c>
      <c r="GR207">
        <v>-0.0338852</v>
      </c>
      <c r="GS207">
        <v>0</v>
      </c>
      <c r="GT207">
        <v>25.5754</v>
      </c>
      <c r="GU207">
        <v>999.9</v>
      </c>
      <c r="GV207">
        <v>38.4</v>
      </c>
      <c r="GW207">
        <v>34</v>
      </c>
      <c r="GX207">
        <v>22.7731</v>
      </c>
      <c r="GY207">
        <v>62.3976</v>
      </c>
      <c r="GZ207">
        <v>35.3686</v>
      </c>
      <c r="HA207">
        <v>1</v>
      </c>
      <c r="HB207">
        <v>0.136657</v>
      </c>
      <c r="HC207">
        <v>2.49132</v>
      </c>
      <c r="HD207">
        <v>20.3154</v>
      </c>
      <c r="HE207">
        <v>5.21684</v>
      </c>
      <c r="HF207">
        <v>12.0099</v>
      </c>
      <c r="HG207">
        <v>4.9887</v>
      </c>
      <c r="HH207">
        <v>3.2885</v>
      </c>
      <c r="HI207">
        <v>855.6</v>
      </c>
      <c r="HJ207">
        <v>8517</v>
      </c>
      <c r="HK207">
        <v>5139.4</v>
      </c>
      <c r="HL207">
        <v>22.9</v>
      </c>
      <c r="HM207">
        <v>1.86752</v>
      </c>
      <c r="HN207">
        <v>1.86646</v>
      </c>
      <c r="HO207">
        <v>1.866</v>
      </c>
      <c r="HP207">
        <v>1.86588</v>
      </c>
      <c r="HQ207">
        <v>1.86773</v>
      </c>
      <c r="HR207">
        <v>1.87027</v>
      </c>
      <c r="HS207">
        <v>1.8689</v>
      </c>
      <c r="HT207">
        <v>1.87027</v>
      </c>
      <c r="HU207">
        <v>0</v>
      </c>
      <c r="HV207">
        <v>0</v>
      </c>
      <c r="HW207">
        <v>0</v>
      </c>
      <c r="HX207">
        <v>0</v>
      </c>
      <c r="HY207" t="s">
        <v>421</v>
      </c>
      <c r="HZ207" t="s">
        <v>422</v>
      </c>
      <c r="IA207" t="s">
        <v>423</v>
      </c>
      <c r="IB207" t="s">
        <v>423</v>
      </c>
      <c r="IC207" t="s">
        <v>423</v>
      </c>
      <c r="ID207" t="s">
        <v>423</v>
      </c>
      <c r="IE207">
        <v>0</v>
      </c>
      <c r="IF207">
        <v>100</v>
      </c>
      <c r="IG207">
        <v>100</v>
      </c>
      <c r="IH207">
        <v>-2.63</v>
      </c>
      <c r="II207">
        <v>0.0019</v>
      </c>
      <c r="IJ207">
        <v>-0.4995723906072</v>
      </c>
      <c r="IK207">
        <v>-0.002077099775823331</v>
      </c>
      <c r="IL207">
        <v>4.593143279902166E-07</v>
      </c>
      <c r="IM207">
        <v>-1.865383991892071E-10</v>
      </c>
      <c r="IN207">
        <v>-0.07605349583632376</v>
      </c>
      <c r="IO207">
        <v>-0.01129461987421345</v>
      </c>
      <c r="IP207">
        <v>0.00116580895745559</v>
      </c>
      <c r="IQ207">
        <v>-1.679085872906199E-05</v>
      </c>
      <c r="IR207">
        <v>2</v>
      </c>
      <c r="IS207">
        <v>2290</v>
      </c>
      <c r="IT207">
        <v>0</v>
      </c>
      <c r="IU207">
        <v>32</v>
      </c>
      <c r="IV207">
        <v>10.8</v>
      </c>
      <c r="IW207">
        <v>10.4</v>
      </c>
      <c r="IX207">
        <v>2.49878</v>
      </c>
      <c r="IY207">
        <v>2.20093</v>
      </c>
      <c r="IZ207">
        <v>1.39648</v>
      </c>
      <c r="JA207">
        <v>2.35962</v>
      </c>
      <c r="JB207">
        <v>1.49536</v>
      </c>
      <c r="JC207">
        <v>2.3291</v>
      </c>
      <c r="JD207">
        <v>38.4769</v>
      </c>
      <c r="JE207">
        <v>24.0437</v>
      </c>
      <c r="JF207">
        <v>18</v>
      </c>
      <c r="JG207">
        <v>514.207</v>
      </c>
      <c r="JH207">
        <v>425.079</v>
      </c>
      <c r="JI207">
        <v>22.3986</v>
      </c>
      <c r="JJ207">
        <v>29.0836</v>
      </c>
      <c r="JK207">
        <v>30</v>
      </c>
      <c r="JL207">
        <v>29.0852</v>
      </c>
      <c r="JM207">
        <v>29.0267</v>
      </c>
      <c r="JN207">
        <v>50.0171</v>
      </c>
      <c r="JO207">
        <v>52.4885</v>
      </c>
      <c r="JP207">
        <v>0</v>
      </c>
      <c r="JQ207">
        <v>22.3902</v>
      </c>
      <c r="JR207">
        <v>1270.07</v>
      </c>
      <c r="JS207">
        <v>9.807729999999999</v>
      </c>
      <c r="JT207">
        <v>100.302</v>
      </c>
      <c r="JU207">
        <v>100.213</v>
      </c>
    </row>
    <row r="208" spans="1:281">
      <c r="A208">
        <v>192</v>
      </c>
      <c r="B208">
        <v>1651857668.1</v>
      </c>
      <c r="C208">
        <v>667.5</v>
      </c>
      <c r="D208" t="s">
        <v>811</v>
      </c>
      <c r="E208" t="s">
        <v>812</v>
      </c>
      <c r="F208">
        <v>2</v>
      </c>
      <c r="G208" t="s">
        <v>413</v>
      </c>
      <c r="H208" t="s">
        <v>414</v>
      </c>
      <c r="I208">
        <v>1651857667.1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1256.964553055078</v>
      </c>
      <c r="AK208">
        <v>1210.736848484848</v>
      </c>
      <c r="AL208">
        <v>3.386778256106192</v>
      </c>
      <c r="AM208">
        <v>66.38384787954378</v>
      </c>
      <c r="AN208">
        <f>(AP208 - AO208 + DI208*1E3/(8.314*(DK208+273.15)) * AR208/DH208 * AQ208) * DH208/(100*CV208) * 1000/(1000 - AP208)</f>
        <v>0</v>
      </c>
      <c r="AO208">
        <v>9.596759925869684</v>
      </c>
      <c r="AP208">
        <v>18.09912264705881</v>
      </c>
      <c r="AQ208">
        <v>-0.0001522844210298174</v>
      </c>
      <c r="AR208">
        <v>80.44866334591464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417</v>
      </c>
      <c r="AY208" t="s">
        <v>417</v>
      </c>
      <c r="AZ208">
        <v>0</v>
      </c>
      <c r="BA208">
        <v>0</v>
      </c>
      <c r="BB208">
        <f>1-AZ208/BA208</f>
        <v>0</v>
      </c>
      <c r="BC208">
        <v>0</v>
      </c>
      <c r="BD208" t="s">
        <v>417</v>
      </c>
      <c r="BE208" t="s">
        <v>417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1238</v>
      </c>
      <c r="CA208">
        <v>300</v>
      </c>
      <c r="CB208">
        <v>300</v>
      </c>
      <c r="CC208">
        <v>300</v>
      </c>
      <c r="CD208">
        <v>10440.5</v>
      </c>
      <c r="CE208">
        <v>1411.69</v>
      </c>
      <c r="CF208">
        <v>-0.00735121</v>
      </c>
      <c r="CG208">
        <v>-0.77</v>
      </c>
      <c r="CH208" t="s">
        <v>417</v>
      </c>
      <c r="CI208" t="s">
        <v>417</v>
      </c>
      <c r="CJ208" t="s">
        <v>417</v>
      </c>
      <c r="CK208" t="s">
        <v>417</v>
      </c>
      <c r="CL208" t="s">
        <v>417</v>
      </c>
      <c r="CM208" t="s">
        <v>417</v>
      </c>
      <c r="CN208" t="s">
        <v>417</v>
      </c>
      <c r="CO208" t="s">
        <v>417</v>
      </c>
      <c r="CP208" t="s">
        <v>417</v>
      </c>
      <c r="CQ208" t="s">
        <v>417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418</v>
      </c>
      <c r="CY208">
        <v>2</v>
      </c>
      <c r="CZ208" t="b">
        <v>1</v>
      </c>
      <c r="DA208">
        <v>1651857667.1</v>
      </c>
      <c r="DB208">
        <v>1187.163333333333</v>
      </c>
      <c r="DC208">
        <v>1250.73</v>
      </c>
      <c r="DD208">
        <v>18.10136666666667</v>
      </c>
      <c r="DE208">
        <v>9.68474</v>
      </c>
      <c r="DF208">
        <v>1189.796666666667</v>
      </c>
      <c r="DG208">
        <v>18.09953333333333</v>
      </c>
      <c r="DH208">
        <v>500.0433333333333</v>
      </c>
      <c r="DI208">
        <v>90.0926</v>
      </c>
      <c r="DJ208">
        <v>0.09992416666666666</v>
      </c>
      <c r="DK208">
        <v>25.75703333333333</v>
      </c>
      <c r="DL208">
        <v>25.01393333333333</v>
      </c>
      <c r="DM208">
        <v>999.9</v>
      </c>
      <c r="DN208">
        <v>0</v>
      </c>
      <c r="DO208">
        <v>0</v>
      </c>
      <c r="DP208">
        <v>10005.4</v>
      </c>
      <c r="DQ208">
        <v>0</v>
      </c>
      <c r="DR208">
        <v>3.21788</v>
      </c>
      <c r="DS208">
        <v>-63.57036666666666</v>
      </c>
      <c r="DT208">
        <v>1209.05</v>
      </c>
      <c r="DU208">
        <v>1262.966666666667</v>
      </c>
      <c r="DV208">
        <v>8.416650000000001</v>
      </c>
      <c r="DW208">
        <v>1250.73</v>
      </c>
      <c r="DX208">
        <v>9.68474</v>
      </c>
      <c r="DY208">
        <v>1.6308</v>
      </c>
      <c r="DZ208">
        <v>0.8725236666666666</v>
      </c>
      <c r="EA208">
        <v>14.25296666666667</v>
      </c>
      <c r="EB208">
        <v>4.945340000000001</v>
      </c>
      <c r="EC208">
        <v>1499.956666666667</v>
      </c>
      <c r="ED208">
        <v>0.973007</v>
      </c>
      <c r="EE208">
        <v>0.0269931</v>
      </c>
      <c r="EF208">
        <v>0</v>
      </c>
      <c r="EG208">
        <v>960.3470000000001</v>
      </c>
      <c r="EH208">
        <v>5.00097</v>
      </c>
      <c r="EI208">
        <v>14270.36666666667</v>
      </c>
      <c r="EJ208">
        <v>12491.26666666667</v>
      </c>
      <c r="EK208">
        <v>37.5</v>
      </c>
      <c r="EL208">
        <v>39</v>
      </c>
      <c r="EM208">
        <v>37.875</v>
      </c>
      <c r="EN208">
        <v>38.75</v>
      </c>
      <c r="EO208">
        <v>38.375</v>
      </c>
      <c r="EP208">
        <v>1454.606666666667</v>
      </c>
      <c r="EQ208">
        <v>40.35</v>
      </c>
      <c r="ER208">
        <v>0</v>
      </c>
      <c r="ES208">
        <v>667.2000000476837</v>
      </c>
      <c r="ET208">
        <v>0</v>
      </c>
      <c r="EU208">
        <v>963.2406</v>
      </c>
      <c r="EV208">
        <v>-29.5395385076734</v>
      </c>
      <c r="EW208">
        <v>-439.8384621865804</v>
      </c>
      <c r="EX208">
        <v>14314.588</v>
      </c>
      <c r="EY208">
        <v>15</v>
      </c>
      <c r="EZ208">
        <v>1651857041.1</v>
      </c>
      <c r="FA208" t="s">
        <v>419</v>
      </c>
      <c r="FB208">
        <v>1651857019.6</v>
      </c>
      <c r="FC208">
        <v>1651857041.1</v>
      </c>
      <c r="FD208">
        <v>1</v>
      </c>
      <c r="FE208">
        <v>0.545</v>
      </c>
      <c r="FF208">
        <v>-0.002</v>
      </c>
      <c r="FG208">
        <v>-1.271</v>
      </c>
      <c r="FH208">
        <v>-0.09</v>
      </c>
      <c r="FI208">
        <v>400</v>
      </c>
      <c r="FJ208">
        <v>10</v>
      </c>
      <c r="FK208">
        <v>0.1</v>
      </c>
      <c r="FL208">
        <v>0.02</v>
      </c>
      <c r="FM208">
        <v>-63.57402195121951</v>
      </c>
      <c r="FN208">
        <v>-0.1513881533101719</v>
      </c>
      <c r="FO208">
        <v>0.04034068642894658</v>
      </c>
      <c r="FP208">
        <v>-1</v>
      </c>
      <c r="FQ208">
        <v>8.624647073170731</v>
      </c>
      <c r="FR208">
        <v>-1.21397414634146</v>
      </c>
      <c r="FS208">
        <v>0.1200788765413537</v>
      </c>
      <c r="FT208">
        <v>-1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0</v>
      </c>
      <c r="GA208" t="s">
        <v>432</v>
      </c>
      <c r="GB208">
        <v>2.97999</v>
      </c>
      <c r="GC208">
        <v>2.7061</v>
      </c>
      <c r="GD208">
        <v>0.191244</v>
      </c>
      <c r="GE208">
        <v>0.195253</v>
      </c>
      <c r="GF208">
        <v>0.08691599999999999</v>
      </c>
      <c r="GG208">
        <v>0.0541188</v>
      </c>
      <c r="GH208">
        <v>25518.3</v>
      </c>
      <c r="GI208">
        <v>25446.9</v>
      </c>
      <c r="GJ208">
        <v>29342.7</v>
      </c>
      <c r="GK208">
        <v>29255.7</v>
      </c>
      <c r="GL208">
        <v>35481.7</v>
      </c>
      <c r="GM208">
        <v>36855.7</v>
      </c>
      <c r="GN208">
        <v>41304</v>
      </c>
      <c r="GO208">
        <v>41752.5</v>
      </c>
      <c r="GP208">
        <v>1.9546</v>
      </c>
      <c r="GQ208">
        <v>1.83845</v>
      </c>
      <c r="GR208">
        <v>-0.034295</v>
      </c>
      <c r="GS208">
        <v>0</v>
      </c>
      <c r="GT208">
        <v>25.5743</v>
      </c>
      <c r="GU208">
        <v>999.9</v>
      </c>
      <c r="GV208">
        <v>38.4</v>
      </c>
      <c r="GW208">
        <v>34</v>
      </c>
      <c r="GX208">
        <v>22.7737</v>
      </c>
      <c r="GY208">
        <v>62.6176</v>
      </c>
      <c r="GZ208">
        <v>35.2484</v>
      </c>
      <c r="HA208">
        <v>1</v>
      </c>
      <c r="HB208">
        <v>0.136687</v>
      </c>
      <c r="HC208">
        <v>2.47746</v>
      </c>
      <c r="HD208">
        <v>20.3157</v>
      </c>
      <c r="HE208">
        <v>5.21669</v>
      </c>
      <c r="HF208">
        <v>12.0099</v>
      </c>
      <c r="HG208">
        <v>4.98875</v>
      </c>
      <c r="HH208">
        <v>3.28848</v>
      </c>
      <c r="HI208">
        <v>855.6</v>
      </c>
      <c r="HJ208">
        <v>8517</v>
      </c>
      <c r="HK208">
        <v>5139.4</v>
      </c>
      <c r="HL208">
        <v>22.9</v>
      </c>
      <c r="HM208">
        <v>1.86752</v>
      </c>
      <c r="HN208">
        <v>1.86646</v>
      </c>
      <c r="HO208">
        <v>1.866</v>
      </c>
      <c r="HP208">
        <v>1.86586</v>
      </c>
      <c r="HQ208">
        <v>1.86775</v>
      </c>
      <c r="HR208">
        <v>1.87027</v>
      </c>
      <c r="HS208">
        <v>1.8689</v>
      </c>
      <c r="HT208">
        <v>1.87027</v>
      </c>
      <c r="HU208">
        <v>0</v>
      </c>
      <c r="HV208">
        <v>0</v>
      </c>
      <c r="HW208">
        <v>0</v>
      </c>
      <c r="HX208">
        <v>0</v>
      </c>
      <c r="HY208" t="s">
        <v>421</v>
      </c>
      <c r="HZ208" t="s">
        <v>422</v>
      </c>
      <c r="IA208" t="s">
        <v>423</v>
      </c>
      <c r="IB208" t="s">
        <v>423</v>
      </c>
      <c r="IC208" t="s">
        <v>423</v>
      </c>
      <c r="ID208" t="s">
        <v>423</v>
      </c>
      <c r="IE208">
        <v>0</v>
      </c>
      <c r="IF208">
        <v>100</v>
      </c>
      <c r="IG208">
        <v>100</v>
      </c>
      <c r="IH208">
        <v>-2.64</v>
      </c>
      <c r="II208">
        <v>0.0019</v>
      </c>
      <c r="IJ208">
        <v>-0.4995723906072</v>
      </c>
      <c r="IK208">
        <v>-0.002077099775823331</v>
      </c>
      <c r="IL208">
        <v>4.593143279902166E-07</v>
      </c>
      <c r="IM208">
        <v>-1.865383991892071E-10</v>
      </c>
      <c r="IN208">
        <v>-0.07605349583632376</v>
      </c>
      <c r="IO208">
        <v>-0.01129461987421345</v>
      </c>
      <c r="IP208">
        <v>0.00116580895745559</v>
      </c>
      <c r="IQ208">
        <v>-1.679085872906199E-05</v>
      </c>
      <c r="IR208">
        <v>2</v>
      </c>
      <c r="IS208">
        <v>2290</v>
      </c>
      <c r="IT208">
        <v>0</v>
      </c>
      <c r="IU208">
        <v>32</v>
      </c>
      <c r="IV208">
        <v>10.8</v>
      </c>
      <c r="IW208">
        <v>10.4</v>
      </c>
      <c r="IX208">
        <v>2.50977</v>
      </c>
      <c r="IY208">
        <v>2.20581</v>
      </c>
      <c r="IZ208">
        <v>1.39648</v>
      </c>
      <c r="JA208">
        <v>2.35962</v>
      </c>
      <c r="JB208">
        <v>1.49536</v>
      </c>
      <c r="JC208">
        <v>2.32788</v>
      </c>
      <c r="JD208">
        <v>38.4769</v>
      </c>
      <c r="JE208">
        <v>24.035</v>
      </c>
      <c r="JF208">
        <v>18</v>
      </c>
      <c r="JG208">
        <v>514.304</v>
      </c>
      <c r="JH208">
        <v>425.169</v>
      </c>
      <c r="JI208">
        <v>22.3896</v>
      </c>
      <c r="JJ208">
        <v>29.0836</v>
      </c>
      <c r="JK208">
        <v>30</v>
      </c>
      <c r="JL208">
        <v>29.085</v>
      </c>
      <c r="JM208">
        <v>29.0267</v>
      </c>
      <c r="JN208">
        <v>50.2286</v>
      </c>
      <c r="JO208">
        <v>52.2161</v>
      </c>
      <c r="JP208">
        <v>0</v>
      </c>
      <c r="JQ208">
        <v>22.3704</v>
      </c>
      <c r="JR208">
        <v>1276.76</v>
      </c>
      <c r="JS208">
        <v>9.84188</v>
      </c>
      <c r="JT208">
        <v>100.303</v>
      </c>
      <c r="JU208">
        <v>100.213</v>
      </c>
    </row>
    <row r="209" spans="1:281">
      <c r="A209">
        <v>193</v>
      </c>
      <c r="B209">
        <v>1651857670.1</v>
      </c>
      <c r="C209">
        <v>669.5</v>
      </c>
      <c r="D209" t="s">
        <v>813</v>
      </c>
      <c r="E209" t="s">
        <v>814</v>
      </c>
      <c r="F209">
        <v>2</v>
      </c>
      <c r="G209" t="s">
        <v>413</v>
      </c>
      <c r="H209" t="s">
        <v>414</v>
      </c>
      <c r="I209">
        <v>1651857668.725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1263.757002001678</v>
      </c>
      <c r="AK209">
        <v>1217.537818181818</v>
      </c>
      <c r="AL209">
        <v>3.389887319328274</v>
      </c>
      <c r="AM209">
        <v>66.38384787954378</v>
      </c>
      <c r="AN209">
        <f>(AP209 - AO209 + DI209*1E3/(8.314*(DK209+273.15)) * AR209/DH209 * AQ209) * DH209/(100*CV209) * 1000/(1000 - AP209)</f>
        <v>0</v>
      </c>
      <c r="AO209">
        <v>9.645208041585889</v>
      </c>
      <c r="AP209">
        <v>18.09979794117648</v>
      </c>
      <c r="AQ209">
        <v>-0.0002741968065537204</v>
      </c>
      <c r="AR209">
        <v>80.44866334591464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417</v>
      </c>
      <c r="AY209" t="s">
        <v>417</v>
      </c>
      <c r="AZ209">
        <v>0</v>
      </c>
      <c r="BA209">
        <v>0</v>
      </c>
      <c r="BB209">
        <f>1-AZ209/BA209</f>
        <v>0</v>
      </c>
      <c r="BC209">
        <v>0</v>
      </c>
      <c r="BD209" t="s">
        <v>417</v>
      </c>
      <c r="BE209" t="s">
        <v>417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1238</v>
      </c>
      <c r="CA209">
        <v>300</v>
      </c>
      <c r="CB209">
        <v>300</v>
      </c>
      <c r="CC209">
        <v>300</v>
      </c>
      <c r="CD209">
        <v>10440.5</v>
      </c>
      <c r="CE209">
        <v>1411.69</v>
      </c>
      <c r="CF209">
        <v>-0.00735121</v>
      </c>
      <c r="CG209">
        <v>-0.77</v>
      </c>
      <c r="CH209" t="s">
        <v>417</v>
      </c>
      <c r="CI209" t="s">
        <v>417</v>
      </c>
      <c r="CJ209" t="s">
        <v>417</v>
      </c>
      <c r="CK209" t="s">
        <v>417</v>
      </c>
      <c r="CL209" t="s">
        <v>417</v>
      </c>
      <c r="CM209" t="s">
        <v>417</v>
      </c>
      <c r="CN209" t="s">
        <v>417</v>
      </c>
      <c r="CO209" t="s">
        <v>417</v>
      </c>
      <c r="CP209" t="s">
        <v>417</v>
      </c>
      <c r="CQ209" t="s">
        <v>417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418</v>
      </c>
      <c r="CY209">
        <v>2</v>
      </c>
      <c r="CZ209" t="b">
        <v>1</v>
      </c>
      <c r="DA209">
        <v>1651857668.725</v>
      </c>
      <c r="DB209">
        <v>1192.5725</v>
      </c>
      <c r="DC209">
        <v>1256.37</v>
      </c>
      <c r="DD209">
        <v>18.1001</v>
      </c>
      <c r="DE209">
        <v>9.715042499999999</v>
      </c>
      <c r="DF209">
        <v>1195.22</v>
      </c>
      <c r="DG209">
        <v>18.0983</v>
      </c>
      <c r="DH209">
        <v>500.06575</v>
      </c>
      <c r="DI209">
        <v>90.091825</v>
      </c>
      <c r="DJ209">
        <v>0.09996437499999999</v>
      </c>
      <c r="DK209">
        <v>25.756</v>
      </c>
      <c r="DL209">
        <v>25.012125</v>
      </c>
      <c r="DM209">
        <v>999.9</v>
      </c>
      <c r="DN209">
        <v>0</v>
      </c>
      <c r="DO209">
        <v>0</v>
      </c>
      <c r="DP209">
        <v>10007.025</v>
      </c>
      <c r="DQ209">
        <v>0</v>
      </c>
      <c r="DR209">
        <v>3.2126125</v>
      </c>
      <c r="DS209">
        <v>-63.796475</v>
      </c>
      <c r="DT209">
        <v>1214.56</v>
      </c>
      <c r="DU209">
        <v>1268.6975</v>
      </c>
      <c r="DV209">
        <v>8.385085</v>
      </c>
      <c r="DW209">
        <v>1256.37</v>
      </c>
      <c r="DX209">
        <v>9.715042499999999</v>
      </c>
      <c r="DY209">
        <v>1.63067</v>
      </c>
      <c r="DZ209">
        <v>0.87524625</v>
      </c>
      <c r="EA209">
        <v>14.251775</v>
      </c>
      <c r="EB209">
        <v>4.990025</v>
      </c>
      <c r="EC209">
        <v>1499.96</v>
      </c>
      <c r="ED209">
        <v>0.973007</v>
      </c>
      <c r="EE209">
        <v>0.0269931</v>
      </c>
      <c r="EF209">
        <v>0</v>
      </c>
      <c r="EG209">
        <v>959.537</v>
      </c>
      <c r="EH209">
        <v>5.00097</v>
      </c>
      <c r="EI209">
        <v>14258.575</v>
      </c>
      <c r="EJ209">
        <v>12491.3</v>
      </c>
      <c r="EK209">
        <v>37.5</v>
      </c>
      <c r="EL209">
        <v>39</v>
      </c>
      <c r="EM209">
        <v>37.875</v>
      </c>
      <c r="EN209">
        <v>38.75</v>
      </c>
      <c r="EO209">
        <v>38.375</v>
      </c>
      <c r="EP209">
        <v>1454.61</v>
      </c>
      <c r="EQ209">
        <v>40.35</v>
      </c>
      <c r="ER209">
        <v>0</v>
      </c>
      <c r="ES209">
        <v>669</v>
      </c>
      <c r="ET209">
        <v>0</v>
      </c>
      <c r="EU209">
        <v>962.5128461538461</v>
      </c>
      <c r="EV209">
        <v>-29.71446154182883</v>
      </c>
      <c r="EW209">
        <v>-434.5606837873573</v>
      </c>
      <c r="EX209">
        <v>14303.69615384615</v>
      </c>
      <c r="EY209">
        <v>15</v>
      </c>
      <c r="EZ209">
        <v>1651857041.1</v>
      </c>
      <c r="FA209" t="s">
        <v>419</v>
      </c>
      <c r="FB209">
        <v>1651857019.6</v>
      </c>
      <c r="FC209">
        <v>1651857041.1</v>
      </c>
      <c r="FD209">
        <v>1</v>
      </c>
      <c r="FE209">
        <v>0.545</v>
      </c>
      <c r="FF209">
        <v>-0.002</v>
      </c>
      <c r="FG209">
        <v>-1.271</v>
      </c>
      <c r="FH209">
        <v>-0.09</v>
      </c>
      <c r="FI209">
        <v>400</v>
      </c>
      <c r="FJ209">
        <v>10</v>
      </c>
      <c r="FK209">
        <v>0.1</v>
      </c>
      <c r="FL209">
        <v>0.02</v>
      </c>
      <c r="FM209">
        <v>-63.5941625</v>
      </c>
      <c r="FN209">
        <v>-0.2898517823641098</v>
      </c>
      <c r="FO209">
        <v>0.06505269666777894</v>
      </c>
      <c r="FP209">
        <v>-1</v>
      </c>
      <c r="FQ209">
        <v>8.5889635</v>
      </c>
      <c r="FR209">
        <v>-1.252546266416516</v>
      </c>
      <c r="FS209">
        <v>0.120859443477744</v>
      </c>
      <c r="FT209">
        <v>-1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0</v>
      </c>
      <c r="GA209" t="s">
        <v>432</v>
      </c>
      <c r="GB209">
        <v>2.98004</v>
      </c>
      <c r="GC209">
        <v>2.70613</v>
      </c>
      <c r="GD209">
        <v>0.191917</v>
      </c>
      <c r="GE209">
        <v>0.195935</v>
      </c>
      <c r="GF209">
        <v>0.0869132</v>
      </c>
      <c r="GG209">
        <v>0.0542395</v>
      </c>
      <c r="GH209">
        <v>25497.4</v>
      </c>
      <c r="GI209">
        <v>25425.4</v>
      </c>
      <c r="GJ209">
        <v>29343.1</v>
      </c>
      <c r="GK209">
        <v>29255.9</v>
      </c>
      <c r="GL209">
        <v>35482.4</v>
      </c>
      <c r="GM209">
        <v>36851.4</v>
      </c>
      <c r="GN209">
        <v>41304.7</v>
      </c>
      <c r="GO209">
        <v>41752.8</v>
      </c>
      <c r="GP209">
        <v>1.95465</v>
      </c>
      <c r="GQ209">
        <v>1.8385</v>
      </c>
      <c r="GR209">
        <v>-0.0341311</v>
      </c>
      <c r="GS209">
        <v>0</v>
      </c>
      <c r="GT209">
        <v>25.5732</v>
      </c>
      <c r="GU209">
        <v>999.9</v>
      </c>
      <c r="GV209">
        <v>38.4</v>
      </c>
      <c r="GW209">
        <v>34</v>
      </c>
      <c r="GX209">
        <v>22.7731</v>
      </c>
      <c r="GY209">
        <v>62.7476</v>
      </c>
      <c r="GZ209">
        <v>35.1843</v>
      </c>
      <c r="HA209">
        <v>1</v>
      </c>
      <c r="HB209">
        <v>0.136631</v>
      </c>
      <c r="HC209">
        <v>2.4878</v>
      </c>
      <c r="HD209">
        <v>20.3158</v>
      </c>
      <c r="HE209">
        <v>5.21669</v>
      </c>
      <c r="HF209">
        <v>12.0099</v>
      </c>
      <c r="HG209">
        <v>4.98875</v>
      </c>
      <c r="HH209">
        <v>3.28848</v>
      </c>
      <c r="HI209">
        <v>855.6</v>
      </c>
      <c r="HJ209">
        <v>8517</v>
      </c>
      <c r="HK209">
        <v>5139.4</v>
      </c>
      <c r="HL209">
        <v>22.9</v>
      </c>
      <c r="HM209">
        <v>1.86752</v>
      </c>
      <c r="HN209">
        <v>1.86646</v>
      </c>
      <c r="HO209">
        <v>1.866</v>
      </c>
      <c r="HP209">
        <v>1.86588</v>
      </c>
      <c r="HQ209">
        <v>1.86773</v>
      </c>
      <c r="HR209">
        <v>1.87027</v>
      </c>
      <c r="HS209">
        <v>1.8689</v>
      </c>
      <c r="HT209">
        <v>1.87027</v>
      </c>
      <c r="HU209">
        <v>0</v>
      </c>
      <c r="HV209">
        <v>0</v>
      </c>
      <c r="HW209">
        <v>0</v>
      </c>
      <c r="HX209">
        <v>0</v>
      </c>
      <c r="HY209" t="s">
        <v>421</v>
      </c>
      <c r="HZ209" t="s">
        <v>422</v>
      </c>
      <c r="IA209" t="s">
        <v>423</v>
      </c>
      <c r="IB209" t="s">
        <v>423</v>
      </c>
      <c r="IC209" t="s">
        <v>423</v>
      </c>
      <c r="ID209" t="s">
        <v>423</v>
      </c>
      <c r="IE209">
        <v>0</v>
      </c>
      <c r="IF209">
        <v>100</v>
      </c>
      <c r="IG209">
        <v>100</v>
      </c>
      <c r="IH209">
        <v>-2.66</v>
      </c>
      <c r="II209">
        <v>0.0018</v>
      </c>
      <c r="IJ209">
        <v>-0.4995723906072</v>
      </c>
      <c r="IK209">
        <v>-0.002077099775823331</v>
      </c>
      <c r="IL209">
        <v>4.593143279902166E-07</v>
      </c>
      <c r="IM209">
        <v>-1.865383991892071E-10</v>
      </c>
      <c r="IN209">
        <v>-0.07605349583632376</v>
      </c>
      <c r="IO209">
        <v>-0.01129461987421345</v>
      </c>
      <c r="IP209">
        <v>0.00116580895745559</v>
      </c>
      <c r="IQ209">
        <v>-1.679085872906199E-05</v>
      </c>
      <c r="IR209">
        <v>2</v>
      </c>
      <c r="IS209">
        <v>2290</v>
      </c>
      <c r="IT209">
        <v>0</v>
      </c>
      <c r="IU209">
        <v>32</v>
      </c>
      <c r="IV209">
        <v>10.8</v>
      </c>
      <c r="IW209">
        <v>10.5</v>
      </c>
      <c r="IX209">
        <v>2.52075</v>
      </c>
      <c r="IY209">
        <v>2.20337</v>
      </c>
      <c r="IZ209">
        <v>1.39648</v>
      </c>
      <c r="JA209">
        <v>2.35962</v>
      </c>
      <c r="JB209">
        <v>1.49536</v>
      </c>
      <c r="JC209">
        <v>2.36938</v>
      </c>
      <c r="JD209">
        <v>38.4769</v>
      </c>
      <c r="JE209">
        <v>24.0437</v>
      </c>
      <c r="JF209">
        <v>18</v>
      </c>
      <c r="JG209">
        <v>514.337</v>
      </c>
      <c r="JH209">
        <v>425.199</v>
      </c>
      <c r="JI209">
        <v>22.3835</v>
      </c>
      <c r="JJ209">
        <v>29.0836</v>
      </c>
      <c r="JK209">
        <v>30</v>
      </c>
      <c r="JL209">
        <v>29.085</v>
      </c>
      <c r="JM209">
        <v>29.0267</v>
      </c>
      <c r="JN209">
        <v>50.4374</v>
      </c>
      <c r="JO209">
        <v>52.2161</v>
      </c>
      <c r="JP209">
        <v>0</v>
      </c>
      <c r="JQ209">
        <v>22.3704</v>
      </c>
      <c r="JR209">
        <v>1283.44</v>
      </c>
      <c r="JS209">
        <v>9.88143</v>
      </c>
      <c r="JT209">
        <v>100.305</v>
      </c>
      <c r="JU209">
        <v>100.214</v>
      </c>
    </row>
    <row r="210" spans="1:281">
      <c r="A210">
        <v>194</v>
      </c>
      <c r="B210">
        <v>1651857672.1</v>
      </c>
      <c r="C210">
        <v>671.5</v>
      </c>
      <c r="D210" t="s">
        <v>815</v>
      </c>
      <c r="E210" t="s">
        <v>816</v>
      </c>
      <c r="F210">
        <v>2</v>
      </c>
      <c r="G210" t="s">
        <v>413</v>
      </c>
      <c r="H210" t="s">
        <v>414</v>
      </c>
      <c r="I210">
        <v>1651857671.1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1270.854787271918</v>
      </c>
      <c r="AK210">
        <v>1224.422181818182</v>
      </c>
      <c r="AL210">
        <v>3.428133959694</v>
      </c>
      <c r="AM210">
        <v>66.38384787954378</v>
      </c>
      <c r="AN210">
        <f>(AP210 - AO210 + DI210*1E3/(8.314*(DK210+273.15)) * AR210/DH210 * AQ210) * DH210/(100*CV210) * 1000/(1000 - AP210)</f>
        <v>0</v>
      </c>
      <c r="AO210">
        <v>9.694641261970165</v>
      </c>
      <c r="AP210">
        <v>18.09769647058823</v>
      </c>
      <c r="AQ210">
        <v>-0.0001374132737071821</v>
      </c>
      <c r="AR210">
        <v>80.44866334591464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417</v>
      </c>
      <c r="AY210" t="s">
        <v>417</v>
      </c>
      <c r="AZ210">
        <v>0</v>
      </c>
      <c r="BA210">
        <v>0</v>
      </c>
      <c r="BB210">
        <f>1-AZ210/BA210</f>
        <v>0</v>
      </c>
      <c r="BC210">
        <v>0</v>
      </c>
      <c r="BD210" t="s">
        <v>417</v>
      </c>
      <c r="BE210" t="s">
        <v>417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1238</v>
      </c>
      <c r="CA210">
        <v>300</v>
      </c>
      <c r="CB210">
        <v>300</v>
      </c>
      <c r="CC210">
        <v>300</v>
      </c>
      <c r="CD210">
        <v>10440.5</v>
      </c>
      <c r="CE210">
        <v>1411.69</v>
      </c>
      <c r="CF210">
        <v>-0.00735121</v>
      </c>
      <c r="CG210">
        <v>-0.77</v>
      </c>
      <c r="CH210" t="s">
        <v>417</v>
      </c>
      <c r="CI210" t="s">
        <v>417</v>
      </c>
      <c r="CJ210" t="s">
        <v>417</v>
      </c>
      <c r="CK210" t="s">
        <v>417</v>
      </c>
      <c r="CL210" t="s">
        <v>417</v>
      </c>
      <c r="CM210" t="s">
        <v>417</v>
      </c>
      <c r="CN210" t="s">
        <v>417</v>
      </c>
      <c r="CO210" t="s">
        <v>417</v>
      </c>
      <c r="CP210" t="s">
        <v>417</v>
      </c>
      <c r="CQ210" t="s">
        <v>417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418</v>
      </c>
      <c r="CY210">
        <v>2</v>
      </c>
      <c r="CZ210" t="b">
        <v>1</v>
      </c>
      <c r="DA210">
        <v>1651857671.1</v>
      </c>
      <c r="DB210">
        <v>1200.563333333333</v>
      </c>
      <c r="DC210">
        <v>1264.57</v>
      </c>
      <c r="DD210">
        <v>18.09736666666667</v>
      </c>
      <c r="DE210">
        <v>9.750110000000001</v>
      </c>
      <c r="DF210">
        <v>1203.223333333333</v>
      </c>
      <c r="DG210">
        <v>18.09556666666667</v>
      </c>
      <c r="DH210">
        <v>500.0586666666666</v>
      </c>
      <c r="DI210">
        <v>90.09163333333333</v>
      </c>
      <c r="DJ210">
        <v>0.1000904</v>
      </c>
      <c r="DK210">
        <v>25.75586666666667</v>
      </c>
      <c r="DL210">
        <v>25.01713333333333</v>
      </c>
      <c r="DM210">
        <v>999.9</v>
      </c>
      <c r="DN210">
        <v>0</v>
      </c>
      <c r="DO210">
        <v>0</v>
      </c>
      <c r="DP210">
        <v>9985</v>
      </c>
      <c r="DQ210">
        <v>0</v>
      </c>
      <c r="DR210">
        <v>3.20383</v>
      </c>
      <c r="DS210">
        <v>-64.00626666666666</v>
      </c>
      <c r="DT210">
        <v>1222.693333333333</v>
      </c>
      <c r="DU210">
        <v>1277.023333333333</v>
      </c>
      <c r="DV210">
        <v>8.347263333333332</v>
      </c>
      <c r="DW210">
        <v>1264.57</v>
      </c>
      <c r="DX210">
        <v>9.750110000000001</v>
      </c>
      <c r="DY210">
        <v>1.63042</v>
      </c>
      <c r="DZ210">
        <v>0.8784036666666667</v>
      </c>
      <c r="EA210">
        <v>14.24936666666667</v>
      </c>
      <c r="EB210">
        <v>5.0417</v>
      </c>
      <c r="EC210">
        <v>1499.956666666667</v>
      </c>
      <c r="ED210">
        <v>0.973007</v>
      </c>
      <c r="EE210">
        <v>0.0269931</v>
      </c>
      <c r="EF210">
        <v>0</v>
      </c>
      <c r="EG210">
        <v>958.183</v>
      </c>
      <c r="EH210">
        <v>5.00097</v>
      </c>
      <c r="EI210">
        <v>14240.2</v>
      </c>
      <c r="EJ210">
        <v>12491.23333333333</v>
      </c>
      <c r="EK210">
        <v>37.5</v>
      </c>
      <c r="EL210">
        <v>39</v>
      </c>
      <c r="EM210">
        <v>37.875</v>
      </c>
      <c r="EN210">
        <v>38.75</v>
      </c>
      <c r="EO210">
        <v>38.375</v>
      </c>
      <c r="EP210">
        <v>1454.606666666667</v>
      </c>
      <c r="EQ210">
        <v>40.35</v>
      </c>
      <c r="ER210">
        <v>0</v>
      </c>
      <c r="ES210">
        <v>671.4000000953674</v>
      </c>
      <c r="ET210">
        <v>0</v>
      </c>
      <c r="EU210">
        <v>961.3002307692308</v>
      </c>
      <c r="EV210">
        <v>-29.1187691921138</v>
      </c>
      <c r="EW210">
        <v>-434.4170934605468</v>
      </c>
      <c r="EX210">
        <v>14286.16538461538</v>
      </c>
      <c r="EY210">
        <v>15</v>
      </c>
      <c r="EZ210">
        <v>1651857041.1</v>
      </c>
      <c r="FA210" t="s">
        <v>419</v>
      </c>
      <c r="FB210">
        <v>1651857019.6</v>
      </c>
      <c r="FC210">
        <v>1651857041.1</v>
      </c>
      <c r="FD210">
        <v>1</v>
      </c>
      <c r="FE210">
        <v>0.545</v>
      </c>
      <c r="FF210">
        <v>-0.002</v>
      </c>
      <c r="FG210">
        <v>-1.271</v>
      </c>
      <c r="FH210">
        <v>-0.09</v>
      </c>
      <c r="FI210">
        <v>400</v>
      </c>
      <c r="FJ210">
        <v>10</v>
      </c>
      <c r="FK210">
        <v>0.1</v>
      </c>
      <c r="FL210">
        <v>0.02</v>
      </c>
      <c r="FM210">
        <v>-63.64250731707317</v>
      </c>
      <c r="FN210">
        <v>-1.01074076655068</v>
      </c>
      <c r="FO210">
        <v>0.144534715874083</v>
      </c>
      <c r="FP210">
        <v>-1</v>
      </c>
      <c r="FQ210">
        <v>8.542624146341463</v>
      </c>
      <c r="FR210">
        <v>-1.25788327526132</v>
      </c>
      <c r="FS210">
        <v>0.1243713517906052</v>
      </c>
      <c r="FT210">
        <v>-1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0</v>
      </c>
      <c r="GA210" t="s">
        <v>432</v>
      </c>
      <c r="GB210">
        <v>2.98007</v>
      </c>
      <c r="GC210">
        <v>2.70609</v>
      </c>
      <c r="GD210">
        <v>0.192601</v>
      </c>
      <c r="GE210">
        <v>0.19659</v>
      </c>
      <c r="GF210">
        <v>0.0868941</v>
      </c>
      <c r="GG210">
        <v>0.0543716</v>
      </c>
      <c r="GH210">
        <v>25476.1</v>
      </c>
      <c r="GI210">
        <v>25404.7</v>
      </c>
      <c r="GJ210">
        <v>29343.4</v>
      </c>
      <c r="GK210">
        <v>29255.9</v>
      </c>
      <c r="GL210">
        <v>35483.3</v>
      </c>
      <c r="GM210">
        <v>36846.3</v>
      </c>
      <c r="GN210">
        <v>41304.9</v>
      </c>
      <c r="GO210">
        <v>41753</v>
      </c>
      <c r="GP210">
        <v>1.95438</v>
      </c>
      <c r="GQ210">
        <v>1.8385</v>
      </c>
      <c r="GR210">
        <v>-0.0335798</v>
      </c>
      <c r="GS210">
        <v>0</v>
      </c>
      <c r="GT210">
        <v>25.5721</v>
      </c>
      <c r="GU210">
        <v>999.9</v>
      </c>
      <c r="GV210">
        <v>38.4</v>
      </c>
      <c r="GW210">
        <v>34</v>
      </c>
      <c r="GX210">
        <v>22.7721</v>
      </c>
      <c r="GY210">
        <v>62.5776</v>
      </c>
      <c r="GZ210">
        <v>35.2804</v>
      </c>
      <c r="HA210">
        <v>1</v>
      </c>
      <c r="HB210">
        <v>0.136364</v>
      </c>
      <c r="HC210">
        <v>2.5083</v>
      </c>
      <c r="HD210">
        <v>20.3156</v>
      </c>
      <c r="HE210">
        <v>5.21654</v>
      </c>
      <c r="HF210">
        <v>12.0099</v>
      </c>
      <c r="HG210">
        <v>4.9886</v>
      </c>
      <c r="HH210">
        <v>3.28848</v>
      </c>
      <c r="HI210">
        <v>855.6</v>
      </c>
      <c r="HJ210">
        <v>8517</v>
      </c>
      <c r="HK210">
        <v>5139.4</v>
      </c>
      <c r="HL210">
        <v>22.9</v>
      </c>
      <c r="HM210">
        <v>1.86752</v>
      </c>
      <c r="HN210">
        <v>1.86646</v>
      </c>
      <c r="HO210">
        <v>1.866</v>
      </c>
      <c r="HP210">
        <v>1.86587</v>
      </c>
      <c r="HQ210">
        <v>1.86771</v>
      </c>
      <c r="HR210">
        <v>1.87027</v>
      </c>
      <c r="HS210">
        <v>1.8689</v>
      </c>
      <c r="HT210">
        <v>1.87027</v>
      </c>
      <c r="HU210">
        <v>0</v>
      </c>
      <c r="HV210">
        <v>0</v>
      </c>
      <c r="HW210">
        <v>0</v>
      </c>
      <c r="HX210">
        <v>0</v>
      </c>
      <c r="HY210" t="s">
        <v>421</v>
      </c>
      <c r="HZ210" t="s">
        <v>422</v>
      </c>
      <c r="IA210" t="s">
        <v>423</v>
      </c>
      <c r="IB210" t="s">
        <v>423</v>
      </c>
      <c r="IC210" t="s">
        <v>423</v>
      </c>
      <c r="ID210" t="s">
        <v>423</v>
      </c>
      <c r="IE210">
        <v>0</v>
      </c>
      <c r="IF210">
        <v>100</v>
      </c>
      <c r="IG210">
        <v>100</v>
      </c>
      <c r="IH210">
        <v>-2.66</v>
      </c>
      <c r="II210">
        <v>0.0018</v>
      </c>
      <c r="IJ210">
        <v>-0.4995723906072</v>
      </c>
      <c r="IK210">
        <v>-0.002077099775823331</v>
      </c>
      <c r="IL210">
        <v>4.593143279902166E-07</v>
      </c>
      <c r="IM210">
        <v>-1.865383991892071E-10</v>
      </c>
      <c r="IN210">
        <v>-0.07605349583632376</v>
      </c>
      <c r="IO210">
        <v>-0.01129461987421345</v>
      </c>
      <c r="IP210">
        <v>0.00116580895745559</v>
      </c>
      <c r="IQ210">
        <v>-1.679085872906199E-05</v>
      </c>
      <c r="IR210">
        <v>2</v>
      </c>
      <c r="IS210">
        <v>2290</v>
      </c>
      <c r="IT210">
        <v>0</v>
      </c>
      <c r="IU210">
        <v>32</v>
      </c>
      <c r="IV210">
        <v>10.9</v>
      </c>
      <c r="IW210">
        <v>10.5</v>
      </c>
      <c r="IX210">
        <v>2.53052</v>
      </c>
      <c r="IY210">
        <v>2.20459</v>
      </c>
      <c r="IZ210">
        <v>1.39648</v>
      </c>
      <c r="JA210">
        <v>2.3584</v>
      </c>
      <c r="JB210">
        <v>1.49536</v>
      </c>
      <c r="JC210">
        <v>2.29492</v>
      </c>
      <c r="JD210">
        <v>38.4769</v>
      </c>
      <c r="JE210">
        <v>24.035</v>
      </c>
      <c r="JF210">
        <v>18</v>
      </c>
      <c r="JG210">
        <v>514.1559999999999</v>
      </c>
      <c r="JH210">
        <v>425.199</v>
      </c>
      <c r="JI210">
        <v>22.3748</v>
      </c>
      <c r="JJ210">
        <v>29.0836</v>
      </c>
      <c r="JK210">
        <v>30</v>
      </c>
      <c r="JL210">
        <v>29.085</v>
      </c>
      <c r="JM210">
        <v>29.0267</v>
      </c>
      <c r="JN210">
        <v>50.6499</v>
      </c>
      <c r="JO210">
        <v>51.9186</v>
      </c>
      <c r="JP210">
        <v>0</v>
      </c>
      <c r="JQ210">
        <v>22.3704</v>
      </c>
      <c r="JR210">
        <v>1290.13</v>
      </c>
      <c r="JS210">
        <v>9.92506</v>
      </c>
      <c r="JT210">
        <v>100.306</v>
      </c>
      <c r="JU210">
        <v>100.214</v>
      </c>
    </row>
    <row r="211" spans="1:281">
      <c r="A211">
        <v>195</v>
      </c>
      <c r="B211">
        <v>1651857674.1</v>
      </c>
      <c r="C211">
        <v>673.5</v>
      </c>
      <c r="D211" t="s">
        <v>817</v>
      </c>
      <c r="E211" t="s">
        <v>818</v>
      </c>
      <c r="F211">
        <v>2</v>
      </c>
      <c r="G211" t="s">
        <v>413</v>
      </c>
      <c r="H211" t="s">
        <v>414</v>
      </c>
      <c r="I211">
        <v>1651857672.725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1277.813459793854</v>
      </c>
      <c r="AK211">
        <v>1231.322121212121</v>
      </c>
      <c r="AL211">
        <v>3.448302980701439</v>
      </c>
      <c r="AM211">
        <v>66.38384787954378</v>
      </c>
      <c r="AN211">
        <f>(AP211 - AO211 + DI211*1E3/(8.314*(DK211+273.15)) * AR211/DH211 * AQ211) * DH211/(100*CV211) * 1000/(1000 - AP211)</f>
        <v>0</v>
      </c>
      <c r="AO211">
        <v>9.72729430338704</v>
      </c>
      <c r="AP211">
        <v>18.09016823529412</v>
      </c>
      <c r="AQ211">
        <v>-1.710178175212951E-07</v>
      </c>
      <c r="AR211">
        <v>80.44866334591464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417</v>
      </c>
      <c r="AY211" t="s">
        <v>417</v>
      </c>
      <c r="AZ211">
        <v>0</v>
      </c>
      <c r="BA211">
        <v>0</v>
      </c>
      <c r="BB211">
        <f>1-AZ211/BA211</f>
        <v>0</v>
      </c>
      <c r="BC211">
        <v>0</v>
      </c>
      <c r="BD211" t="s">
        <v>417</v>
      </c>
      <c r="BE211" t="s">
        <v>417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1238</v>
      </c>
      <c r="CA211">
        <v>300</v>
      </c>
      <c r="CB211">
        <v>300</v>
      </c>
      <c r="CC211">
        <v>300</v>
      </c>
      <c r="CD211">
        <v>10440.5</v>
      </c>
      <c r="CE211">
        <v>1411.69</v>
      </c>
      <c r="CF211">
        <v>-0.00735121</v>
      </c>
      <c r="CG211">
        <v>-0.77</v>
      </c>
      <c r="CH211" t="s">
        <v>417</v>
      </c>
      <c r="CI211" t="s">
        <v>417</v>
      </c>
      <c r="CJ211" t="s">
        <v>417</v>
      </c>
      <c r="CK211" t="s">
        <v>417</v>
      </c>
      <c r="CL211" t="s">
        <v>417</v>
      </c>
      <c r="CM211" t="s">
        <v>417</v>
      </c>
      <c r="CN211" t="s">
        <v>417</v>
      </c>
      <c r="CO211" t="s">
        <v>417</v>
      </c>
      <c r="CP211" t="s">
        <v>417</v>
      </c>
      <c r="CQ211" t="s">
        <v>417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418</v>
      </c>
      <c r="CY211">
        <v>2</v>
      </c>
      <c r="CZ211" t="b">
        <v>1</v>
      </c>
      <c r="DA211">
        <v>1651857672.725</v>
      </c>
      <c r="DB211">
        <v>1206.085</v>
      </c>
      <c r="DC211">
        <v>1269.8925</v>
      </c>
      <c r="DD211">
        <v>18.0928</v>
      </c>
      <c r="DE211">
        <v>9.778712500000001</v>
      </c>
      <c r="DF211">
        <v>1208.75</v>
      </c>
      <c r="DG211">
        <v>18.091075</v>
      </c>
      <c r="DH211">
        <v>500.03075</v>
      </c>
      <c r="DI211">
        <v>90.09402499999999</v>
      </c>
      <c r="DJ211">
        <v>0.09988952500000001</v>
      </c>
      <c r="DK211">
        <v>25.7553</v>
      </c>
      <c r="DL211">
        <v>25.02145</v>
      </c>
      <c r="DM211">
        <v>999.9</v>
      </c>
      <c r="DN211">
        <v>0</v>
      </c>
      <c r="DO211">
        <v>0</v>
      </c>
      <c r="DP211">
        <v>10005.8</v>
      </c>
      <c r="DQ211">
        <v>0</v>
      </c>
      <c r="DR211">
        <v>3.20383</v>
      </c>
      <c r="DS211">
        <v>-63.809975</v>
      </c>
      <c r="DT211">
        <v>1228.3075</v>
      </c>
      <c r="DU211">
        <v>1282.4375</v>
      </c>
      <c r="DV211">
        <v>8.31409</v>
      </c>
      <c r="DW211">
        <v>1269.8925</v>
      </c>
      <c r="DX211">
        <v>9.778712500000001</v>
      </c>
      <c r="DY211">
        <v>1.630055</v>
      </c>
      <c r="DZ211">
        <v>0.8810035000000001</v>
      </c>
      <c r="EA211">
        <v>14.245875</v>
      </c>
      <c r="EB211">
        <v>5.0841075</v>
      </c>
      <c r="EC211">
        <v>1499.95</v>
      </c>
      <c r="ED211">
        <v>0.973007</v>
      </c>
      <c r="EE211">
        <v>0.0269931</v>
      </c>
      <c r="EF211">
        <v>0</v>
      </c>
      <c r="EG211">
        <v>957.5567500000001</v>
      </c>
      <c r="EH211">
        <v>5.00097</v>
      </c>
      <c r="EI211">
        <v>14229.325</v>
      </c>
      <c r="EJ211">
        <v>12491.2</v>
      </c>
      <c r="EK211">
        <v>37.5</v>
      </c>
      <c r="EL211">
        <v>39</v>
      </c>
      <c r="EM211">
        <v>37.875</v>
      </c>
      <c r="EN211">
        <v>38.75</v>
      </c>
      <c r="EO211">
        <v>38.375</v>
      </c>
      <c r="EP211">
        <v>1454.6</v>
      </c>
      <c r="EQ211">
        <v>40.35</v>
      </c>
      <c r="ER211">
        <v>0</v>
      </c>
      <c r="ES211">
        <v>673.2000000476837</v>
      </c>
      <c r="ET211">
        <v>0</v>
      </c>
      <c r="EU211">
        <v>960.2994</v>
      </c>
      <c r="EV211">
        <v>-28.65269235248184</v>
      </c>
      <c r="EW211">
        <v>-433.892308388898</v>
      </c>
      <c r="EX211">
        <v>14270.924</v>
      </c>
      <c r="EY211">
        <v>15</v>
      </c>
      <c r="EZ211">
        <v>1651857041.1</v>
      </c>
      <c r="FA211" t="s">
        <v>419</v>
      </c>
      <c r="FB211">
        <v>1651857019.6</v>
      </c>
      <c r="FC211">
        <v>1651857041.1</v>
      </c>
      <c r="FD211">
        <v>1</v>
      </c>
      <c r="FE211">
        <v>0.545</v>
      </c>
      <c r="FF211">
        <v>-0.002</v>
      </c>
      <c r="FG211">
        <v>-1.271</v>
      </c>
      <c r="FH211">
        <v>-0.09</v>
      </c>
      <c r="FI211">
        <v>400</v>
      </c>
      <c r="FJ211">
        <v>10</v>
      </c>
      <c r="FK211">
        <v>0.1</v>
      </c>
      <c r="FL211">
        <v>0.02</v>
      </c>
      <c r="FM211">
        <v>-63.66484000000001</v>
      </c>
      <c r="FN211">
        <v>-1.195526454033568</v>
      </c>
      <c r="FO211">
        <v>0.1542811715667209</v>
      </c>
      <c r="FP211">
        <v>-1</v>
      </c>
      <c r="FQ211">
        <v>8.506208999999998</v>
      </c>
      <c r="FR211">
        <v>-1.24730183864916</v>
      </c>
      <c r="FS211">
        <v>0.1203516568602194</v>
      </c>
      <c r="FT211">
        <v>-1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0</v>
      </c>
      <c r="GA211" t="s">
        <v>432</v>
      </c>
      <c r="GB211">
        <v>2.98006</v>
      </c>
      <c r="GC211">
        <v>2.70626</v>
      </c>
      <c r="GD211">
        <v>0.193283</v>
      </c>
      <c r="GE211">
        <v>0.197216</v>
      </c>
      <c r="GF211">
        <v>0.08687590000000001</v>
      </c>
      <c r="GG211">
        <v>0.0545627</v>
      </c>
      <c r="GH211">
        <v>25454.6</v>
      </c>
      <c r="GI211">
        <v>25384.8</v>
      </c>
      <c r="GJ211">
        <v>29343.5</v>
      </c>
      <c r="GK211">
        <v>29255.9</v>
      </c>
      <c r="GL211">
        <v>35484</v>
      </c>
      <c r="GM211">
        <v>36838.7</v>
      </c>
      <c r="GN211">
        <v>41304.9</v>
      </c>
      <c r="GO211">
        <v>41752.8</v>
      </c>
      <c r="GP211">
        <v>1.95438</v>
      </c>
      <c r="GQ211">
        <v>1.83862</v>
      </c>
      <c r="GR211">
        <v>-0.0334233</v>
      </c>
      <c r="GS211">
        <v>0</v>
      </c>
      <c r="GT211">
        <v>25.5711</v>
      </c>
      <c r="GU211">
        <v>999.9</v>
      </c>
      <c r="GV211">
        <v>38.4</v>
      </c>
      <c r="GW211">
        <v>34</v>
      </c>
      <c r="GX211">
        <v>22.7746</v>
      </c>
      <c r="GY211">
        <v>62.6176</v>
      </c>
      <c r="GZ211">
        <v>35.1362</v>
      </c>
      <c r="HA211">
        <v>1</v>
      </c>
      <c r="HB211">
        <v>0.136308</v>
      </c>
      <c r="HC211">
        <v>2.49412</v>
      </c>
      <c r="HD211">
        <v>20.3157</v>
      </c>
      <c r="HE211">
        <v>5.21669</v>
      </c>
      <c r="HF211">
        <v>12.0099</v>
      </c>
      <c r="HG211">
        <v>4.9885</v>
      </c>
      <c r="HH211">
        <v>3.28845</v>
      </c>
      <c r="HI211">
        <v>855.6</v>
      </c>
      <c r="HJ211">
        <v>8517</v>
      </c>
      <c r="HK211">
        <v>5139.4</v>
      </c>
      <c r="HL211">
        <v>22.9</v>
      </c>
      <c r="HM211">
        <v>1.86752</v>
      </c>
      <c r="HN211">
        <v>1.86647</v>
      </c>
      <c r="HO211">
        <v>1.866</v>
      </c>
      <c r="HP211">
        <v>1.86587</v>
      </c>
      <c r="HQ211">
        <v>1.86771</v>
      </c>
      <c r="HR211">
        <v>1.87026</v>
      </c>
      <c r="HS211">
        <v>1.8689</v>
      </c>
      <c r="HT211">
        <v>1.87027</v>
      </c>
      <c r="HU211">
        <v>0</v>
      </c>
      <c r="HV211">
        <v>0</v>
      </c>
      <c r="HW211">
        <v>0</v>
      </c>
      <c r="HX211">
        <v>0</v>
      </c>
      <c r="HY211" t="s">
        <v>421</v>
      </c>
      <c r="HZ211" t="s">
        <v>422</v>
      </c>
      <c r="IA211" t="s">
        <v>423</v>
      </c>
      <c r="IB211" t="s">
        <v>423</v>
      </c>
      <c r="IC211" t="s">
        <v>423</v>
      </c>
      <c r="ID211" t="s">
        <v>423</v>
      </c>
      <c r="IE211">
        <v>0</v>
      </c>
      <c r="IF211">
        <v>100</v>
      </c>
      <c r="IG211">
        <v>100</v>
      </c>
      <c r="IH211">
        <v>-2.68</v>
      </c>
      <c r="II211">
        <v>0.0017</v>
      </c>
      <c r="IJ211">
        <v>-0.4995723906072</v>
      </c>
      <c r="IK211">
        <v>-0.002077099775823331</v>
      </c>
      <c r="IL211">
        <v>4.593143279902166E-07</v>
      </c>
      <c r="IM211">
        <v>-1.865383991892071E-10</v>
      </c>
      <c r="IN211">
        <v>-0.07605349583632376</v>
      </c>
      <c r="IO211">
        <v>-0.01129461987421345</v>
      </c>
      <c r="IP211">
        <v>0.00116580895745559</v>
      </c>
      <c r="IQ211">
        <v>-1.679085872906199E-05</v>
      </c>
      <c r="IR211">
        <v>2</v>
      </c>
      <c r="IS211">
        <v>2290</v>
      </c>
      <c r="IT211">
        <v>0</v>
      </c>
      <c r="IU211">
        <v>32</v>
      </c>
      <c r="IV211">
        <v>10.9</v>
      </c>
      <c r="IW211">
        <v>10.6</v>
      </c>
      <c r="IX211">
        <v>2.54272</v>
      </c>
      <c r="IY211">
        <v>2.20459</v>
      </c>
      <c r="IZ211">
        <v>1.39648</v>
      </c>
      <c r="JA211">
        <v>2.3584</v>
      </c>
      <c r="JB211">
        <v>1.49536</v>
      </c>
      <c r="JC211">
        <v>2.31812</v>
      </c>
      <c r="JD211">
        <v>38.4769</v>
      </c>
      <c r="JE211">
        <v>24.0262</v>
      </c>
      <c r="JF211">
        <v>18</v>
      </c>
      <c r="JG211">
        <v>514.1559999999999</v>
      </c>
      <c r="JH211">
        <v>425.273</v>
      </c>
      <c r="JI211">
        <v>22.3672</v>
      </c>
      <c r="JJ211">
        <v>29.0825</v>
      </c>
      <c r="JK211">
        <v>30.0001</v>
      </c>
      <c r="JL211">
        <v>29.085</v>
      </c>
      <c r="JM211">
        <v>29.0267</v>
      </c>
      <c r="JN211">
        <v>50.8738</v>
      </c>
      <c r="JO211">
        <v>51.9186</v>
      </c>
      <c r="JP211">
        <v>0</v>
      </c>
      <c r="JQ211">
        <v>22.3536</v>
      </c>
      <c r="JR211">
        <v>1296.82</v>
      </c>
      <c r="JS211">
        <v>9.96963</v>
      </c>
      <c r="JT211">
        <v>100.306</v>
      </c>
      <c r="JU211">
        <v>100.214</v>
      </c>
    </row>
    <row r="212" spans="1:281">
      <c r="A212">
        <v>196</v>
      </c>
      <c r="B212">
        <v>1651857676.1</v>
      </c>
      <c r="C212">
        <v>675.5</v>
      </c>
      <c r="D212" t="s">
        <v>819</v>
      </c>
      <c r="E212" t="s">
        <v>820</v>
      </c>
      <c r="F212">
        <v>2</v>
      </c>
      <c r="G212" t="s">
        <v>413</v>
      </c>
      <c r="H212" t="s">
        <v>414</v>
      </c>
      <c r="I212">
        <v>1651857675.1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1284.414990067709</v>
      </c>
      <c r="AK212">
        <v>1238.156787878788</v>
      </c>
      <c r="AL212">
        <v>3.426293159614208</v>
      </c>
      <c r="AM212">
        <v>66.38384787954378</v>
      </c>
      <c r="AN212">
        <f>(AP212 - AO212 + DI212*1E3/(8.314*(DK212+273.15)) * AR212/DH212 * AQ212) * DH212/(100*CV212) * 1000/(1000 - AP212)</f>
        <v>0</v>
      </c>
      <c r="AO212">
        <v>9.756726517636155</v>
      </c>
      <c r="AP212">
        <v>18.08386352941176</v>
      </c>
      <c r="AQ212">
        <v>-6.398971088472314E-05</v>
      </c>
      <c r="AR212">
        <v>80.44866334591464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417</v>
      </c>
      <c r="AY212" t="s">
        <v>417</v>
      </c>
      <c r="AZ212">
        <v>0</v>
      </c>
      <c r="BA212">
        <v>0</v>
      </c>
      <c r="BB212">
        <f>1-AZ212/BA212</f>
        <v>0</v>
      </c>
      <c r="BC212">
        <v>0</v>
      </c>
      <c r="BD212" t="s">
        <v>417</v>
      </c>
      <c r="BE212" t="s">
        <v>417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1238</v>
      </c>
      <c r="CA212">
        <v>300</v>
      </c>
      <c r="CB212">
        <v>300</v>
      </c>
      <c r="CC212">
        <v>300</v>
      </c>
      <c r="CD212">
        <v>10440.5</v>
      </c>
      <c r="CE212">
        <v>1411.69</v>
      </c>
      <c r="CF212">
        <v>-0.00735121</v>
      </c>
      <c r="CG212">
        <v>-0.77</v>
      </c>
      <c r="CH212" t="s">
        <v>417</v>
      </c>
      <c r="CI212" t="s">
        <v>417</v>
      </c>
      <c r="CJ212" t="s">
        <v>417</v>
      </c>
      <c r="CK212" t="s">
        <v>417</v>
      </c>
      <c r="CL212" t="s">
        <v>417</v>
      </c>
      <c r="CM212" t="s">
        <v>417</v>
      </c>
      <c r="CN212" t="s">
        <v>417</v>
      </c>
      <c r="CO212" t="s">
        <v>417</v>
      </c>
      <c r="CP212" t="s">
        <v>417</v>
      </c>
      <c r="CQ212" t="s">
        <v>417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418</v>
      </c>
      <c r="CY212">
        <v>2</v>
      </c>
      <c r="CZ212" t="b">
        <v>1</v>
      </c>
      <c r="DA212">
        <v>1651857675.1</v>
      </c>
      <c r="DB212">
        <v>1214.093333333333</v>
      </c>
      <c r="DC212">
        <v>1277.653333333333</v>
      </c>
      <c r="DD212">
        <v>18.08593333333333</v>
      </c>
      <c r="DE212">
        <v>9.841386666666667</v>
      </c>
      <c r="DF212">
        <v>1216.776666666667</v>
      </c>
      <c r="DG212">
        <v>18.0843</v>
      </c>
      <c r="DH212">
        <v>500.0323333333333</v>
      </c>
      <c r="DI212">
        <v>90.09660000000001</v>
      </c>
      <c r="DJ212">
        <v>0.09979593333333335</v>
      </c>
      <c r="DK212">
        <v>25.75363333333333</v>
      </c>
      <c r="DL212">
        <v>25.02336666666666</v>
      </c>
      <c r="DM212">
        <v>999.9</v>
      </c>
      <c r="DN212">
        <v>0</v>
      </c>
      <c r="DO212">
        <v>0</v>
      </c>
      <c r="DP212">
        <v>10025.83333333333</v>
      </c>
      <c r="DQ212">
        <v>0</v>
      </c>
      <c r="DR212">
        <v>3.210856666666667</v>
      </c>
      <c r="DS212">
        <v>-63.55870000000001</v>
      </c>
      <c r="DT212">
        <v>1236.46</v>
      </c>
      <c r="DU212">
        <v>1290.35</v>
      </c>
      <c r="DV212">
        <v>8.244546666666666</v>
      </c>
      <c r="DW212">
        <v>1277.653333333333</v>
      </c>
      <c r="DX212">
        <v>9.841386666666667</v>
      </c>
      <c r="DY212">
        <v>1.629476666666666</v>
      </c>
      <c r="DZ212">
        <v>0.8866753333333333</v>
      </c>
      <c r="EA212">
        <v>14.24043333333333</v>
      </c>
      <c r="EB212">
        <v>5.17626</v>
      </c>
      <c r="EC212">
        <v>1500.046666666667</v>
      </c>
      <c r="ED212">
        <v>0.9730086666666665</v>
      </c>
      <c r="EE212">
        <v>0.0269913</v>
      </c>
      <c r="EF212">
        <v>0</v>
      </c>
      <c r="EG212">
        <v>956.676</v>
      </c>
      <c r="EH212">
        <v>5.00097</v>
      </c>
      <c r="EI212">
        <v>14215.73333333333</v>
      </c>
      <c r="EJ212">
        <v>12492</v>
      </c>
      <c r="EK212">
        <v>37.5</v>
      </c>
      <c r="EL212">
        <v>39</v>
      </c>
      <c r="EM212">
        <v>37.875</v>
      </c>
      <c r="EN212">
        <v>38.75</v>
      </c>
      <c r="EO212">
        <v>38.375</v>
      </c>
      <c r="EP212">
        <v>1454.696666666667</v>
      </c>
      <c r="EQ212">
        <v>40.35</v>
      </c>
      <c r="ER212">
        <v>0</v>
      </c>
      <c r="ES212">
        <v>675</v>
      </c>
      <c r="ET212">
        <v>0</v>
      </c>
      <c r="EU212">
        <v>959.5993076923077</v>
      </c>
      <c r="EV212">
        <v>-28.09914530384795</v>
      </c>
      <c r="EW212">
        <v>-431.6888888743838</v>
      </c>
      <c r="EX212">
        <v>14260.23461538462</v>
      </c>
      <c r="EY212">
        <v>15</v>
      </c>
      <c r="EZ212">
        <v>1651857041.1</v>
      </c>
      <c r="FA212" t="s">
        <v>419</v>
      </c>
      <c r="FB212">
        <v>1651857019.6</v>
      </c>
      <c r="FC212">
        <v>1651857041.1</v>
      </c>
      <c r="FD212">
        <v>1</v>
      </c>
      <c r="FE212">
        <v>0.545</v>
      </c>
      <c r="FF212">
        <v>-0.002</v>
      </c>
      <c r="FG212">
        <v>-1.271</v>
      </c>
      <c r="FH212">
        <v>-0.09</v>
      </c>
      <c r="FI212">
        <v>400</v>
      </c>
      <c r="FJ212">
        <v>10</v>
      </c>
      <c r="FK212">
        <v>0.1</v>
      </c>
      <c r="FL212">
        <v>0.02</v>
      </c>
      <c r="FM212">
        <v>-63.6682512195122</v>
      </c>
      <c r="FN212">
        <v>-0.6936564459930115</v>
      </c>
      <c r="FO212">
        <v>0.1496874420363674</v>
      </c>
      <c r="FP212">
        <v>-1</v>
      </c>
      <c r="FQ212">
        <v>8.457433658536585</v>
      </c>
      <c r="FR212">
        <v>-1.25940982578399</v>
      </c>
      <c r="FS212">
        <v>0.1245882739217869</v>
      </c>
      <c r="FT212">
        <v>-1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0</v>
      </c>
      <c r="GA212" t="s">
        <v>432</v>
      </c>
      <c r="GB212">
        <v>2.97997</v>
      </c>
      <c r="GC212">
        <v>2.70633</v>
      </c>
      <c r="GD212">
        <v>0.193948</v>
      </c>
      <c r="GE212">
        <v>0.197862</v>
      </c>
      <c r="GF212">
        <v>0.086869</v>
      </c>
      <c r="GG212">
        <v>0.0548248</v>
      </c>
      <c r="GH212">
        <v>25433.5</v>
      </c>
      <c r="GI212">
        <v>25364.3</v>
      </c>
      <c r="GJ212">
        <v>29343.3</v>
      </c>
      <c r="GK212">
        <v>29255.8</v>
      </c>
      <c r="GL212">
        <v>35484.2</v>
      </c>
      <c r="GM212">
        <v>36828.4</v>
      </c>
      <c r="GN212">
        <v>41304.7</v>
      </c>
      <c r="GO212">
        <v>41752.7</v>
      </c>
      <c r="GP212">
        <v>1.95443</v>
      </c>
      <c r="GQ212">
        <v>1.83878</v>
      </c>
      <c r="GR212">
        <v>-0.0334457</v>
      </c>
      <c r="GS212">
        <v>0</v>
      </c>
      <c r="GT212">
        <v>25.57</v>
      </c>
      <c r="GU212">
        <v>999.9</v>
      </c>
      <c r="GV212">
        <v>38.4</v>
      </c>
      <c r="GW212">
        <v>34</v>
      </c>
      <c r="GX212">
        <v>22.773</v>
      </c>
      <c r="GY212">
        <v>62.6276</v>
      </c>
      <c r="GZ212">
        <v>35.5128</v>
      </c>
      <c r="HA212">
        <v>1</v>
      </c>
      <c r="HB212">
        <v>0.136623</v>
      </c>
      <c r="HC212">
        <v>2.50378</v>
      </c>
      <c r="HD212">
        <v>20.3156</v>
      </c>
      <c r="HE212">
        <v>5.21774</v>
      </c>
      <c r="HF212">
        <v>12.0099</v>
      </c>
      <c r="HG212">
        <v>4.98875</v>
      </c>
      <c r="HH212">
        <v>3.28855</v>
      </c>
      <c r="HI212">
        <v>855.6</v>
      </c>
      <c r="HJ212">
        <v>8517</v>
      </c>
      <c r="HK212">
        <v>5139.4</v>
      </c>
      <c r="HL212">
        <v>22.9</v>
      </c>
      <c r="HM212">
        <v>1.86752</v>
      </c>
      <c r="HN212">
        <v>1.86648</v>
      </c>
      <c r="HO212">
        <v>1.866</v>
      </c>
      <c r="HP212">
        <v>1.86588</v>
      </c>
      <c r="HQ212">
        <v>1.86771</v>
      </c>
      <c r="HR212">
        <v>1.87025</v>
      </c>
      <c r="HS212">
        <v>1.8689</v>
      </c>
      <c r="HT212">
        <v>1.87027</v>
      </c>
      <c r="HU212">
        <v>0</v>
      </c>
      <c r="HV212">
        <v>0</v>
      </c>
      <c r="HW212">
        <v>0</v>
      </c>
      <c r="HX212">
        <v>0</v>
      </c>
      <c r="HY212" t="s">
        <v>421</v>
      </c>
      <c r="HZ212" t="s">
        <v>422</v>
      </c>
      <c r="IA212" t="s">
        <v>423</v>
      </c>
      <c r="IB212" t="s">
        <v>423</v>
      </c>
      <c r="IC212" t="s">
        <v>423</v>
      </c>
      <c r="ID212" t="s">
        <v>423</v>
      </c>
      <c r="IE212">
        <v>0</v>
      </c>
      <c r="IF212">
        <v>100</v>
      </c>
      <c r="IG212">
        <v>100</v>
      </c>
      <c r="IH212">
        <v>-2.69</v>
      </c>
      <c r="II212">
        <v>0.0016</v>
      </c>
      <c r="IJ212">
        <v>-0.4995723906072</v>
      </c>
      <c r="IK212">
        <v>-0.002077099775823331</v>
      </c>
      <c r="IL212">
        <v>4.593143279902166E-07</v>
      </c>
      <c r="IM212">
        <v>-1.865383991892071E-10</v>
      </c>
      <c r="IN212">
        <v>-0.07605349583632376</v>
      </c>
      <c r="IO212">
        <v>-0.01129461987421345</v>
      </c>
      <c r="IP212">
        <v>0.00116580895745559</v>
      </c>
      <c r="IQ212">
        <v>-1.679085872906199E-05</v>
      </c>
      <c r="IR212">
        <v>2</v>
      </c>
      <c r="IS212">
        <v>2290</v>
      </c>
      <c r="IT212">
        <v>0</v>
      </c>
      <c r="IU212">
        <v>32</v>
      </c>
      <c r="IV212">
        <v>10.9</v>
      </c>
      <c r="IW212">
        <v>10.6</v>
      </c>
      <c r="IX212">
        <v>2.55249</v>
      </c>
      <c r="IY212">
        <v>2.20337</v>
      </c>
      <c r="IZ212">
        <v>1.39648</v>
      </c>
      <c r="JA212">
        <v>2.35962</v>
      </c>
      <c r="JB212">
        <v>1.49536</v>
      </c>
      <c r="JC212">
        <v>2.29736</v>
      </c>
      <c r="JD212">
        <v>38.4769</v>
      </c>
      <c r="JE212">
        <v>24.035</v>
      </c>
      <c r="JF212">
        <v>18</v>
      </c>
      <c r="JG212">
        <v>514.186</v>
      </c>
      <c r="JH212">
        <v>425.363</v>
      </c>
      <c r="JI212">
        <v>22.3589</v>
      </c>
      <c r="JJ212">
        <v>29.0813</v>
      </c>
      <c r="JK212">
        <v>30.0002</v>
      </c>
      <c r="JL212">
        <v>29.0846</v>
      </c>
      <c r="JM212">
        <v>29.0267</v>
      </c>
      <c r="JN212">
        <v>51.0791</v>
      </c>
      <c r="JO212">
        <v>51.9186</v>
      </c>
      <c r="JP212">
        <v>0</v>
      </c>
      <c r="JQ212">
        <v>22.3536</v>
      </c>
      <c r="JR212">
        <v>1303.51</v>
      </c>
      <c r="JS212">
        <v>10.0013</v>
      </c>
      <c r="JT212">
        <v>100.305</v>
      </c>
      <c r="JU212">
        <v>100.214</v>
      </c>
    </row>
    <row r="213" spans="1:281">
      <c r="A213">
        <v>197</v>
      </c>
      <c r="B213">
        <v>1651857678.1</v>
      </c>
      <c r="C213">
        <v>677.5</v>
      </c>
      <c r="D213" t="s">
        <v>821</v>
      </c>
      <c r="E213" t="s">
        <v>822</v>
      </c>
      <c r="F213">
        <v>2</v>
      </c>
      <c r="G213" t="s">
        <v>413</v>
      </c>
      <c r="H213" t="s">
        <v>414</v>
      </c>
      <c r="I213">
        <v>1651857676.725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1291.132141641902</v>
      </c>
      <c r="AK213">
        <v>1244.882666666667</v>
      </c>
      <c r="AL213">
        <v>3.38131969293418</v>
      </c>
      <c r="AM213">
        <v>66.38384787954378</v>
      </c>
      <c r="AN213">
        <f>(AP213 - AO213 + DI213*1E3/(8.314*(DK213+273.15)) * AR213/DH213 * AQ213) * DH213/(100*CV213) * 1000/(1000 - AP213)</f>
        <v>0</v>
      </c>
      <c r="AO213">
        <v>9.799419693399752</v>
      </c>
      <c r="AP213">
        <v>18.08540882352941</v>
      </c>
      <c r="AQ213">
        <v>-0.0001851550737319357</v>
      </c>
      <c r="AR213">
        <v>80.44866334591464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417</v>
      </c>
      <c r="AY213" t="s">
        <v>417</v>
      </c>
      <c r="AZ213">
        <v>0</v>
      </c>
      <c r="BA213">
        <v>0</v>
      </c>
      <c r="BB213">
        <f>1-AZ213/BA213</f>
        <v>0</v>
      </c>
      <c r="BC213">
        <v>0</v>
      </c>
      <c r="BD213" t="s">
        <v>417</v>
      </c>
      <c r="BE213" t="s">
        <v>417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417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1238</v>
      </c>
      <c r="CA213">
        <v>300</v>
      </c>
      <c r="CB213">
        <v>300</v>
      </c>
      <c r="CC213">
        <v>300</v>
      </c>
      <c r="CD213">
        <v>10440.5</v>
      </c>
      <c r="CE213">
        <v>1411.69</v>
      </c>
      <c r="CF213">
        <v>-0.00735121</v>
      </c>
      <c r="CG213">
        <v>-0.77</v>
      </c>
      <c r="CH213" t="s">
        <v>417</v>
      </c>
      <c r="CI213" t="s">
        <v>417</v>
      </c>
      <c r="CJ213" t="s">
        <v>417</v>
      </c>
      <c r="CK213" t="s">
        <v>417</v>
      </c>
      <c r="CL213" t="s">
        <v>417</v>
      </c>
      <c r="CM213" t="s">
        <v>417</v>
      </c>
      <c r="CN213" t="s">
        <v>417</v>
      </c>
      <c r="CO213" t="s">
        <v>417</v>
      </c>
      <c r="CP213" t="s">
        <v>417</v>
      </c>
      <c r="CQ213" t="s">
        <v>417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418</v>
      </c>
      <c r="CY213">
        <v>2</v>
      </c>
      <c r="CZ213" t="b">
        <v>1</v>
      </c>
      <c r="DA213">
        <v>1651857676.725</v>
      </c>
      <c r="DB213">
        <v>1219.4725</v>
      </c>
      <c r="DC213">
        <v>1283.215</v>
      </c>
      <c r="DD213">
        <v>18.085725</v>
      </c>
      <c r="DE213">
        <v>9.8865625</v>
      </c>
      <c r="DF213">
        <v>1222.1675</v>
      </c>
      <c r="DG213">
        <v>18.0841</v>
      </c>
      <c r="DH213">
        <v>500.052</v>
      </c>
      <c r="DI213">
        <v>90.09625000000001</v>
      </c>
      <c r="DJ213">
        <v>0.099933725</v>
      </c>
      <c r="DK213">
        <v>25.751675</v>
      </c>
      <c r="DL213">
        <v>25.02225</v>
      </c>
      <c r="DM213">
        <v>999.9</v>
      </c>
      <c r="DN213">
        <v>0</v>
      </c>
      <c r="DO213">
        <v>0</v>
      </c>
      <c r="DP213">
        <v>10021.25</v>
      </c>
      <c r="DQ213">
        <v>0</v>
      </c>
      <c r="DR213">
        <v>3.21788</v>
      </c>
      <c r="DS213">
        <v>-63.7406</v>
      </c>
      <c r="DT213">
        <v>1241.9375</v>
      </c>
      <c r="DU213">
        <v>1296.0275</v>
      </c>
      <c r="DV213">
        <v>8.199182499999999</v>
      </c>
      <c r="DW213">
        <v>1283.215</v>
      </c>
      <c r="DX213">
        <v>9.8865625</v>
      </c>
      <c r="DY213">
        <v>1.6294575</v>
      </c>
      <c r="DZ213">
        <v>0.8907425</v>
      </c>
      <c r="EA213">
        <v>14.24025</v>
      </c>
      <c r="EB213">
        <v>5.2420125</v>
      </c>
      <c r="EC213">
        <v>1499.945</v>
      </c>
      <c r="ED213">
        <v>0.973007</v>
      </c>
      <c r="EE213">
        <v>0.0269931</v>
      </c>
      <c r="EF213">
        <v>0</v>
      </c>
      <c r="EG213">
        <v>955.5519999999999</v>
      </c>
      <c r="EH213">
        <v>5.00097</v>
      </c>
      <c r="EI213">
        <v>14202.025</v>
      </c>
      <c r="EJ213">
        <v>12491.15</v>
      </c>
      <c r="EK213">
        <v>37.5</v>
      </c>
      <c r="EL213">
        <v>39</v>
      </c>
      <c r="EM213">
        <v>37.875</v>
      </c>
      <c r="EN213">
        <v>38.75</v>
      </c>
      <c r="EO213">
        <v>38.375</v>
      </c>
      <c r="EP213">
        <v>1454.595</v>
      </c>
      <c r="EQ213">
        <v>40.35</v>
      </c>
      <c r="ER213">
        <v>0</v>
      </c>
      <c r="ES213">
        <v>677.4000000953674</v>
      </c>
      <c r="ET213">
        <v>0</v>
      </c>
      <c r="EU213">
        <v>958.4212692307691</v>
      </c>
      <c r="EV213">
        <v>-28.76892304009781</v>
      </c>
      <c r="EW213">
        <v>-431.0119652135666</v>
      </c>
      <c r="EX213">
        <v>14243.03461538462</v>
      </c>
      <c r="EY213">
        <v>15</v>
      </c>
      <c r="EZ213">
        <v>1651857041.1</v>
      </c>
      <c r="FA213" t="s">
        <v>419</v>
      </c>
      <c r="FB213">
        <v>1651857019.6</v>
      </c>
      <c r="FC213">
        <v>1651857041.1</v>
      </c>
      <c r="FD213">
        <v>1</v>
      </c>
      <c r="FE213">
        <v>0.545</v>
      </c>
      <c r="FF213">
        <v>-0.002</v>
      </c>
      <c r="FG213">
        <v>-1.271</v>
      </c>
      <c r="FH213">
        <v>-0.09</v>
      </c>
      <c r="FI213">
        <v>400</v>
      </c>
      <c r="FJ213">
        <v>10</v>
      </c>
      <c r="FK213">
        <v>0.1</v>
      </c>
      <c r="FL213">
        <v>0.02</v>
      </c>
      <c r="FM213">
        <v>-63.67843500000001</v>
      </c>
      <c r="FN213">
        <v>-0.623225515947352</v>
      </c>
      <c r="FO213">
        <v>0.1497936973807643</v>
      </c>
      <c r="FP213">
        <v>-1</v>
      </c>
      <c r="FQ213">
        <v>8.419175000000001</v>
      </c>
      <c r="FR213">
        <v>-1.301300712945611</v>
      </c>
      <c r="FS213">
        <v>0.1257171007858516</v>
      </c>
      <c r="FT213">
        <v>-1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0</v>
      </c>
      <c r="GA213" t="s">
        <v>432</v>
      </c>
      <c r="GB213">
        <v>2.98003</v>
      </c>
      <c r="GC213">
        <v>2.70622</v>
      </c>
      <c r="GD213">
        <v>0.194608</v>
      </c>
      <c r="GE213">
        <v>0.198535</v>
      </c>
      <c r="GF213">
        <v>0.0868695</v>
      </c>
      <c r="GG213">
        <v>0.0549811</v>
      </c>
      <c r="GH213">
        <v>25412.5</v>
      </c>
      <c r="GI213">
        <v>25343.1</v>
      </c>
      <c r="GJ213">
        <v>29343.2</v>
      </c>
      <c r="GK213">
        <v>29255.9</v>
      </c>
      <c r="GL213">
        <v>35484</v>
      </c>
      <c r="GM213">
        <v>36822.4</v>
      </c>
      <c r="GN213">
        <v>41304.6</v>
      </c>
      <c r="GO213">
        <v>41752.8</v>
      </c>
      <c r="GP213">
        <v>1.95435</v>
      </c>
      <c r="GQ213">
        <v>1.83902</v>
      </c>
      <c r="GR213">
        <v>-0.0334084</v>
      </c>
      <c r="GS213">
        <v>0</v>
      </c>
      <c r="GT213">
        <v>25.5689</v>
      </c>
      <c r="GU213">
        <v>999.9</v>
      </c>
      <c r="GV213">
        <v>38.4</v>
      </c>
      <c r="GW213">
        <v>34</v>
      </c>
      <c r="GX213">
        <v>22.7726</v>
      </c>
      <c r="GY213">
        <v>62.3076</v>
      </c>
      <c r="GZ213">
        <v>35.004</v>
      </c>
      <c r="HA213">
        <v>1</v>
      </c>
      <c r="HB213">
        <v>0.136529</v>
      </c>
      <c r="HC213">
        <v>2.48871</v>
      </c>
      <c r="HD213">
        <v>20.3159</v>
      </c>
      <c r="HE213">
        <v>5.21789</v>
      </c>
      <c r="HF213">
        <v>12.0099</v>
      </c>
      <c r="HG213">
        <v>4.989</v>
      </c>
      <c r="HH213">
        <v>3.28865</v>
      </c>
      <c r="HI213">
        <v>855.8</v>
      </c>
      <c r="HJ213">
        <v>8519.1</v>
      </c>
      <c r="HK213">
        <v>5139.4</v>
      </c>
      <c r="HL213">
        <v>22.9</v>
      </c>
      <c r="HM213">
        <v>1.86752</v>
      </c>
      <c r="HN213">
        <v>1.86647</v>
      </c>
      <c r="HO213">
        <v>1.866</v>
      </c>
      <c r="HP213">
        <v>1.86587</v>
      </c>
      <c r="HQ213">
        <v>1.86771</v>
      </c>
      <c r="HR213">
        <v>1.87026</v>
      </c>
      <c r="HS213">
        <v>1.8689</v>
      </c>
      <c r="HT213">
        <v>1.87027</v>
      </c>
      <c r="HU213">
        <v>0</v>
      </c>
      <c r="HV213">
        <v>0</v>
      </c>
      <c r="HW213">
        <v>0</v>
      </c>
      <c r="HX213">
        <v>0</v>
      </c>
      <c r="HY213" t="s">
        <v>421</v>
      </c>
      <c r="HZ213" t="s">
        <v>422</v>
      </c>
      <c r="IA213" t="s">
        <v>423</v>
      </c>
      <c r="IB213" t="s">
        <v>423</v>
      </c>
      <c r="IC213" t="s">
        <v>423</v>
      </c>
      <c r="ID213" t="s">
        <v>423</v>
      </c>
      <c r="IE213">
        <v>0</v>
      </c>
      <c r="IF213">
        <v>100</v>
      </c>
      <c r="IG213">
        <v>100</v>
      </c>
      <c r="IH213">
        <v>-2.7</v>
      </c>
      <c r="II213">
        <v>0.0017</v>
      </c>
      <c r="IJ213">
        <v>-0.4995723906072</v>
      </c>
      <c r="IK213">
        <v>-0.002077099775823331</v>
      </c>
      <c r="IL213">
        <v>4.593143279902166E-07</v>
      </c>
      <c r="IM213">
        <v>-1.865383991892071E-10</v>
      </c>
      <c r="IN213">
        <v>-0.07605349583632376</v>
      </c>
      <c r="IO213">
        <v>-0.01129461987421345</v>
      </c>
      <c r="IP213">
        <v>0.00116580895745559</v>
      </c>
      <c r="IQ213">
        <v>-1.679085872906199E-05</v>
      </c>
      <c r="IR213">
        <v>2</v>
      </c>
      <c r="IS213">
        <v>2290</v>
      </c>
      <c r="IT213">
        <v>0</v>
      </c>
      <c r="IU213">
        <v>32</v>
      </c>
      <c r="IV213">
        <v>11</v>
      </c>
      <c r="IW213">
        <v>10.6</v>
      </c>
      <c r="IX213">
        <v>2.56348</v>
      </c>
      <c r="IY213">
        <v>2.20581</v>
      </c>
      <c r="IZ213">
        <v>1.39648</v>
      </c>
      <c r="JA213">
        <v>2.35962</v>
      </c>
      <c r="JB213">
        <v>1.49536</v>
      </c>
      <c r="JC213">
        <v>2.3291</v>
      </c>
      <c r="JD213">
        <v>38.4769</v>
      </c>
      <c r="JE213">
        <v>24.035</v>
      </c>
      <c r="JF213">
        <v>18</v>
      </c>
      <c r="JG213">
        <v>514.126</v>
      </c>
      <c r="JH213">
        <v>425.506</v>
      </c>
      <c r="JI213">
        <v>22.3521</v>
      </c>
      <c r="JJ213">
        <v>29.0811</v>
      </c>
      <c r="JK213">
        <v>30</v>
      </c>
      <c r="JL213">
        <v>29.0834</v>
      </c>
      <c r="JM213">
        <v>29.0258</v>
      </c>
      <c r="JN213">
        <v>51.286</v>
      </c>
      <c r="JO213">
        <v>51.6411</v>
      </c>
      <c r="JP213">
        <v>0</v>
      </c>
      <c r="JQ213">
        <v>22.3312</v>
      </c>
      <c r="JR213">
        <v>1310.21</v>
      </c>
      <c r="JS213">
        <v>10.0449</v>
      </c>
      <c r="JT213">
        <v>100.305</v>
      </c>
      <c r="JU213">
        <v>100.214</v>
      </c>
    </row>
    <row r="214" spans="1:281">
      <c r="A214">
        <v>198</v>
      </c>
      <c r="B214">
        <v>1651857680.1</v>
      </c>
      <c r="C214">
        <v>679.5</v>
      </c>
      <c r="D214" t="s">
        <v>823</v>
      </c>
      <c r="E214" t="s">
        <v>824</v>
      </c>
      <c r="F214">
        <v>2</v>
      </c>
      <c r="G214" t="s">
        <v>413</v>
      </c>
      <c r="H214" t="s">
        <v>414</v>
      </c>
      <c r="I214">
        <v>1651857679.1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1298.182710664581</v>
      </c>
      <c r="AK214">
        <v>1251.752727272727</v>
      </c>
      <c r="AL214">
        <v>3.410502010587143</v>
      </c>
      <c r="AM214">
        <v>66.38384787954378</v>
      </c>
      <c r="AN214">
        <f>(AP214 - AO214 + DI214*1E3/(8.314*(DK214+273.15)) * AR214/DH214 * AQ214) * DH214/(100*CV214) * 1000/(1000 - AP214)</f>
        <v>0</v>
      </c>
      <c r="AO214">
        <v>9.858296622915073</v>
      </c>
      <c r="AP214">
        <v>18.08530470588235</v>
      </c>
      <c r="AQ214">
        <v>-0.0001160007037937498</v>
      </c>
      <c r="AR214">
        <v>80.44866334591464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417</v>
      </c>
      <c r="AY214" t="s">
        <v>417</v>
      </c>
      <c r="AZ214">
        <v>0</v>
      </c>
      <c r="BA214">
        <v>0</v>
      </c>
      <c r="BB214">
        <f>1-AZ214/BA214</f>
        <v>0</v>
      </c>
      <c r="BC214">
        <v>0</v>
      </c>
      <c r="BD214" t="s">
        <v>417</v>
      </c>
      <c r="BE214" t="s">
        <v>417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417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1238</v>
      </c>
      <c r="CA214">
        <v>300</v>
      </c>
      <c r="CB214">
        <v>300</v>
      </c>
      <c r="CC214">
        <v>300</v>
      </c>
      <c r="CD214">
        <v>10440.5</v>
      </c>
      <c r="CE214">
        <v>1411.69</v>
      </c>
      <c r="CF214">
        <v>-0.00735121</v>
      </c>
      <c r="CG214">
        <v>-0.77</v>
      </c>
      <c r="CH214" t="s">
        <v>417</v>
      </c>
      <c r="CI214" t="s">
        <v>417</v>
      </c>
      <c r="CJ214" t="s">
        <v>417</v>
      </c>
      <c r="CK214" t="s">
        <v>417</v>
      </c>
      <c r="CL214" t="s">
        <v>417</v>
      </c>
      <c r="CM214" t="s">
        <v>417</v>
      </c>
      <c r="CN214" t="s">
        <v>417</v>
      </c>
      <c r="CO214" t="s">
        <v>417</v>
      </c>
      <c r="CP214" t="s">
        <v>417</v>
      </c>
      <c r="CQ214" t="s">
        <v>417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418</v>
      </c>
      <c r="CY214">
        <v>2</v>
      </c>
      <c r="CZ214" t="b">
        <v>1</v>
      </c>
      <c r="DA214">
        <v>1651857679.1</v>
      </c>
      <c r="DB214">
        <v>1227.423333333333</v>
      </c>
      <c r="DC214">
        <v>1291.296666666667</v>
      </c>
      <c r="DD214">
        <v>18.0846</v>
      </c>
      <c r="DE214">
        <v>9.917619999999999</v>
      </c>
      <c r="DF214">
        <v>1230.126666666667</v>
      </c>
      <c r="DG214">
        <v>18.083</v>
      </c>
      <c r="DH214">
        <v>500.0383333333334</v>
      </c>
      <c r="DI214">
        <v>90.09626666666668</v>
      </c>
      <c r="DJ214">
        <v>0.1000572666666667</v>
      </c>
      <c r="DK214">
        <v>25.7507</v>
      </c>
      <c r="DL214">
        <v>25.02126666666667</v>
      </c>
      <c r="DM214">
        <v>999.9</v>
      </c>
      <c r="DN214">
        <v>0</v>
      </c>
      <c r="DO214">
        <v>0</v>
      </c>
      <c r="DP214">
        <v>10015.03333333333</v>
      </c>
      <c r="DQ214">
        <v>0</v>
      </c>
      <c r="DR214">
        <v>3.210856666666666</v>
      </c>
      <c r="DS214">
        <v>-63.87253333333334</v>
      </c>
      <c r="DT214">
        <v>1250.026666666667</v>
      </c>
      <c r="DU214">
        <v>1304.23</v>
      </c>
      <c r="DV214">
        <v>8.166986666666666</v>
      </c>
      <c r="DW214">
        <v>1291.296666666667</v>
      </c>
      <c r="DX214">
        <v>9.917619999999999</v>
      </c>
      <c r="DY214">
        <v>1.629356666666667</v>
      </c>
      <c r="DZ214">
        <v>0.8935406666666666</v>
      </c>
      <c r="EA214">
        <v>14.23923333333333</v>
      </c>
      <c r="EB214">
        <v>5.287126666666667</v>
      </c>
      <c r="EC214">
        <v>1500.036666666667</v>
      </c>
      <c r="ED214">
        <v>0.9730086666666665</v>
      </c>
      <c r="EE214">
        <v>0.0269913</v>
      </c>
      <c r="EF214">
        <v>0</v>
      </c>
      <c r="EG214">
        <v>954.6993333333334</v>
      </c>
      <c r="EH214">
        <v>5.00097</v>
      </c>
      <c r="EI214">
        <v>14186.63333333333</v>
      </c>
      <c r="EJ214">
        <v>12491.93333333333</v>
      </c>
      <c r="EK214">
        <v>37.5</v>
      </c>
      <c r="EL214">
        <v>39</v>
      </c>
      <c r="EM214">
        <v>37.875</v>
      </c>
      <c r="EN214">
        <v>38.75</v>
      </c>
      <c r="EO214">
        <v>38.375</v>
      </c>
      <c r="EP214">
        <v>1454.686666666666</v>
      </c>
      <c r="EQ214">
        <v>40.35</v>
      </c>
      <c r="ER214">
        <v>0</v>
      </c>
      <c r="ES214">
        <v>679.2000000476837</v>
      </c>
      <c r="ET214">
        <v>0</v>
      </c>
      <c r="EU214">
        <v>957.4412400000001</v>
      </c>
      <c r="EV214">
        <v>-29.17076927794702</v>
      </c>
      <c r="EW214">
        <v>-423.0538468515569</v>
      </c>
      <c r="EX214">
        <v>14228.08</v>
      </c>
      <c r="EY214">
        <v>15</v>
      </c>
      <c r="EZ214">
        <v>1651857041.1</v>
      </c>
      <c r="FA214" t="s">
        <v>419</v>
      </c>
      <c r="FB214">
        <v>1651857019.6</v>
      </c>
      <c r="FC214">
        <v>1651857041.1</v>
      </c>
      <c r="FD214">
        <v>1</v>
      </c>
      <c r="FE214">
        <v>0.545</v>
      </c>
      <c r="FF214">
        <v>-0.002</v>
      </c>
      <c r="FG214">
        <v>-1.271</v>
      </c>
      <c r="FH214">
        <v>-0.09</v>
      </c>
      <c r="FI214">
        <v>400</v>
      </c>
      <c r="FJ214">
        <v>10</v>
      </c>
      <c r="FK214">
        <v>0.1</v>
      </c>
      <c r="FL214">
        <v>0.02</v>
      </c>
      <c r="FM214">
        <v>-63.71396097560975</v>
      </c>
      <c r="FN214">
        <v>-0.8375163763068554</v>
      </c>
      <c r="FO214">
        <v>0.1627419232989706</v>
      </c>
      <c r="FP214">
        <v>-1</v>
      </c>
      <c r="FQ214">
        <v>8.371753170731706</v>
      </c>
      <c r="FR214">
        <v>-1.342005993031333</v>
      </c>
      <c r="FS214">
        <v>0.1326626549623283</v>
      </c>
      <c r="FT214">
        <v>-1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0</v>
      </c>
      <c r="GA214" t="s">
        <v>432</v>
      </c>
      <c r="GB214">
        <v>2.98013</v>
      </c>
      <c r="GC214">
        <v>2.7063</v>
      </c>
      <c r="GD214">
        <v>0.195278</v>
      </c>
      <c r="GE214">
        <v>0.199168</v>
      </c>
      <c r="GF214">
        <v>0.0868588</v>
      </c>
      <c r="GG214">
        <v>0.0550642</v>
      </c>
      <c r="GH214">
        <v>25391.3</v>
      </c>
      <c r="GI214">
        <v>25323.2</v>
      </c>
      <c r="GJ214">
        <v>29343.1</v>
      </c>
      <c r="GK214">
        <v>29256</v>
      </c>
      <c r="GL214">
        <v>35484.3</v>
      </c>
      <c r="GM214">
        <v>36819.2</v>
      </c>
      <c r="GN214">
        <v>41304.3</v>
      </c>
      <c r="GO214">
        <v>41752.9</v>
      </c>
      <c r="GP214">
        <v>1.9545</v>
      </c>
      <c r="GQ214">
        <v>1.83915</v>
      </c>
      <c r="GR214">
        <v>-0.0333302</v>
      </c>
      <c r="GS214">
        <v>0</v>
      </c>
      <c r="GT214">
        <v>25.5678</v>
      </c>
      <c r="GU214">
        <v>999.9</v>
      </c>
      <c r="GV214">
        <v>38.4</v>
      </c>
      <c r="GW214">
        <v>34</v>
      </c>
      <c r="GX214">
        <v>22.7749</v>
      </c>
      <c r="GY214">
        <v>62.6476</v>
      </c>
      <c r="GZ214">
        <v>34.988</v>
      </c>
      <c r="HA214">
        <v>1</v>
      </c>
      <c r="HB214">
        <v>0.136265</v>
      </c>
      <c r="HC214">
        <v>2.50549</v>
      </c>
      <c r="HD214">
        <v>20.3156</v>
      </c>
      <c r="HE214">
        <v>5.21744</v>
      </c>
      <c r="HF214">
        <v>12.0099</v>
      </c>
      <c r="HG214">
        <v>4.98895</v>
      </c>
      <c r="HH214">
        <v>3.28865</v>
      </c>
      <c r="HI214">
        <v>855.8</v>
      </c>
      <c r="HJ214">
        <v>8519.1</v>
      </c>
      <c r="HK214">
        <v>5139.4</v>
      </c>
      <c r="HL214">
        <v>22.9</v>
      </c>
      <c r="HM214">
        <v>1.86752</v>
      </c>
      <c r="HN214">
        <v>1.86646</v>
      </c>
      <c r="HO214">
        <v>1.866</v>
      </c>
      <c r="HP214">
        <v>1.86588</v>
      </c>
      <c r="HQ214">
        <v>1.86771</v>
      </c>
      <c r="HR214">
        <v>1.87026</v>
      </c>
      <c r="HS214">
        <v>1.8689</v>
      </c>
      <c r="HT214">
        <v>1.87027</v>
      </c>
      <c r="HU214">
        <v>0</v>
      </c>
      <c r="HV214">
        <v>0</v>
      </c>
      <c r="HW214">
        <v>0</v>
      </c>
      <c r="HX214">
        <v>0</v>
      </c>
      <c r="HY214" t="s">
        <v>421</v>
      </c>
      <c r="HZ214" t="s">
        <v>422</v>
      </c>
      <c r="IA214" t="s">
        <v>423</v>
      </c>
      <c r="IB214" t="s">
        <v>423</v>
      </c>
      <c r="IC214" t="s">
        <v>423</v>
      </c>
      <c r="ID214" t="s">
        <v>423</v>
      </c>
      <c r="IE214">
        <v>0</v>
      </c>
      <c r="IF214">
        <v>100</v>
      </c>
      <c r="IG214">
        <v>100</v>
      </c>
      <c r="IH214">
        <v>-2.71</v>
      </c>
      <c r="II214">
        <v>0.0016</v>
      </c>
      <c r="IJ214">
        <v>-0.4995723906072</v>
      </c>
      <c r="IK214">
        <v>-0.002077099775823331</v>
      </c>
      <c r="IL214">
        <v>4.593143279902166E-07</v>
      </c>
      <c r="IM214">
        <v>-1.865383991892071E-10</v>
      </c>
      <c r="IN214">
        <v>-0.07605349583632376</v>
      </c>
      <c r="IO214">
        <v>-0.01129461987421345</v>
      </c>
      <c r="IP214">
        <v>0.00116580895745559</v>
      </c>
      <c r="IQ214">
        <v>-1.679085872906199E-05</v>
      </c>
      <c r="IR214">
        <v>2</v>
      </c>
      <c r="IS214">
        <v>2290</v>
      </c>
      <c r="IT214">
        <v>0</v>
      </c>
      <c r="IU214">
        <v>32</v>
      </c>
      <c r="IV214">
        <v>11</v>
      </c>
      <c r="IW214">
        <v>10.7</v>
      </c>
      <c r="IX214">
        <v>2.57324</v>
      </c>
      <c r="IY214">
        <v>2.20093</v>
      </c>
      <c r="IZ214">
        <v>1.39648</v>
      </c>
      <c r="JA214">
        <v>2.35962</v>
      </c>
      <c r="JB214">
        <v>1.49536</v>
      </c>
      <c r="JC214">
        <v>2.31323</v>
      </c>
      <c r="JD214">
        <v>38.4769</v>
      </c>
      <c r="JE214">
        <v>24.0437</v>
      </c>
      <c r="JF214">
        <v>18</v>
      </c>
      <c r="JG214">
        <v>514.217</v>
      </c>
      <c r="JH214">
        <v>425.572</v>
      </c>
      <c r="JI214">
        <v>22.3463</v>
      </c>
      <c r="JJ214">
        <v>29.0811</v>
      </c>
      <c r="JK214">
        <v>30</v>
      </c>
      <c r="JL214">
        <v>29.0826</v>
      </c>
      <c r="JM214">
        <v>29.0245</v>
      </c>
      <c r="JN214">
        <v>51.5024</v>
      </c>
      <c r="JO214">
        <v>51.6411</v>
      </c>
      <c r="JP214">
        <v>0</v>
      </c>
      <c r="JQ214">
        <v>22.3312</v>
      </c>
      <c r="JR214">
        <v>1310.21</v>
      </c>
      <c r="JS214">
        <v>10.0837</v>
      </c>
      <c r="JT214">
        <v>100.304</v>
      </c>
      <c r="JU214">
        <v>100.214</v>
      </c>
    </row>
    <row r="215" spans="1:281">
      <c r="A215">
        <v>199</v>
      </c>
      <c r="B215">
        <v>1651857682.1</v>
      </c>
      <c r="C215">
        <v>681.5</v>
      </c>
      <c r="D215" t="s">
        <v>825</v>
      </c>
      <c r="E215" t="s">
        <v>826</v>
      </c>
      <c r="F215">
        <v>2</v>
      </c>
      <c r="G215" t="s">
        <v>413</v>
      </c>
      <c r="H215" t="s">
        <v>414</v>
      </c>
      <c r="I215">
        <v>1651857680.725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1305.030273164421</v>
      </c>
      <c r="AK215">
        <v>1258.611272727273</v>
      </c>
      <c r="AL215">
        <v>3.432182115790511</v>
      </c>
      <c r="AM215">
        <v>66.38384787954378</v>
      </c>
      <c r="AN215">
        <f>(AP215 - AO215 + DI215*1E3/(8.314*(DK215+273.15)) * AR215/DH215 * AQ215) * DH215/(100*CV215) * 1000/(1000 - AP215)</f>
        <v>0</v>
      </c>
      <c r="AO215">
        <v>9.901424208173255</v>
      </c>
      <c r="AP215">
        <v>18.07654705882353</v>
      </c>
      <c r="AQ215">
        <v>4.261627688191088E-05</v>
      </c>
      <c r="AR215">
        <v>80.44866334591464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417</v>
      </c>
      <c r="AY215" t="s">
        <v>417</v>
      </c>
      <c r="AZ215">
        <v>0</v>
      </c>
      <c r="BA215">
        <v>0</v>
      </c>
      <c r="BB215">
        <f>1-AZ215/BA215</f>
        <v>0</v>
      </c>
      <c r="BC215">
        <v>0</v>
      </c>
      <c r="BD215" t="s">
        <v>417</v>
      </c>
      <c r="BE215" t="s">
        <v>417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417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1238</v>
      </c>
      <c r="CA215">
        <v>300</v>
      </c>
      <c r="CB215">
        <v>300</v>
      </c>
      <c r="CC215">
        <v>300</v>
      </c>
      <c r="CD215">
        <v>10440.5</v>
      </c>
      <c r="CE215">
        <v>1411.69</v>
      </c>
      <c r="CF215">
        <v>-0.00735121</v>
      </c>
      <c r="CG215">
        <v>-0.77</v>
      </c>
      <c r="CH215" t="s">
        <v>417</v>
      </c>
      <c r="CI215" t="s">
        <v>417</v>
      </c>
      <c r="CJ215" t="s">
        <v>417</v>
      </c>
      <c r="CK215" t="s">
        <v>417</v>
      </c>
      <c r="CL215" t="s">
        <v>417</v>
      </c>
      <c r="CM215" t="s">
        <v>417</v>
      </c>
      <c r="CN215" t="s">
        <v>417</v>
      </c>
      <c r="CO215" t="s">
        <v>417</v>
      </c>
      <c r="CP215" t="s">
        <v>417</v>
      </c>
      <c r="CQ215" t="s">
        <v>417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418</v>
      </c>
      <c r="CY215">
        <v>2</v>
      </c>
      <c r="CZ215" t="b">
        <v>1</v>
      </c>
      <c r="DA215">
        <v>1651857680.725</v>
      </c>
      <c r="DB215">
        <v>1232.9125</v>
      </c>
      <c r="DC215">
        <v>1296.6975</v>
      </c>
      <c r="DD215">
        <v>18.0793</v>
      </c>
      <c r="DE215">
        <v>9.9386575</v>
      </c>
      <c r="DF215">
        <v>1235.6275</v>
      </c>
      <c r="DG215">
        <v>18.07775</v>
      </c>
      <c r="DH215">
        <v>500.04325</v>
      </c>
      <c r="DI215">
        <v>90.0954</v>
      </c>
      <c r="DJ215">
        <v>0.09999550000000001</v>
      </c>
      <c r="DK215">
        <v>25.75035</v>
      </c>
      <c r="DL215">
        <v>25.021525</v>
      </c>
      <c r="DM215">
        <v>999.9</v>
      </c>
      <c r="DN215">
        <v>0</v>
      </c>
      <c r="DO215">
        <v>0</v>
      </c>
      <c r="DP215">
        <v>10009.7</v>
      </c>
      <c r="DQ215">
        <v>0</v>
      </c>
      <c r="DR215">
        <v>3.2091</v>
      </c>
      <c r="DS215">
        <v>-63.786975</v>
      </c>
      <c r="DT215">
        <v>1255.6125</v>
      </c>
      <c r="DU215">
        <v>1309.7175</v>
      </c>
      <c r="DV215">
        <v>8.140635</v>
      </c>
      <c r="DW215">
        <v>1296.6975</v>
      </c>
      <c r="DX215">
        <v>9.9386575</v>
      </c>
      <c r="DY215">
        <v>1.62886</v>
      </c>
      <c r="DZ215">
        <v>0.8954274999999999</v>
      </c>
      <c r="EA215">
        <v>14.234575</v>
      </c>
      <c r="EB215">
        <v>5.3174525</v>
      </c>
      <c r="EC215">
        <v>1499.9375</v>
      </c>
      <c r="ED215">
        <v>0.973007</v>
      </c>
      <c r="EE215">
        <v>0.0269931</v>
      </c>
      <c r="EF215">
        <v>0</v>
      </c>
      <c r="EG215">
        <v>953.58775</v>
      </c>
      <c r="EH215">
        <v>5.00097</v>
      </c>
      <c r="EI215">
        <v>14175.25</v>
      </c>
      <c r="EJ215">
        <v>12491.1</v>
      </c>
      <c r="EK215">
        <v>37.5</v>
      </c>
      <c r="EL215">
        <v>39</v>
      </c>
      <c r="EM215">
        <v>37.875</v>
      </c>
      <c r="EN215">
        <v>38.75</v>
      </c>
      <c r="EO215">
        <v>38.375</v>
      </c>
      <c r="EP215">
        <v>1454.5875</v>
      </c>
      <c r="EQ215">
        <v>40.35</v>
      </c>
      <c r="ER215">
        <v>0</v>
      </c>
      <c r="ES215">
        <v>681</v>
      </c>
      <c r="ET215">
        <v>0</v>
      </c>
      <c r="EU215">
        <v>956.6689230769231</v>
      </c>
      <c r="EV215">
        <v>-30.1937094088842</v>
      </c>
      <c r="EW215">
        <v>-422.5709402175605</v>
      </c>
      <c r="EX215">
        <v>14217.51538461539</v>
      </c>
      <c r="EY215">
        <v>15</v>
      </c>
      <c r="EZ215">
        <v>1651857041.1</v>
      </c>
      <c r="FA215" t="s">
        <v>419</v>
      </c>
      <c r="FB215">
        <v>1651857019.6</v>
      </c>
      <c r="FC215">
        <v>1651857041.1</v>
      </c>
      <c r="FD215">
        <v>1</v>
      </c>
      <c r="FE215">
        <v>0.545</v>
      </c>
      <c r="FF215">
        <v>-0.002</v>
      </c>
      <c r="FG215">
        <v>-1.271</v>
      </c>
      <c r="FH215">
        <v>-0.09</v>
      </c>
      <c r="FI215">
        <v>400</v>
      </c>
      <c r="FJ215">
        <v>10</v>
      </c>
      <c r="FK215">
        <v>0.1</v>
      </c>
      <c r="FL215">
        <v>0.02</v>
      </c>
      <c r="FM215">
        <v>-63.7361725</v>
      </c>
      <c r="FN215">
        <v>-0.7503590994369875</v>
      </c>
      <c r="FO215">
        <v>0.1593085857502658</v>
      </c>
      <c r="FP215">
        <v>-1</v>
      </c>
      <c r="FQ215">
        <v>8.334761</v>
      </c>
      <c r="FR215">
        <v>-1.337007129455917</v>
      </c>
      <c r="FS215">
        <v>0.1290026086712977</v>
      </c>
      <c r="FT215">
        <v>-1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0</v>
      </c>
      <c r="GA215" t="s">
        <v>432</v>
      </c>
      <c r="GB215">
        <v>2.97987</v>
      </c>
      <c r="GC215">
        <v>2.70625</v>
      </c>
      <c r="GD215">
        <v>0.195939</v>
      </c>
      <c r="GE215">
        <v>0.19979</v>
      </c>
      <c r="GF215">
        <v>0.0868285</v>
      </c>
      <c r="GG215">
        <v>0.0551883</v>
      </c>
      <c r="GH215">
        <v>25370.3</v>
      </c>
      <c r="GI215">
        <v>25303.6</v>
      </c>
      <c r="GJ215">
        <v>29343</v>
      </c>
      <c r="GK215">
        <v>29256.1</v>
      </c>
      <c r="GL215">
        <v>35485.6</v>
      </c>
      <c r="GM215">
        <v>36814.5</v>
      </c>
      <c r="GN215">
        <v>41304.4</v>
      </c>
      <c r="GO215">
        <v>41753</v>
      </c>
      <c r="GP215">
        <v>1.95432</v>
      </c>
      <c r="GQ215">
        <v>1.83925</v>
      </c>
      <c r="GR215">
        <v>-0.0332147</v>
      </c>
      <c r="GS215">
        <v>0</v>
      </c>
      <c r="GT215">
        <v>25.567</v>
      </c>
      <c r="GU215">
        <v>999.9</v>
      </c>
      <c r="GV215">
        <v>38.4</v>
      </c>
      <c r="GW215">
        <v>34</v>
      </c>
      <c r="GX215">
        <v>22.7716</v>
      </c>
      <c r="GY215">
        <v>62.4776</v>
      </c>
      <c r="GZ215">
        <v>35.5128</v>
      </c>
      <c r="HA215">
        <v>1</v>
      </c>
      <c r="HB215">
        <v>0.136529</v>
      </c>
      <c r="HC215">
        <v>2.53589</v>
      </c>
      <c r="HD215">
        <v>20.3152</v>
      </c>
      <c r="HE215">
        <v>5.21729</v>
      </c>
      <c r="HF215">
        <v>12.0099</v>
      </c>
      <c r="HG215">
        <v>4.9887</v>
      </c>
      <c r="HH215">
        <v>3.28858</v>
      </c>
      <c r="HI215">
        <v>855.8</v>
      </c>
      <c r="HJ215">
        <v>8519.1</v>
      </c>
      <c r="HK215">
        <v>5139.4</v>
      </c>
      <c r="HL215">
        <v>22.9</v>
      </c>
      <c r="HM215">
        <v>1.86752</v>
      </c>
      <c r="HN215">
        <v>1.86647</v>
      </c>
      <c r="HO215">
        <v>1.86601</v>
      </c>
      <c r="HP215">
        <v>1.86588</v>
      </c>
      <c r="HQ215">
        <v>1.8677</v>
      </c>
      <c r="HR215">
        <v>1.87026</v>
      </c>
      <c r="HS215">
        <v>1.8689</v>
      </c>
      <c r="HT215">
        <v>1.87027</v>
      </c>
      <c r="HU215">
        <v>0</v>
      </c>
      <c r="HV215">
        <v>0</v>
      </c>
      <c r="HW215">
        <v>0</v>
      </c>
      <c r="HX215">
        <v>0</v>
      </c>
      <c r="HY215" t="s">
        <v>421</v>
      </c>
      <c r="HZ215" t="s">
        <v>422</v>
      </c>
      <c r="IA215" t="s">
        <v>423</v>
      </c>
      <c r="IB215" t="s">
        <v>423</v>
      </c>
      <c r="IC215" t="s">
        <v>423</v>
      </c>
      <c r="ID215" t="s">
        <v>423</v>
      </c>
      <c r="IE215">
        <v>0</v>
      </c>
      <c r="IF215">
        <v>100</v>
      </c>
      <c r="IG215">
        <v>100</v>
      </c>
      <c r="IH215">
        <v>-2.73</v>
      </c>
      <c r="II215">
        <v>0.0014</v>
      </c>
      <c r="IJ215">
        <v>-0.4995723906072</v>
      </c>
      <c r="IK215">
        <v>-0.002077099775823331</v>
      </c>
      <c r="IL215">
        <v>4.593143279902166E-07</v>
      </c>
      <c r="IM215">
        <v>-1.865383991892071E-10</v>
      </c>
      <c r="IN215">
        <v>-0.07605349583632376</v>
      </c>
      <c r="IO215">
        <v>-0.01129461987421345</v>
      </c>
      <c r="IP215">
        <v>0.00116580895745559</v>
      </c>
      <c r="IQ215">
        <v>-1.679085872906199E-05</v>
      </c>
      <c r="IR215">
        <v>2</v>
      </c>
      <c r="IS215">
        <v>2290</v>
      </c>
      <c r="IT215">
        <v>0</v>
      </c>
      <c r="IU215">
        <v>32</v>
      </c>
      <c r="IV215">
        <v>11</v>
      </c>
      <c r="IW215">
        <v>10.7</v>
      </c>
      <c r="IX215">
        <v>2.58423</v>
      </c>
      <c r="IY215">
        <v>2.20337</v>
      </c>
      <c r="IZ215">
        <v>1.39648</v>
      </c>
      <c r="JA215">
        <v>2.35962</v>
      </c>
      <c r="JB215">
        <v>1.49536</v>
      </c>
      <c r="JC215">
        <v>2.3291</v>
      </c>
      <c r="JD215">
        <v>38.4769</v>
      </c>
      <c r="JE215">
        <v>24.035</v>
      </c>
      <c r="JF215">
        <v>18</v>
      </c>
      <c r="JG215">
        <v>514.102</v>
      </c>
      <c r="JH215">
        <v>425.629</v>
      </c>
      <c r="JI215">
        <v>22.3379</v>
      </c>
      <c r="JJ215">
        <v>29.0811</v>
      </c>
      <c r="JK215">
        <v>30.0002</v>
      </c>
      <c r="JL215">
        <v>29.0826</v>
      </c>
      <c r="JM215">
        <v>29.0242</v>
      </c>
      <c r="JN215">
        <v>51.716</v>
      </c>
      <c r="JO215">
        <v>51.352</v>
      </c>
      <c r="JP215">
        <v>0</v>
      </c>
      <c r="JQ215">
        <v>22.3312</v>
      </c>
      <c r="JR215">
        <v>1323.57</v>
      </c>
      <c r="JS215">
        <v>10.1328</v>
      </c>
      <c r="JT215">
        <v>100.304</v>
      </c>
      <c r="JU215">
        <v>100.215</v>
      </c>
    </row>
    <row r="216" spans="1:281">
      <c r="A216">
        <v>200</v>
      </c>
      <c r="B216">
        <v>1651857684.1</v>
      </c>
      <c r="C216">
        <v>683.5</v>
      </c>
      <c r="D216" t="s">
        <v>827</v>
      </c>
      <c r="E216" t="s">
        <v>828</v>
      </c>
      <c r="F216">
        <v>2</v>
      </c>
      <c r="G216" t="s">
        <v>413</v>
      </c>
      <c r="H216" t="s">
        <v>414</v>
      </c>
      <c r="I216">
        <v>1651857683.1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1311.741229676071</v>
      </c>
      <c r="AK216">
        <v>1265.319151515152</v>
      </c>
      <c r="AL216">
        <v>3.381194463095273</v>
      </c>
      <c r="AM216">
        <v>66.38384787954378</v>
      </c>
      <c r="AN216">
        <f>(AP216 - AO216 + DI216*1E3/(8.314*(DK216+273.15)) * AR216/DH216 * AQ216) * DH216/(100*CV216) * 1000/(1000 - AP216)</f>
        <v>0</v>
      </c>
      <c r="AO216">
        <v>9.922631397043466</v>
      </c>
      <c r="AP216">
        <v>18.06524294117648</v>
      </c>
      <c r="AQ216">
        <v>2.894780701050247E-06</v>
      </c>
      <c r="AR216">
        <v>80.44866334591464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417</v>
      </c>
      <c r="AY216" t="s">
        <v>417</v>
      </c>
      <c r="AZ216">
        <v>0</v>
      </c>
      <c r="BA216">
        <v>0</v>
      </c>
      <c r="BB216">
        <f>1-AZ216/BA216</f>
        <v>0</v>
      </c>
      <c r="BC216">
        <v>0</v>
      </c>
      <c r="BD216" t="s">
        <v>417</v>
      </c>
      <c r="BE216" t="s">
        <v>417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417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1238</v>
      </c>
      <c r="CA216">
        <v>300</v>
      </c>
      <c r="CB216">
        <v>300</v>
      </c>
      <c r="CC216">
        <v>300</v>
      </c>
      <c r="CD216">
        <v>10440.5</v>
      </c>
      <c r="CE216">
        <v>1411.69</v>
      </c>
      <c r="CF216">
        <v>-0.00735121</v>
      </c>
      <c r="CG216">
        <v>-0.77</v>
      </c>
      <c r="CH216" t="s">
        <v>417</v>
      </c>
      <c r="CI216" t="s">
        <v>417</v>
      </c>
      <c r="CJ216" t="s">
        <v>417</v>
      </c>
      <c r="CK216" t="s">
        <v>417</v>
      </c>
      <c r="CL216" t="s">
        <v>417</v>
      </c>
      <c r="CM216" t="s">
        <v>417</v>
      </c>
      <c r="CN216" t="s">
        <v>417</v>
      </c>
      <c r="CO216" t="s">
        <v>417</v>
      </c>
      <c r="CP216" t="s">
        <v>417</v>
      </c>
      <c r="CQ216" t="s">
        <v>417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418</v>
      </c>
      <c r="CY216">
        <v>2</v>
      </c>
      <c r="CZ216" t="b">
        <v>1</v>
      </c>
      <c r="DA216">
        <v>1651857683.1</v>
      </c>
      <c r="DB216">
        <v>1240.816666666667</v>
      </c>
      <c r="DC216">
        <v>1304.483333333333</v>
      </c>
      <c r="DD216">
        <v>18.0684</v>
      </c>
      <c r="DE216">
        <v>9.981346666666665</v>
      </c>
      <c r="DF216">
        <v>1243.546666666667</v>
      </c>
      <c r="DG216">
        <v>18.067</v>
      </c>
      <c r="DH216">
        <v>500.029</v>
      </c>
      <c r="DI216">
        <v>90.09496666666666</v>
      </c>
      <c r="DJ216">
        <v>0.09988526666666668</v>
      </c>
      <c r="DK216">
        <v>25.7467</v>
      </c>
      <c r="DL216">
        <v>25.01896666666667</v>
      </c>
      <c r="DM216">
        <v>999.9</v>
      </c>
      <c r="DN216">
        <v>0</v>
      </c>
      <c r="DO216">
        <v>0</v>
      </c>
      <c r="DP216">
        <v>10017.1</v>
      </c>
      <c r="DQ216">
        <v>0</v>
      </c>
      <c r="DR216">
        <v>3.224906666666667</v>
      </c>
      <c r="DS216">
        <v>-63.66830000000001</v>
      </c>
      <c r="DT216">
        <v>1263.646666666667</v>
      </c>
      <c r="DU216">
        <v>1317.633333333333</v>
      </c>
      <c r="DV216">
        <v>8.087043333333334</v>
      </c>
      <c r="DW216">
        <v>1304.483333333333</v>
      </c>
      <c r="DX216">
        <v>9.981346666666665</v>
      </c>
      <c r="DY216">
        <v>1.62787</v>
      </c>
      <c r="DZ216">
        <v>0.899269</v>
      </c>
      <c r="EA216">
        <v>14.2252</v>
      </c>
      <c r="EB216">
        <v>5.379043333333333</v>
      </c>
      <c r="EC216">
        <v>1500.13</v>
      </c>
      <c r="ED216">
        <v>0.9730086666666665</v>
      </c>
      <c r="EE216">
        <v>0.0269913</v>
      </c>
      <c r="EF216">
        <v>0</v>
      </c>
      <c r="EG216">
        <v>952.7779999999999</v>
      </c>
      <c r="EH216">
        <v>5.00097</v>
      </c>
      <c r="EI216">
        <v>14158.83333333333</v>
      </c>
      <c r="EJ216">
        <v>12492.73333333333</v>
      </c>
      <c r="EK216">
        <v>37.5</v>
      </c>
      <c r="EL216">
        <v>39</v>
      </c>
      <c r="EM216">
        <v>37.875</v>
      </c>
      <c r="EN216">
        <v>38.75</v>
      </c>
      <c r="EO216">
        <v>38.375</v>
      </c>
      <c r="EP216">
        <v>1454.776666666667</v>
      </c>
      <c r="EQ216">
        <v>40.35333333333333</v>
      </c>
      <c r="ER216">
        <v>0</v>
      </c>
      <c r="ES216">
        <v>682.8000001907349</v>
      </c>
      <c r="ET216">
        <v>0</v>
      </c>
      <c r="EU216">
        <v>955.6734</v>
      </c>
      <c r="EV216">
        <v>-29.03953841787039</v>
      </c>
      <c r="EW216">
        <v>-415.7230763412562</v>
      </c>
      <c r="EX216">
        <v>14203.02</v>
      </c>
      <c r="EY216">
        <v>15</v>
      </c>
      <c r="EZ216">
        <v>1651857041.1</v>
      </c>
      <c r="FA216" t="s">
        <v>419</v>
      </c>
      <c r="FB216">
        <v>1651857019.6</v>
      </c>
      <c r="FC216">
        <v>1651857041.1</v>
      </c>
      <c r="FD216">
        <v>1</v>
      </c>
      <c r="FE216">
        <v>0.545</v>
      </c>
      <c r="FF216">
        <v>-0.002</v>
      </c>
      <c r="FG216">
        <v>-1.271</v>
      </c>
      <c r="FH216">
        <v>-0.09</v>
      </c>
      <c r="FI216">
        <v>400</v>
      </c>
      <c r="FJ216">
        <v>10</v>
      </c>
      <c r="FK216">
        <v>0.1</v>
      </c>
      <c r="FL216">
        <v>0.02</v>
      </c>
      <c r="FM216">
        <v>-63.74338292682926</v>
      </c>
      <c r="FN216">
        <v>-0.3176425087109319</v>
      </c>
      <c r="FO216">
        <v>0.1519926151967927</v>
      </c>
      <c r="FP216">
        <v>-1</v>
      </c>
      <c r="FQ216">
        <v>8.286091707317075</v>
      </c>
      <c r="FR216">
        <v>-1.297541184669</v>
      </c>
      <c r="FS216">
        <v>0.1283721295430847</v>
      </c>
      <c r="FT216">
        <v>-1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0</v>
      </c>
      <c r="GA216" t="s">
        <v>432</v>
      </c>
      <c r="GB216">
        <v>2.97995</v>
      </c>
      <c r="GC216">
        <v>2.70623</v>
      </c>
      <c r="GD216">
        <v>0.19659</v>
      </c>
      <c r="GE216">
        <v>0.200419</v>
      </c>
      <c r="GF216">
        <v>0.08679199999999999</v>
      </c>
      <c r="GG216">
        <v>0.0553938</v>
      </c>
      <c r="GH216">
        <v>25349.4</v>
      </c>
      <c r="GI216">
        <v>25283.8</v>
      </c>
      <c r="GJ216">
        <v>29342.6</v>
      </c>
      <c r="GK216">
        <v>29256.2</v>
      </c>
      <c r="GL216">
        <v>35486.7</v>
      </c>
      <c r="GM216">
        <v>36806.6</v>
      </c>
      <c r="GN216">
        <v>41304.1</v>
      </c>
      <c r="GO216">
        <v>41753.2</v>
      </c>
      <c r="GP216">
        <v>1.95427</v>
      </c>
      <c r="GQ216">
        <v>1.8393</v>
      </c>
      <c r="GR216">
        <v>-0.0333302</v>
      </c>
      <c r="GS216">
        <v>0</v>
      </c>
      <c r="GT216">
        <v>25.5662</v>
      </c>
      <c r="GU216">
        <v>999.9</v>
      </c>
      <c r="GV216">
        <v>38.4</v>
      </c>
      <c r="GW216">
        <v>34</v>
      </c>
      <c r="GX216">
        <v>22.7733</v>
      </c>
      <c r="GY216">
        <v>62.3076</v>
      </c>
      <c r="GZ216">
        <v>35.1122</v>
      </c>
      <c r="HA216">
        <v>1</v>
      </c>
      <c r="HB216">
        <v>0.136664</v>
      </c>
      <c r="HC216">
        <v>2.53075</v>
      </c>
      <c r="HD216">
        <v>20.3152</v>
      </c>
      <c r="HE216">
        <v>5.21714</v>
      </c>
      <c r="HF216">
        <v>12.0099</v>
      </c>
      <c r="HG216">
        <v>4.98855</v>
      </c>
      <c r="HH216">
        <v>3.28858</v>
      </c>
      <c r="HI216">
        <v>855.8</v>
      </c>
      <c r="HJ216">
        <v>8519.1</v>
      </c>
      <c r="HK216">
        <v>5139.4</v>
      </c>
      <c r="HL216">
        <v>22.9</v>
      </c>
      <c r="HM216">
        <v>1.86752</v>
      </c>
      <c r="HN216">
        <v>1.86647</v>
      </c>
      <c r="HO216">
        <v>1.866</v>
      </c>
      <c r="HP216">
        <v>1.86587</v>
      </c>
      <c r="HQ216">
        <v>1.86768</v>
      </c>
      <c r="HR216">
        <v>1.87026</v>
      </c>
      <c r="HS216">
        <v>1.8689</v>
      </c>
      <c r="HT216">
        <v>1.87026</v>
      </c>
      <c r="HU216">
        <v>0</v>
      </c>
      <c r="HV216">
        <v>0</v>
      </c>
      <c r="HW216">
        <v>0</v>
      </c>
      <c r="HX216">
        <v>0</v>
      </c>
      <c r="HY216" t="s">
        <v>421</v>
      </c>
      <c r="HZ216" t="s">
        <v>422</v>
      </c>
      <c r="IA216" t="s">
        <v>423</v>
      </c>
      <c r="IB216" t="s">
        <v>423</v>
      </c>
      <c r="IC216" t="s">
        <v>423</v>
      </c>
      <c r="ID216" t="s">
        <v>423</v>
      </c>
      <c r="IE216">
        <v>0</v>
      </c>
      <c r="IF216">
        <v>100</v>
      </c>
      <c r="IG216">
        <v>100</v>
      </c>
      <c r="IH216">
        <v>-2.73</v>
      </c>
      <c r="II216">
        <v>0.0013</v>
      </c>
      <c r="IJ216">
        <v>-0.4995723906072</v>
      </c>
      <c r="IK216">
        <v>-0.002077099775823331</v>
      </c>
      <c r="IL216">
        <v>4.593143279902166E-07</v>
      </c>
      <c r="IM216">
        <v>-1.865383991892071E-10</v>
      </c>
      <c r="IN216">
        <v>-0.07605349583632376</v>
      </c>
      <c r="IO216">
        <v>-0.01129461987421345</v>
      </c>
      <c r="IP216">
        <v>0.00116580895745559</v>
      </c>
      <c r="IQ216">
        <v>-1.679085872906199E-05</v>
      </c>
      <c r="IR216">
        <v>2</v>
      </c>
      <c r="IS216">
        <v>2290</v>
      </c>
      <c r="IT216">
        <v>0</v>
      </c>
      <c r="IU216">
        <v>32</v>
      </c>
      <c r="IV216">
        <v>11.1</v>
      </c>
      <c r="IW216">
        <v>10.7</v>
      </c>
      <c r="IX216">
        <v>2.59521</v>
      </c>
      <c r="IY216">
        <v>2.19849</v>
      </c>
      <c r="IZ216">
        <v>1.39648</v>
      </c>
      <c r="JA216">
        <v>2.35962</v>
      </c>
      <c r="JB216">
        <v>1.49536</v>
      </c>
      <c r="JC216">
        <v>2.35352</v>
      </c>
      <c r="JD216">
        <v>38.5014</v>
      </c>
      <c r="JE216">
        <v>24.0437</v>
      </c>
      <c r="JF216">
        <v>18</v>
      </c>
      <c r="JG216">
        <v>514.069</v>
      </c>
      <c r="JH216">
        <v>425.659</v>
      </c>
      <c r="JI216">
        <v>22.3299</v>
      </c>
      <c r="JJ216">
        <v>29.0811</v>
      </c>
      <c r="JK216">
        <v>30.0001</v>
      </c>
      <c r="JL216">
        <v>29.0826</v>
      </c>
      <c r="JM216">
        <v>29.0242</v>
      </c>
      <c r="JN216">
        <v>51.9336</v>
      </c>
      <c r="JO216">
        <v>51.352</v>
      </c>
      <c r="JP216">
        <v>0</v>
      </c>
      <c r="JQ216">
        <v>22.3101</v>
      </c>
      <c r="JR216">
        <v>1323.57</v>
      </c>
      <c r="JS216">
        <v>10.1802</v>
      </c>
      <c r="JT216">
        <v>100.303</v>
      </c>
      <c r="JU216">
        <v>100.215</v>
      </c>
    </row>
    <row r="217" spans="1:281">
      <c r="A217">
        <v>201</v>
      </c>
      <c r="B217">
        <v>1651857686.1</v>
      </c>
      <c r="C217">
        <v>685.5</v>
      </c>
      <c r="D217" t="s">
        <v>829</v>
      </c>
      <c r="E217" t="s">
        <v>830</v>
      </c>
      <c r="F217">
        <v>2</v>
      </c>
      <c r="G217" t="s">
        <v>413</v>
      </c>
      <c r="H217" t="s">
        <v>414</v>
      </c>
      <c r="I217">
        <v>1651857684.725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1318.397439878844</v>
      </c>
      <c r="AK217">
        <v>1272.031878787878</v>
      </c>
      <c r="AL217">
        <v>3.356365322812723</v>
      </c>
      <c r="AM217">
        <v>66.38384787954378</v>
      </c>
      <c r="AN217">
        <f>(AP217 - AO217 + DI217*1E3/(8.314*(DK217+273.15)) * AR217/DH217 * AQ217) * DH217/(100*CV217) * 1000/(1000 - AP217)</f>
        <v>0</v>
      </c>
      <c r="AO217">
        <v>9.951142122634574</v>
      </c>
      <c r="AP217">
        <v>18.05658970588235</v>
      </c>
      <c r="AQ217">
        <v>-0.0001324652451269809</v>
      </c>
      <c r="AR217">
        <v>80.44866334591464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417</v>
      </c>
      <c r="AY217" t="s">
        <v>417</v>
      </c>
      <c r="AZ217">
        <v>0</v>
      </c>
      <c r="BA217">
        <v>0</v>
      </c>
      <c r="BB217">
        <f>1-AZ217/BA217</f>
        <v>0</v>
      </c>
      <c r="BC217">
        <v>0</v>
      </c>
      <c r="BD217" t="s">
        <v>417</v>
      </c>
      <c r="BE217" t="s">
        <v>417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417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1238</v>
      </c>
      <c r="CA217">
        <v>300</v>
      </c>
      <c r="CB217">
        <v>300</v>
      </c>
      <c r="CC217">
        <v>300</v>
      </c>
      <c r="CD217">
        <v>10440.5</v>
      </c>
      <c r="CE217">
        <v>1411.69</v>
      </c>
      <c r="CF217">
        <v>-0.00735121</v>
      </c>
      <c r="CG217">
        <v>-0.77</v>
      </c>
      <c r="CH217" t="s">
        <v>417</v>
      </c>
      <c r="CI217" t="s">
        <v>417</v>
      </c>
      <c r="CJ217" t="s">
        <v>417</v>
      </c>
      <c r="CK217" t="s">
        <v>417</v>
      </c>
      <c r="CL217" t="s">
        <v>417</v>
      </c>
      <c r="CM217" t="s">
        <v>417</v>
      </c>
      <c r="CN217" t="s">
        <v>417</v>
      </c>
      <c r="CO217" t="s">
        <v>417</v>
      </c>
      <c r="CP217" t="s">
        <v>417</v>
      </c>
      <c r="CQ217" t="s">
        <v>417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418</v>
      </c>
      <c r="CY217">
        <v>2</v>
      </c>
      <c r="CZ217" t="b">
        <v>1</v>
      </c>
      <c r="DA217">
        <v>1651857684.725</v>
      </c>
      <c r="DB217">
        <v>1246.1725</v>
      </c>
      <c r="DC217">
        <v>1309.885</v>
      </c>
      <c r="DD217">
        <v>18.061025</v>
      </c>
      <c r="DE217">
        <v>10.02477</v>
      </c>
      <c r="DF217">
        <v>1248.91</v>
      </c>
      <c r="DG217">
        <v>18.059725</v>
      </c>
      <c r="DH217">
        <v>500.0124999999999</v>
      </c>
      <c r="DI217">
        <v>90.09590000000001</v>
      </c>
      <c r="DJ217">
        <v>0.099863225</v>
      </c>
      <c r="DK217">
        <v>25.74425</v>
      </c>
      <c r="DL217">
        <v>25.020575</v>
      </c>
      <c r="DM217">
        <v>999.9</v>
      </c>
      <c r="DN217">
        <v>0</v>
      </c>
      <c r="DO217">
        <v>0</v>
      </c>
      <c r="DP217">
        <v>10023.125</v>
      </c>
      <c r="DQ217">
        <v>0</v>
      </c>
      <c r="DR217">
        <v>3.23193</v>
      </c>
      <c r="DS217">
        <v>-63.713675</v>
      </c>
      <c r="DT217">
        <v>1269.09</v>
      </c>
      <c r="DU217">
        <v>1323.1475</v>
      </c>
      <c r="DV217">
        <v>8.036265</v>
      </c>
      <c r="DW217">
        <v>1309.885</v>
      </c>
      <c r="DX217">
        <v>10.02477</v>
      </c>
      <c r="DY217">
        <v>1.627225</v>
      </c>
      <c r="DZ217">
        <v>0.9031905</v>
      </c>
      <c r="EA217">
        <v>14.2191</v>
      </c>
      <c r="EB217">
        <v>5.4416575</v>
      </c>
      <c r="EC217">
        <v>1499.935</v>
      </c>
      <c r="ED217">
        <v>0.973007</v>
      </c>
      <c r="EE217">
        <v>0.0269931</v>
      </c>
      <c r="EF217">
        <v>0</v>
      </c>
      <c r="EG217">
        <v>951.76325</v>
      </c>
      <c r="EH217">
        <v>5.00097</v>
      </c>
      <c r="EI217">
        <v>14146.325</v>
      </c>
      <c r="EJ217">
        <v>12491.05</v>
      </c>
      <c r="EK217">
        <v>37.5</v>
      </c>
      <c r="EL217">
        <v>39</v>
      </c>
      <c r="EM217">
        <v>37.875</v>
      </c>
      <c r="EN217">
        <v>38.75</v>
      </c>
      <c r="EO217">
        <v>38.375</v>
      </c>
      <c r="EP217">
        <v>1454.585</v>
      </c>
      <c r="EQ217">
        <v>40.35</v>
      </c>
      <c r="ER217">
        <v>0</v>
      </c>
      <c r="ES217">
        <v>685.2000000476837</v>
      </c>
      <c r="ET217">
        <v>0</v>
      </c>
      <c r="EU217">
        <v>954.5115200000001</v>
      </c>
      <c r="EV217">
        <v>-28.88661543469571</v>
      </c>
      <c r="EW217">
        <v>-410.207692945937</v>
      </c>
      <c r="EX217">
        <v>14186.264</v>
      </c>
      <c r="EY217">
        <v>15</v>
      </c>
      <c r="EZ217">
        <v>1651857041.1</v>
      </c>
      <c r="FA217" t="s">
        <v>419</v>
      </c>
      <c r="FB217">
        <v>1651857019.6</v>
      </c>
      <c r="FC217">
        <v>1651857041.1</v>
      </c>
      <c r="FD217">
        <v>1</v>
      </c>
      <c r="FE217">
        <v>0.545</v>
      </c>
      <c r="FF217">
        <v>-0.002</v>
      </c>
      <c r="FG217">
        <v>-1.271</v>
      </c>
      <c r="FH217">
        <v>-0.09</v>
      </c>
      <c r="FI217">
        <v>400</v>
      </c>
      <c r="FJ217">
        <v>10</v>
      </c>
      <c r="FK217">
        <v>0.1</v>
      </c>
      <c r="FL217">
        <v>0.02</v>
      </c>
      <c r="FM217">
        <v>-63.75176</v>
      </c>
      <c r="FN217">
        <v>-0.06898536585339929</v>
      </c>
      <c r="FO217">
        <v>0.1494372088872107</v>
      </c>
      <c r="FP217">
        <v>-1</v>
      </c>
      <c r="FQ217">
        <v>8.246507249999999</v>
      </c>
      <c r="FR217">
        <v>-1.285010994371496</v>
      </c>
      <c r="FS217">
        <v>0.1240214245803422</v>
      </c>
      <c r="FT217">
        <v>-1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0</v>
      </c>
      <c r="GA217" t="s">
        <v>432</v>
      </c>
      <c r="GB217">
        <v>2.98015</v>
      </c>
      <c r="GC217">
        <v>2.70617</v>
      </c>
      <c r="GD217">
        <v>0.197243</v>
      </c>
      <c r="GE217">
        <v>0.201059</v>
      </c>
      <c r="GF217">
        <v>0.0867715</v>
      </c>
      <c r="GG217">
        <v>0.0556245</v>
      </c>
      <c r="GH217">
        <v>25328.5</v>
      </c>
      <c r="GI217">
        <v>25263.6</v>
      </c>
      <c r="GJ217">
        <v>29342.2</v>
      </c>
      <c r="GK217">
        <v>29256.3</v>
      </c>
      <c r="GL217">
        <v>35486.9</v>
      </c>
      <c r="GM217">
        <v>36797.7</v>
      </c>
      <c r="GN217">
        <v>41303.4</v>
      </c>
      <c r="GO217">
        <v>41753.2</v>
      </c>
      <c r="GP217">
        <v>1.95438</v>
      </c>
      <c r="GQ217">
        <v>1.83925</v>
      </c>
      <c r="GR217">
        <v>-0.0330508</v>
      </c>
      <c r="GS217">
        <v>0</v>
      </c>
      <c r="GT217">
        <v>25.5652</v>
      </c>
      <c r="GU217">
        <v>999.9</v>
      </c>
      <c r="GV217">
        <v>38.4</v>
      </c>
      <c r="GW217">
        <v>34</v>
      </c>
      <c r="GX217">
        <v>22.7719</v>
      </c>
      <c r="GY217">
        <v>62.7376</v>
      </c>
      <c r="GZ217">
        <v>35.2925</v>
      </c>
      <c r="HA217">
        <v>1</v>
      </c>
      <c r="HB217">
        <v>0.13639</v>
      </c>
      <c r="HC217">
        <v>2.54704</v>
      </c>
      <c r="HD217">
        <v>20.315</v>
      </c>
      <c r="HE217">
        <v>5.21729</v>
      </c>
      <c r="HF217">
        <v>12.0099</v>
      </c>
      <c r="HG217">
        <v>4.98855</v>
      </c>
      <c r="HH217">
        <v>3.28858</v>
      </c>
      <c r="HI217">
        <v>855.8</v>
      </c>
      <c r="HJ217">
        <v>8519.1</v>
      </c>
      <c r="HK217">
        <v>5139.4</v>
      </c>
      <c r="HL217">
        <v>22.9</v>
      </c>
      <c r="HM217">
        <v>1.86752</v>
      </c>
      <c r="HN217">
        <v>1.86647</v>
      </c>
      <c r="HO217">
        <v>1.866</v>
      </c>
      <c r="HP217">
        <v>1.86584</v>
      </c>
      <c r="HQ217">
        <v>1.8677</v>
      </c>
      <c r="HR217">
        <v>1.87025</v>
      </c>
      <c r="HS217">
        <v>1.8689</v>
      </c>
      <c r="HT217">
        <v>1.87026</v>
      </c>
      <c r="HU217">
        <v>0</v>
      </c>
      <c r="HV217">
        <v>0</v>
      </c>
      <c r="HW217">
        <v>0</v>
      </c>
      <c r="HX217">
        <v>0</v>
      </c>
      <c r="HY217" t="s">
        <v>421</v>
      </c>
      <c r="HZ217" t="s">
        <v>422</v>
      </c>
      <c r="IA217" t="s">
        <v>423</v>
      </c>
      <c r="IB217" t="s">
        <v>423</v>
      </c>
      <c r="IC217" t="s">
        <v>423</v>
      </c>
      <c r="ID217" t="s">
        <v>423</v>
      </c>
      <c r="IE217">
        <v>0</v>
      </c>
      <c r="IF217">
        <v>100</v>
      </c>
      <c r="IG217">
        <v>100</v>
      </c>
      <c r="IH217">
        <v>-2.75</v>
      </c>
      <c r="II217">
        <v>0.0012</v>
      </c>
      <c r="IJ217">
        <v>-0.4995723906072</v>
      </c>
      <c r="IK217">
        <v>-0.002077099775823331</v>
      </c>
      <c r="IL217">
        <v>4.593143279902166E-07</v>
      </c>
      <c r="IM217">
        <v>-1.865383991892071E-10</v>
      </c>
      <c r="IN217">
        <v>-0.07605349583632376</v>
      </c>
      <c r="IO217">
        <v>-0.01129461987421345</v>
      </c>
      <c r="IP217">
        <v>0.00116580895745559</v>
      </c>
      <c r="IQ217">
        <v>-1.679085872906199E-05</v>
      </c>
      <c r="IR217">
        <v>2</v>
      </c>
      <c r="IS217">
        <v>2290</v>
      </c>
      <c r="IT217">
        <v>0</v>
      </c>
      <c r="IU217">
        <v>32</v>
      </c>
      <c r="IV217">
        <v>11.1</v>
      </c>
      <c r="IW217">
        <v>10.8</v>
      </c>
      <c r="IX217">
        <v>2.6062</v>
      </c>
      <c r="IY217">
        <v>2.20703</v>
      </c>
      <c r="IZ217">
        <v>1.39648</v>
      </c>
      <c r="JA217">
        <v>2.35962</v>
      </c>
      <c r="JB217">
        <v>1.49536</v>
      </c>
      <c r="JC217">
        <v>2.28638</v>
      </c>
      <c r="JD217">
        <v>38.5014</v>
      </c>
      <c r="JE217">
        <v>24.035</v>
      </c>
      <c r="JF217">
        <v>18</v>
      </c>
      <c r="JG217">
        <v>514.135</v>
      </c>
      <c r="JH217">
        <v>425.629</v>
      </c>
      <c r="JI217">
        <v>22.3208</v>
      </c>
      <c r="JJ217">
        <v>29.0811</v>
      </c>
      <c r="JK217">
        <v>30</v>
      </c>
      <c r="JL217">
        <v>29.0826</v>
      </c>
      <c r="JM217">
        <v>29.0242</v>
      </c>
      <c r="JN217">
        <v>52.1489</v>
      </c>
      <c r="JO217">
        <v>51.0689</v>
      </c>
      <c r="JP217">
        <v>0</v>
      </c>
      <c r="JQ217">
        <v>22.3101</v>
      </c>
      <c r="JR217">
        <v>1330.34</v>
      </c>
      <c r="JS217">
        <v>10.2244</v>
      </c>
      <c r="JT217">
        <v>100.302</v>
      </c>
      <c r="JU217">
        <v>100.215</v>
      </c>
    </row>
    <row r="218" spans="1:281">
      <c r="A218">
        <v>202</v>
      </c>
      <c r="B218">
        <v>1651857688.1</v>
      </c>
      <c r="C218">
        <v>687.5</v>
      </c>
      <c r="D218" t="s">
        <v>831</v>
      </c>
      <c r="E218" t="s">
        <v>832</v>
      </c>
      <c r="F218">
        <v>2</v>
      </c>
      <c r="G218" t="s">
        <v>413</v>
      </c>
      <c r="H218" t="s">
        <v>414</v>
      </c>
      <c r="I218">
        <v>1651857687.1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1325.212608052853</v>
      </c>
      <c r="AK218">
        <v>1278.774909090909</v>
      </c>
      <c r="AL218">
        <v>3.368605961403092</v>
      </c>
      <c r="AM218">
        <v>66.38384787954378</v>
      </c>
      <c r="AN218">
        <f>(AP218 - AO218 + DI218*1E3/(8.314*(DK218+273.15)) * AR218/DH218 * AQ218) * DH218/(100*CV218) * 1000/(1000 - AP218)</f>
        <v>0</v>
      </c>
      <c r="AO218">
        <v>9.994860777158925</v>
      </c>
      <c r="AP218">
        <v>18.05525882352941</v>
      </c>
      <c r="AQ218">
        <v>-0.005949588182593933</v>
      </c>
      <c r="AR218">
        <v>80.44866334591464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417</v>
      </c>
      <c r="AY218" t="s">
        <v>417</v>
      </c>
      <c r="AZ218">
        <v>0</v>
      </c>
      <c r="BA218">
        <v>0</v>
      </c>
      <c r="BB218">
        <f>1-AZ218/BA218</f>
        <v>0</v>
      </c>
      <c r="BC218">
        <v>0</v>
      </c>
      <c r="BD218" t="s">
        <v>417</v>
      </c>
      <c r="BE218" t="s">
        <v>417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417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1238</v>
      </c>
      <c r="CA218">
        <v>300</v>
      </c>
      <c r="CB218">
        <v>300</v>
      </c>
      <c r="CC218">
        <v>300</v>
      </c>
      <c r="CD218">
        <v>10440.5</v>
      </c>
      <c r="CE218">
        <v>1411.69</v>
      </c>
      <c r="CF218">
        <v>-0.00735121</v>
      </c>
      <c r="CG218">
        <v>-0.77</v>
      </c>
      <c r="CH218" t="s">
        <v>417</v>
      </c>
      <c r="CI218" t="s">
        <v>417</v>
      </c>
      <c r="CJ218" t="s">
        <v>417</v>
      </c>
      <c r="CK218" t="s">
        <v>417</v>
      </c>
      <c r="CL218" t="s">
        <v>417</v>
      </c>
      <c r="CM218" t="s">
        <v>417</v>
      </c>
      <c r="CN218" t="s">
        <v>417</v>
      </c>
      <c r="CO218" t="s">
        <v>417</v>
      </c>
      <c r="CP218" t="s">
        <v>417</v>
      </c>
      <c r="CQ218" t="s">
        <v>417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418</v>
      </c>
      <c r="CY218">
        <v>2</v>
      </c>
      <c r="CZ218" t="b">
        <v>1</v>
      </c>
      <c r="DA218">
        <v>1651857687.1</v>
      </c>
      <c r="DB218">
        <v>1254.033333333333</v>
      </c>
      <c r="DC218">
        <v>1317.95</v>
      </c>
      <c r="DD218">
        <v>18.05636666666667</v>
      </c>
      <c r="DE218">
        <v>10.08573333333333</v>
      </c>
      <c r="DF218">
        <v>1256.786666666667</v>
      </c>
      <c r="DG218">
        <v>18.05513333333333</v>
      </c>
      <c r="DH218">
        <v>500.0650000000001</v>
      </c>
      <c r="DI218">
        <v>90.09646666666667</v>
      </c>
      <c r="DJ218">
        <v>0.1001603333333333</v>
      </c>
      <c r="DK218">
        <v>25.74483333333333</v>
      </c>
      <c r="DL218">
        <v>25.0265</v>
      </c>
      <c r="DM218">
        <v>999.9</v>
      </c>
      <c r="DN218">
        <v>0</v>
      </c>
      <c r="DO218">
        <v>0</v>
      </c>
      <c r="DP218">
        <v>9976.043333333333</v>
      </c>
      <c r="DQ218">
        <v>0</v>
      </c>
      <c r="DR218">
        <v>3.23193</v>
      </c>
      <c r="DS218">
        <v>-63.9169</v>
      </c>
      <c r="DT218">
        <v>1277.09</v>
      </c>
      <c r="DU218">
        <v>1331.376666666667</v>
      </c>
      <c r="DV218">
        <v>7.970616666666667</v>
      </c>
      <c r="DW218">
        <v>1317.95</v>
      </c>
      <c r="DX218">
        <v>10.08573333333333</v>
      </c>
      <c r="DY218">
        <v>1.626813333333333</v>
      </c>
      <c r="DZ218">
        <v>0.908691</v>
      </c>
      <c r="EA218">
        <v>14.21516666666667</v>
      </c>
      <c r="EB218">
        <v>5.529116666666667</v>
      </c>
      <c r="EC218">
        <v>1500.033333333334</v>
      </c>
      <c r="ED218">
        <v>0.9730086666666665</v>
      </c>
      <c r="EE218">
        <v>0.0269913</v>
      </c>
      <c r="EF218">
        <v>0</v>
      </c>
      <c r="EG218">
        <v>950.9646666666667</v>
      </c>
      <c r="EH218">
        <v>5.00097</v>
      </c>
      <c r="EI218">
        <v>14132.8</v>
      </c>
      <c r="EJ218">
        <v>12491.9</v>
      </c>
      <c r="EK218">
        <v>37.5</v>
      </c>
      <c r="EL218">
        <v>39</v>
      </c>
      <c r="EM218">
        <v>37.875</v>
      </c>
      <c r="EN218">
        <v>38.75</v>
      </c>
      <c r="EO218">
        <v>38.375</v>
      </c>
      <c r="EP218">
        <v>1454.683333333333</v>
      </c>
      <c r="EQ218">
        <v>40.35</v>
      </c>
      <c r="ER218">
        <v>0</v>
      </c>
      <c r="ES218">
        <v>687</v>
      </c>
      <c r="ET218">
        <v>0</v>
      </c>
      <c r="EU218">
        <v>953.8373461538462</v>
      </c>
      <c r="EV218">
        <v>-28.49808547518546</v>
      </c>
      <c r="EW218">
        <v>-412.8205128366702</v>
      </c>
      <c r="EX218">
        <v>14175.86923076923</v>
      </c>
      <c r="EY218">
        <v>15</v>
      </c>
      <c r="EZ218">
        <v>1651857041.1</v>
      </c>
      <c r="FA218" t="s">
        <v>419</v>
      </c>
      <c r="FB218">
        <v>1651857019.6</v>
      </c>
      <c r="FC218">
        <v>1651857041.1</v>
      </c>
      <c r="FD218">
        <v>1</v>
      </c>
      <c r="FE218">
        <v>0.545</v>
      </c>
      <c r="FF218">
        <v>-0.002</v>
      </c>
      <c r="FG218">
        <v>-1.271</v>
      </c>
      <c r="FH218">
        <v>-0.09</v>
      </c>
      <c r="FI218">
        <v>400</v>
      </c>
      <c r="FJ218">
        <v>10</v>
      </c>
      <c r="FK218">
        <v>0.1</v>
      </c>
      <c r="FL218">
        <v>0.02</v>
      </c>
      <c r="FM218">
        <v>-63.78339268292682</v>
      </c>
      <c r="FN218">
        <v>0.1012222996516833</v>
      </c>
      <c r="FO218">
        <v>0.1389432774073804</v>
      </c>
      <c r="FP218">
        <v>-1</v>
      </c>
      <c r="FQ218">
        <v>8.195663170731708</v>
      </c>
      <c r="FR218">
        <v>-1.328714216027858</v>
      </c>
      <c r="FS218">
        <v>0.1315201527623405</v>
      </c>
      <c r="FT218">
        <v>-1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0</v>
      </c>
      <c r="GA218" t="s">
        <v>432</v>
      </c>
      <c r="GB218">
        <v>2.97992</v>
      </c>
      <c r="GC218">
        <v>2.70606</v>
      </c>
      <c r="GD218">
        <v>0.197897</v>
      </c>
      <c r="GE218">
        <v>0.201712</v>
      </c>
      <c r="GF218">
        <v>0.08676730000000001</v>
      </c>
      <c r="GG218">
        <v>0.0558034</v>
      </c>
      <c r="GH218">
        <v>25307.9</v>
      </c>
      <c r="GI218">
        <v>25243</v>
      </c>
      <c r="GJ218">
        <v>29342.4</v>
      </c>
      <c r="GK218">
        <v>29256.4</v>
      </c>
      <c r="GL218">
        <v>35487.4</v>
      </c>
      <c r="GM218">
        <v>36790.8</v>
      </c>
      <c r="GN218">
        <v>41303.7</v>
      </c>
      <c r="GO218">
        <v>41753.4</v>
      </c>
      <c r="GP218">
        <v>1.95438</v>
      </c>
      <c r="GQ218">
        <v>1.83925</v>
      </c>
      <c r="GR218">
        <v>-0.0328384</v>
      </c>
      <c r="GS218">
        <v>0</v>
      </c>
      <c r="GT218">
        <v>25.5649</v>
      </c>
      <c r="GU218">
        <v>999.9</v>
      </c>
      <c r="GV218">
        <v>38.4</v>
      </c>
      <c r="GW218">
        <v>34</v>
      </c>
      <c r="GX218">
        <v>22.7719</v>
      </c>
      <c r="GY218">
        <v>62.2676</v>
      </c>
      <c r="GZ218">
        <v>35.2965</v>
      </c>
      <c r="HA218">
        <v>1</v>
      </c>
      <c r="HB218">
        <v>0.136514</v>
      </c>
      <c r="HC218">
        <v>2.53242</v>
      </c>
      <c r="HD218">
        <v>20.3152</v>
      </c>
      <c r="HE218">
        <v>5.21744</v>
      </c>
      <c r="HF218">
        <v>12.0099</v>
      </c>
      <c r="HG218">
        <v>4.98865</v>
      </c>
      <c r="HH218">
        <v>3.2885</v>
      </c>
      <c r="HI218">
        <v>856</v>
      </c>
      <c r="HJ218">
        <v>8521.1</v>
      </c>
      <c r="HK218">
        <v>5139.4</v>
      </c>
      <c r="HL218">
        <v>22.9</v>
      </c>
      <c r="HM218">
        <v>1.86751</v>
      </c>
      <c r="HN218">
        <v>1.86646</v>
      </c>
      <c r="HO218">
        <v>1.866</v>
      </c>
      <c r="HP218">
        <v>1.86584</v>
      </c>
      <c r="HQ218">
        <v>1.86771</v>
      </c>
      <c r="HR218">
        <v>1.87025</v>
      </c>
      <c r="HS218">
        <v>1.8689</v>
      </c>
      <c r="HT218">
        <v>1.87027</v>
      </c>
      <c r="HU218">
        <v>0</v>
      </c>
      <c r="HV218">
        <v>0</v>
      </c>
      <c r="HW218">
        <v>0</v>
      </c>
      <c r="HX218">
        <v>0</v>
      </c>
      <c r="HY218" t="s">
        <v>421</v>
      </c>
      <c r="HZ218" t="s">
        <v>422</v>
      </c>
      <c r="IA218" t="s">
        <v>423</v>
      </c>
      <c r="IB218" t="s">
        <v>423</v>
      </c>
      <c r="IC218" t="s">
        <v>423</v>
      </c>
      <c r="ID218" t="s">
        <v>423</v>
      </c>
      <c r="IE218">
        <v>0</v>
      </c>
      <c r="IF218">
        <v>100</v>
      </c>
      <c r="IG218">
        <v>100</v>
      </c>
      <c r="IH218">
        <v>-2.76</v>
      </c>
      <c r="II218">
        <v>0.0012</v>
      </c>
      <c r="IJ218">
        <v>-0.4995723906072</v>
      </c>
      <c r="IK218">
        <v>-0.002077099775823331</v>
      </c>
      <c r="IL218">
        <v>4.593143279902166E-07</v>
      </c>
      <c r="IM218">
        <v>-1.865383991892071E-10</v>
      </c>
      <c r="IN218">
        <v>-0.07605349583632376</v>
      </c>
      <c r="IO218">
        <v>-0.01129461987421345</v>
      </c>
      <c r="IP218">
        <v>0.00116580895745559</v>
      </c>
      <c r="IQ218">
        <v>-1.679085872906199E-05</v>
      </c>
      <c r="IR218">
        <v>2</v>
      </c>
      <c r="IS218">
        <v>2290</v>
      </c>
      <c r="IT218">
        <v>0</v>
      </c>
      <c r="IU218">
        <v>32</v>
      </c>
      <c r="IV218">
        <v>11.1</v>
      </c>
      <c r="IW218">
        <v>10.8</v>
      </c>
      <c r="IX218">
        <v>2.61597</v>
      </c>
      <c r="IY218">
        <v>2.19727</v>
      </c>
      <c r="IZ218">
        <v>1.39648</v>
      </c>
      <c r="JA218">
        <v>2.35962</v>
      </c>
      <c r="JB218">
        <v>1.49536</v>
      </c>
      <c r="JC218">
        <v>2.36084</v>
      </c>
      <c r="JD218">
        <v>38.5014</v>
      </c>
      <c r="JE218">
        <v>24.0437</v>
      </c>
      <c r="JF218">
        <v>18</v>
      </c>
      <c r="JG218">
        <v>514.135</v>
      </c>
      <c r="JH218">
        <v>425.629</v>
      </c>
      <c r="JI218">
        <v>22.3107</v>
      </c>
      <c r="JJ218">
        <v>29.0811</v>
      </c>
      <c r="JK218">
        <v>30.0001</v>
      </c>
      <c r="JL218">
        <v>29.0826</v>
      </c>
      <c r="JM218">
        <v>29.0242</v>
      </c>
      <c r="JN218">
        <v>52.3588</v>
      </c>
      <c r="JO218">
        <v>51.0689</v>
      </c>
      <c r="JP218">
        <v>0</v>
      </c>
      <c r="JQ218">
        <v>22.287</v>
      </c>
      <c r="JR218">
        <v>1337.02</v>
      </c>
      <c r="JS218">
        <v>10.2666</v>
      </c>
      <c r="JT218">
        <v>100.303</v>
      </c>
      <c r="JU218">
        <v>100.216</v>
      </c>
    </row>
    <row r="219" spans="1:281">
      <c r="A219">
        <v>203</v>
      </c>
      <c r="B219">
        <v>1651857690.1</v>
      </c>
      <c r="C219">
        <v>689.5</v>
      </c>
      <c r="D219" t="s">
        <v>833</v>
      </c>
      <c r="E219" t="s">
        <v>834</v>
      </c>
      <c r="F219">
        <v>2</v>
      </c>
      <c r="G219" t="s">
        <v>413</v>
      </c>
      <c r="H219" t="s">
        <v>414</v>
      </c>
      <c r="I219">
        <v>1651857688.725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1332.176430245631</v>
      </c>
      <c r="AK219">
        <v>1285.61703030303</v>
      </c>
      <c r="AL219">
        <v>3.400923673735781</v>
      </c>
      <c r="AM219">
        <v>66.38384787954378</v>
      </c>
      <c r="AN219">
        <f>(AP219 - AO219 + DI219*1E3/(8.314*(DK219+273.15)) * AR219/DH219 * AQ219) * DH219/(100*CV219) * 1000/(1000 - AP219)</f>
        <v>0</v>
      </c>
      <c r="AO219">
        <v>10.04900664332554</v>
      </c>
      <c r="AP219">
        <v>18.05444735294119</v>
      </c>
      <c r="AQ219">
        <v>-0.003777618981198959</v>
      </c>
      <c r="AR219">
        <v>80.44866334591464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417</v>
      </c>
      <c r="AY219" t="s">
        <v>417</v>
      </c>
      <c r="AZ219">
        <v>0</v>
      </c>
      <c r="BA219">
        <v>0</v>
      </c>
      <c r="BB219">
        <f>1-AZ219/BA219</f>
        <v>0</v>
      </c>
      <c r="BC219">
        <v>0</v>
      </c>
      <c r="BD219" t="s">
        <v>417</v>
      </c>
      <c r="BE219" t="s">
        <v>417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417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1238</v>
      </c>
      <c r="CA219">
        <v>300</v>
      </c>
      <c r="CB219">
        <v>300</v>
      </c>
      <c r="CC219">
        <v>300</v>
      </c>
      <c r="CD219">
        <v>10440.5</v>
      </c>
      <c r="CE219">
        <v>1411.69</v>
      </c>
      <c r="CF219">
        <v>-0.00735121</v>
      </c>
      <c r="CG219">
        <v>-0.77</v>
      </c>
      <c r="CH219" t="s">
        <v>417</v>
      </c>
      <c r="CI219" t="s">
        <v>417</v>
      </c>
      <c r="CJ219" t="s">
        <v>417</v>
      </c>
      <c r="CK219" t="s">
        <v>417</v>
      </c>
      <c r="CL219" t="s">
        <v>417</v>
      </c>
      <c r="CM219" t="s">
        <v>417</v>
      </c>
      <c r="CN219" t="s">
        <v>417</v>
      </c>
      <c r="CO219" t="s">
        <v>417</v>
      </c>
      <c r="CP219" t="s">
        <v>417</v>
      </c>
      <c r="CQ219" t="s">
        <v>417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418</v>
      </c>
      <c r="CY219">
        <v>2</v>
      </c>
      <c r="CZ219" t="b">
        <v>1</v>
      </c>
      <c r="DA219">
        <v>1651857688.725</v>
      </c>
      <c r="DB219">
        <v>1259.46</v>
      </c>
      <c r="DC219">
        <v>1323.47</v>
      </c>
      <c r="DD219">
        <v>18.05455</v>
      </c>
      <c r="DE219">
        <v>10.1149</v>
      </c>
      <c r="DF219">
        <v>1262.225</v>
      </c>
      <c r="DG219">
        <v>18.053325</v>
      </c>
      <c r="DH219">
        <v>500.0555</v>
      </c>
      <c r="DI219">
        <v>90.0976</v>
      </c>
      <c r="DJ219">
        <v>0.10010425</v>
      </c>
      <c r="DK219">
        <v>25.746075</v>
      </c>
      <c r="DL219">
        <v>25.025575</v>
      </c>
      <c r="DM219">
        <v>999.9</v>
      </c>
      <c r="DN219">
        <v>0</v>
      </c>
      <c r="DO219">
        <v>0</v>
      </c>
      <c r="DP219">
        <v>9974.0625</v>
      </c>
      <c r="DQ219">
        <v>0</v>
      </c>
      <c r="DR219">
        <v>3.23193</v>
      </c>
      <c r="DS219">
        <v>-64.00732499999999</v>
      </c>
      <c r="DT219">
        <v>1282.6175</v>
      </c>
      <c r="DU219">
        <v>1336.99</v>
      </c>
      <c r="DV219">
        <v>7.939625</v>
      </c>
      <c r="DW219">
        <v>1323.47</v>
      </c>
      <c r="DX219">
        <v>10.1149</v>
      </c>
      <c r="DY219">
        <v>1.6266725</v>
      </c>
      <c r="DZ219">
        <v>0.9113297499999999</v>
      </c>
      <c r="EA219">
        <v>14.213825</v>
      </c>
      <c r="EB219">
        <v>5.570895</v>
      </c>
      <c r="EC219">
        <v>1499.925</v>
      </c>
      <c r="ED219">
        <v>0.973007</v>
      </c>
      <c r="EE219">
        <v>0.0269931</v>
      </c>
      <c r="EF219">
        <v>0</v>
      </c>
      <c r="EG219">
        <v>950.111</v>
      </c>
      <c r="EH219">
        <v>5.00097</v>
      </c>
      <c r="EI219">
        <v>14119.55</v>
      </c>
      <c r="EJ219">
        <v>12491.025</v>
      </c>
      <c r="EK219">
        <v>37.5</v>
      </c>
      <c r="EL219">
        <v>39</v>
      </c>
      <c r="EM219">
        <v>37.875</v>
      </c>
      <c r="EN219">
        <v>38.75</v>
      </c>
      <c r="EO219">
        <v>38.375</v>
      </c>
      <c r="EP219">
        <v>1454.575</v>
      </c>
      <c r="EQ219">
        <v>40.35</v>
      </c>
      <c r="ER219">
        <v>0</v>
      </c>
      <c r="ES219">
        <v>688.8000001907349</v>
      </c>
      <c r="ET219">
        <v>0</v>
      </c>
      <c r="EU219">
        <v>952.82584</v>
      </c>
      <c r="EV219">
        <v>-27.94530765521999</v>
      </c>
      <c r="EW219">
        <v>-409.0076917128192</v>
      </c>
      <c r="EX219">
        <v>14161.404</v>
      </c>
      <c r="EY219">
        <v>15</v>
      </c>
      <c r="EZ219">
        <v>1651857041.1</v>
      </c>
      <c r="FA219" t="s">
        <v>419</v>
      </c>
      <c r="FB219">
        <v>1651857019.6</v>
      </c>
      <c r="FC219">
        <v>1651857041.1</v>
      </c>
      <c r="FD219">
        <v>1</v>
      </c>
      <c r="FE219">
        <v>0.545</v>
      </c>
      <c r="FF219">
        <v>-0.002</v>
      </c>
      <c r="FG219">
        <v>-1.271</v>
      </c>
      <c r="FH219">
        <v>-0.09</v>
      </c>
      <c r="FI219">
        <v>400</v>
      </c>
      <c r="FJ219">
        <v>10</v>
      </c>
      <c r="FK219">
        <v>0.1</v>
      </c>
      <c r="FL219">
        <v>0.02</v>
      </c>
      <c r="FM219">
        <v>-63.806475</v>
      </c>
      <c r="FN219">
        <v>-0.03882326454034955</v>
      </c>
      <c r="FO219">
        <v>0.1465208820441644</v>
      </c>
      <c r="FP219">
        <v>-1</v>
      </c>
      <c r="FQ219">
        <v>8.15713775</v>
      </c>
      <c r="FR219">
        <v>-1.362010694183865</v>
      </c>
      <c r="FS219">
        <v>0.1314872352072151</v>
      </c>
      <c r="FT219">
        <v>-1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0</v>
      </c>
      <c r="GA219" t="s">
        <v>432</v>
      </c>
      <c r="GB219">
        <v>2.98002</v>
      </c>
      <c r="GC219">
        <v>2.70603</v>
      </c>
      <c r="GD219">
        <v>0.198559</v>
      </c>
      <c r="GE219">
        <v>0.202352</v>
      </c>
      <c r="GF219">
        <v>0.08675769999999999</v>
      </c>
      <c r="GG219">
        <v>0.0559443</v>
      </c>
      <c r="GH219">
        <v>25287.3</v>
      </c>
      <c r="GI219">
        <v>25222.8</v>
      </c>
      <c r="GJ219">
        <v>29342.7</v>
      </c>
      <c r="GK219">
        <v>29256.4</v>
      </c>
      <c r="GL219">
        <v>35488.1</v>
      </c>
      <c r="GM219">
        <v>36785.2</v>
      </c>
      <c r="GN219">
        <v>41304.2</v>
      </c>
      <c r="GO219">
        <v>41753.3</v>
      </c>
      <c r="GP219">
        <v>1.95445</v>
      </c>
      <c r="GQ219">
        <v>1.83945</v>
      </c>
      <c r="GR219">
        <v>-0.0329316</v>
      </c>
      <c r="GS219">
        <v>0</v>
      </c>
      <c r="GT219">
        <v>25.5641</v>
      </c>
      <c r="GU219">
        <v>999.9</v>
      </c>
      <c r="GV219">
        <v>38.4</v>
      </c>
      <c r="GW219">
        <v>34</v>
      </c>
      <c r="GX219">
        <v>22.7727</v>
      </c>
      <c r="GY219">
        <v>62.5776</v>
      </c>
      <c r="GZ219">
        <v>35.0962</v>
      </c>
      <c r="HA219">
        <v>1</v>
      </c>
      <c r="HB219">
        <v>0.136514</v>
      </c>
      <c r="HC219">
        <v>2.55424</v>
      </c>
      <c r="HD219">
        <v>20.3147</v>
      </c>
      <c r="HE219">
        <v>5.21684</v>
      </c>
      <c r="HF219">
        <v>12.0099</v>
      </c>
      <c r="HG219">
        <v>4.9887</v>
      </c>
      <c r="HH219">
        <v>3.2885</v>
      </c>
      <c r="HI219">
        <v>856</v>
      </c>
      <c r="HJ219">
        <v>8521.1</v>
      </c>
      <c r="HK219">
        <v>5139.4</v>
      </c>
      <c r="HL219">
        <v>22.9</v>
      </c>
      <c r="HM219">
        <v>1.86751</v>
      </c>
      <c r="HN219">
        <v>1.86646</v>
      </c>
      <c r="HO219">
        <v>1.866</v>
      </c>
      <c r="HP219">
        <v>1.86584</v>
      </c>
      <c r="HQ219">
        <v>1.86773</v>
      </c>
      <c r="HR219">
        <v>1.87026</v>
      </c>
      <c r="HS219">
        <v>1.8689</v>
      </c>
      <c r="HT219">
        <v>1.87027</v>
      </c>
      <c r="HU219">
        <v>0</v>
      </c>
      <c r="HV219">
        <v>0</v>
      </c>
      <c r="HW219">
        <v>0</v>
      </c>
      <c r="HX219">
        <v>0</v>
      </c>
      <c r="HY219" t="s">
        <v>421</v>
      </c>
      <c r="HZ219" t="s">
        <v>422</v>
      </c>
      <c r="IA219" t="s">
        <v>423</v>
      </c>
      <c r="IB219" t="s">
        <v>423</v>
      </c>
      <c r="IC219" t="s">
        <v>423</v>
      </c>
      <c r="ID219" t="s">
        <v>423</v>
      </c>
      <c r="IE219">
        <v>0</v>
      </c>
      <c r="IF219">
        <v>100</v>
      </c>
      <c r="IG219">
        <v>100</v>
      </c>
      <c r="IH219">
        <v>-2.77</v>
      </c>
      <c r="II219">
        <v>0.0012</v>
      </c>
      <c r="IJ219">
        <v>-0.4995723906072</v>
      </c>
      <c r="IK219">
        <v>-0.002077099775823331</v>
      </c>
      <c r="IL219">
        <v>4.593143279902166E-07</v>
      </c>
      <c r="IM219">
        <v>-1.865383991892071E-10</v>
      </c>
      <c r="IN219">
        <v>-0.07605349583632376</v>
      </c>
      <c r="IO219">
        <v>-0.01129461987421345</v>
      </c>
      <c r="IP219">
        <v>0.00116580895745559</v>
      </c>
      <c r="IQ219">
        <v>-1.679085872906199E-05</v>
      </c>
      <c r="IR219">
        <v>2</v>
      </c>
      <c r="IS219">
        <v>2290</v>
      </c>
      <c r="IT219">
        <v>0</v>
      </c>
      <c r="IU219">
        <v>32</v>
      </c>
      <c r="IV219">
        <v>11.2</v>
      </c>
      <c r="IW219">
        <v>10.8</v>
      </c>
      <c r="IX219">
        <v>2.62695</v>
      </c>
      <c r="IY219">
        <v>2.20581</v>
      </c>
      <c r="IZ219">
        <v>1.39648</v>
      </c>
      <c r="JA219">
        <v>2.35962</v>
      </c>
      <c r="JB219">
        <v>1.49536</v>
      </c>
      <c r="JC219">
        <v>2.2998</v>
      </c>
      <c r="JD219">
        <v>38.5014</v>
      </c>
      <c r="JE219">
        <v>24.035</v>
      </c>
      <c r="JF219">
        <v>18</v>
      </c>
      <c r="JG219">
        <v>514.181</v>
      </c>
      <c r="JH219">
        <v>425.749</v>
      </c>
      <c r="JI219">
        <v>22.3028</v>
      </c>
      <c r="JJ219">
        <v>29.0807</v>
      </c>
      <c r="JK219">
        <v>30.0001</v>
      </c>
      <c r="JL219">
        <v>29.0821</v>
      </c>
      <c r="JM219">
        <v>29.0242</v>
      </c>
      <c r="JN219">
        <v>52.571</v>
      </c>
      <c r="JO219">
        <v>50.752</v>
      </c>
      <c r="JP219">
        <v>0</v>
      </c>
      <c r="JQ219">
        <v>22.287</v>
      </c>
      <c r="JR219">
        <v>1343.7</v>
      </c>
      <c r="JS219">
        <v>10.3119</v>
      </c>
      <c r="JT219">
        <v>100.304</v>
      </c>
      <c r="JU219">
        <v>100.216</v>
      </c>
    </row>
    <row r="220" spans="1:281">
      <c r="A220">
        <v>204</v>
      </c>
      <c r="B220">
        <v>1651857692.1</v>
      </c>
      <c r="C220">
        <v>691.5</v>
      </c>
      <c r="D220" t="s">
        <v>835</v>
      </c>
      <c r="E220" t="s">
        <v>836</v>
      </c>
      <c r="F220">
        <v>2</v>
      </c>
      <c r="G220" t="s">
        <v>413</v>
      </c>
      <c r="H220" t="s">
        <v>414</v>
      </c>
      <c r="I220">
        <v>1651857691.1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1339.077292259487</v>
      </c>
      <c r="AK220">
        <v>1292.556545454545</v>
      </c>
      <c r="AL220">
        <v>3.451709022849199</v>
      </c>
      <c r="AM220">
        <v>66.38384787954378</v>
      </c>
      <c r="AN220">
        <f>(AP220 - AO220 + DI220*1E3/(8.314*(DK220+273.15)) * AR220/DH220 * AQ220) * DH220/(100*CV220) * 1000/(1000 - AP220)</f>
        <v>0</v>
      </c>
      <c r="AO220">
        <v>10.09426242873501</v>
      </c>
      <c r="AP220">
        <v>18.04694676470587</v>
      </c>
      <c r="AQ220">
        <v>-0.0003709968175484757</v>
      </c>
      <c r="AR220">
        <v>80.44866334591464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417</v>
      </c>
      <c r="AY220" t="s">
        <v>417</v>
      </c>
      <c r="AZ220">
        <v>0</v>
      </c>
      <c r="BA220">
        <v>0</v>
      </c>
      <c r="BB220">
        <f>1-AZ220/BA220</f>
        <v>0</v>
      </c>
      <c r="BC220">
        <v>0</v>
      </c>
      <c r="BD220" t="s">
        <v>417</v>
      </c>
      <c r="BE220" t="s">
        <v>417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417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1238</v>
      </c>
      <c r="CA220">
        <v>300</v>
      </c>
      <c r="CB220">
        <v>300</v>
      </c>
      <c r="CC220">
        <v>300</v>
      </c>
      <c r="CD220">
        <v>10440.5</v>
      </c>
      <c r="CE220">
        <v>1411.69</v>
      </c>
      <c r="CF220">
        <v>-0.00735121</v>
      </c>
      <c r="CG220">
        <v>-0.77</v>
      </c>
      <c r="CH220" t="s">
        <v>417</v>
      </c>
      <c r="CI220" t="s">
        <v>417</v>
      </c>
      <c r="CJ220" t="s">
        <v>417</v>
      </c>
      <c r="CK220" t="s">
        <v>417</v>
      </c>
      <c r="CL220" t="s">
        <v>417</v>
      </c>
      <c r="CM220" t="s">
        <v>417</v>
      </c>
      <c r="CN220" t="s">
        <v>417</v>
      </c>
      <c r="CO220" t="s">
        <v>417</v>
      </c>
      <c r="CP220" t="s">
        <v>417</v>
      </c>
      <c r="CQ220" t="s">
        <v>417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418</v>
      </c>
      <c r="CY220">
        <v>2</v>
      </c>
      <c r="CZ220" t="b">
        <v>1</v>
      </c>
      <c r="DA220">
        <v>1651857691.1</v>
      </c>
      <c r="DB220">
        <v>1267.523333333333</v>
      </c>
      <c r="DC220">
        <v>1331.4</v>
      </c>
      <c r="DD220">
        <v>18.04793333333333</v>
      </c>
      <c r="DE220">
        <v>10.1585</v>
      </c>
      <c r="DF220">
        <v>1270.303333333333</v>
      </c>
      <c r="DG220">
        <v>18.04683333333334</v>
      </c>
      <c r="DH220">
        <v>500.0246666666667</v>
      </c>
      <c r="DI220">
        <v>90.09823333333334</v>
      </c>
      <c r="DJ220">
        <v>0.09984753333333334</v>
      </c>
      <c r="DK220">
        <v>25.7453</v>
      </c>
      <c r="DL220">
        <v>25.024</v>
      </c>
      <c r="DM220">
        <v>999.9</v>
      </c>
      <c r="DN220">
        <v>0</v>
      </c>
      <c r="DO220">
        <v>0</v>
      </c>
      <c r="DP220">
        <v>10000</v>
      </c>
      <c r="DQ220">
        <v>0</v>
      </c>
      <c r="DR220">
        <v>3.23193</v>
      </c>
      <c r="DS220">
        <v>-63.87676666666667</v>
      </c>
      <c r="DT220">
        <v>1290.82</v>
      </c>
      <c r="DU220">
        <v>1345.063333333333</v>
      </c>
      <c r="DV220">
        <v>7.889413333333334</v>
      </c>
      <c r="DW220">
        <v>1331.4</v>
      </c>
      <c r="DX220">
        <v>10.1585</v>
      </c>
      <c r="DY220">
        <v>1.626086666666667</v>
      </c>
      <c r="DZ220">
        <v>0.915266</v>
      </c>
      <c r="EA220">
        <v>14.20826666666667</v>
      </c>
      <c r="EB220">
        <v>5.633026666666666</v>
      </c>
      <c r="EC220">
        <v>1500.026666666667</v>
      </c>
      <c r="ED220">
        <v>0.9730086666666665</v>
      </c>
      <c r="EE220">
        <v>0.0269913</v>
      </c>
      <c r="EF220">
        <v>0</v>
      </c>
      <c r="EG220">
        <v>948.8130000000001</v>
      </c>
      <c r="EH220">
        <v>5.00097</v>
      </c>
      <c r="EI220">
        <v>14104.56666666667</v>
      </c>
      <c r="EJ220">
        <v>12491.83333333333</v>
      </c>
      <c r="EK220">
        <v>37.5</v>
      </c>
      <c r="EL220">
        <v>39</v>
      </c>
      <c r="EM220">
        <v>37.875</v>
      </c>
      <c r="EN220">
        <v>38.75</v>
      </c>
      <c r="EO220">
        <v>38.375</v>
      </c>
      <c r="EP220">
        <v>1454.676666666667</v>
      </c>
      <c r="EQ220">
        <v>40.35</v>
      </c>
      <c r="ER220">
        <v>0</v>
      </c>
      <c r="ES220">
        <v>691.2000000476837</v>
      </c>
      <c r="ET220">
        <v>0</v>
      </c>
      <c r="EU220">
        <v>951.6901599999999</v>
      </c>
      <c r="EV220">
        <v>-27.85746158084588</v>
      </c>
      <c r="EW220">
        <v>-410.3153852729072</v>
      </c>
      <c r="EX220">
        <v>14145.132</v>
      </c>
      <c r="EY220">
        <v>15</v>
      </c>
      <c r="EZ220">
        <v>1651857041.1</v>
      </c>
      <c r="FA220" t="s">
        <v>419</v>
      </c>
      <c r="FB220">
        <v>1651857019.6</v>
      </c>
      <c r="FC220">
        <v>1651857041.1</v>
      </c>
      <c r="FD220">
        <v>1</v>
      </c>
      <c r="FE220">
        <v>0.545</v>
      </c>
      <c r="FF220">
        <v>-0.002</v>
      </c>
      <c r="FG220">
        <v>-1.271</v>
      </c>
      <c r="FH220">
        <v>-0.09</v>
      </c>
      <c r="FI220">
        <v>400</v>
      </c>
      <c r="FJ220">
        <v>10</v>
      </c>
      <c r="FK220">
        <v>0.1</v>
      </c>
      <c r="FL220">
        <v>0.02</v>
      </c>
      <c r="FM220">
        <v>-63.80313902439025</v>
      </c>
      <c r="FN220">
        <v>-0.6006585365853239</v>
      </c>
      <c r="FO220">
        <v>0.1410425396442224</v>
      </c>
      <c r="FP220">
        <v>-1</v>
      </c>
      <c r="FQ220">
        <v>8.106111951219512</v>
      </c>
      <c r="FR220">
        <v>-1.365827456445962</v>
      </c>
      <c r="FS220">
        <v>0.1351130365470825</v>
      </c>
      <c r="FT220">
        <v>-1</v>
      </c>
      <c r="FU220">
        <v>0</v>
      </c>
      <c r="FV220">
        <v>0</v>
      </c>
      <c r="FW220">
        <v>0</v>
      </c>
      <c r="FX220">
        <v>-1</v>
      </c>
      <c r="FY220">
        <v>0</v>
      </c>
      <c r="FZ220">
        <v>0</v>
      </c>
      <c r="GA220" t="s">
        <v>432</v>
      </c>
      <c r="GB220">
        <v>2.97998</v>
      </c>
      <c r="GC220">
        <v>2.70605</v>
      </c>
      <c r="GD220">
        <v>0.199217</v>
      </c>
      <c r="GE220">
        <v>0.202971</v>
      </c>
      <c r="GF220">
        <v>0.0867274</v>
      </c>
      <c r="GG220">
        <v>0.0561313</v>
      </c>
      <c r="GH220">
        <v>25266.3</v>
      </c>
      <c r="GI220">
        <v>25203.2</v>
      </c>
      <c r="GJ220">
        <v>29342.4</v>
      </c>
      <c r="GK220">
        <v>29256.5</v>
      </c>
      <c r="GL220">
        <v>35489</v>
      </c>
      <c r="GM220">
        <v>36777.9</v>
      </c>
      <c r="GN220">
        <v>41303.7</v>
      </c>
      <c r="GO220">
        <v>41753.3</v>
      </c>
      <c r="GP220">
        <v>1.95445</v>
      </c>
      <c r="GQ220">
        <v>1.83965</v>
      </c>
      <c r="GR220">
        <v>-0.0328161</v>
      </c>
      <c r="GS220">
        <v>0</v>
      </c>
      <c r="GT220">
        <v>25.563</v>
      </c>
      <c r="GU220">
        <v>999.9</v>
      </c>
      <c r="GV220">
        <v>38.4</v>
      </c>
      <c r="GW220">
        <v>34</v>
      </c>
      <c r="GX220">
        <v>22.774</v>
      </c>
      <c r="GY220">
        <v>62.4976</v>
      </c>
      <c r="GZ220">
        <v>35.4928</v>
      </c>
      <c r="HA220">
        <v>1</v>
      </c>
      <c r="HB220">
        <v>0.136474</v>
      </c>
      <c r="HC220">
        <v>2.57778</v>
      </c>
      <c r="HD220">
        <v>20.3143</v>
      </c>
      <c r="HE220">
        <v>5.21639</v>
      </c>
      <c r="HF220">
        <v>12.0099</v>
      </c>
      <c r="HG220">
        <v>4.9885</v>
      </c>
      <c r="HH220">
        <v>3.2885</v>
      </c>
      <c r="HI220">
        <v>856</v>
      </c>
      <c r="HJ220">
        <v>8521.1</v>
      </c>
      <c r="HK220">
        <v>5139.4</v>
      </c>
      <c r="HL220">
        <v>22.9</v>
      </c>
      <c r="HM220">
        <v>1.86752</v>
      </c>
      <c r="HN220">
        <v>1.86646</v>
      </c>
      <c r="HO220">
        <v>1.866</v>
      </c>
      <c r="HP220">
        <v>1.86586</v>
      </c>
      <c r="HQ220">
        <v>1.86772</v>
      </c>
      <c r="HR220">
        <v>1.87026</v>
      </c>
      <c r="HS220">
        <v>1.8689</v>
      </c>
      <c r="HT220">
        <v>1.87027</v>
      </c>
      <c r="HU220">
        <v>0</v>
      </c>
      <c r="HV220">
        <v>0</v>
      </c>
      <c r="HW220">
        <v>0</v>
      </c>
      <c r="HX220">
        <v>0</v>
      </c>
      <c r="HY220" t="s">
        <v>421</v>
      </c>
      <c r="HZ220" t="s">
        <v>422</v>
      </c>
      <c r="IA220" t="s">
        <v>423</v>
      </c>
      <c r="IB220" t="s">
        <v>423</v>
      </c>
      <c r="IC220" t="s">
        <v>423</v>
      </c>
      <c r="ID220" t="s">
        <v>423</v>
      </c>
      <c r="IE220">
        <v>0</v>
      </c>
      <c r="IF220">
        <v>100</v>
      </c>
      <c r="IG220">
        <v>100</v>
      </c>
      <c r="IH220">
        <v>-2.78</v>
      </c>
      <c r="II220">
        <v>0.0011</v>
      </c>
      <c r="IJ220">
        <v>-0.4995723906072</v>
      </c>
      <c r="IK220">
        <v>-0.002077099775823331</v>
      </c>
      <c r="IL220">
        <v>4.593143279902166E-07</v>
      </c>
      <c r="IM220">
        <v>-1.865383991892071E-10</v>
      </c>
      <c r="IN220">
        <v>-0.07605349583632376</v>
      </c>
      <c r="IO220">
        <v>-0.01129461987421345</v>
      </c>
      <c r="IP220">
        <v>0.00116580895745559</v>
      </c>
      <c r="IQ220">
        <v>-1.679085872906199E-05</v>
      </c>
      <c r="IR220">
        <v>2</v>
      </c>
      <c r="IS220">
        <v>2290</v>
      </c>
      <c r="IT220">
        <v>0</v>
      </c>
      <c r="IU220">
        <v>32</v>
      </c>
      <c r="IV220">
        <v>11.2</v>
      </c>
      <c r="IW220">
        <v>10.8</v>
      </c>
      <c r="IX220">
        <v>2.63794</v>
      </c>
      <c r="IY220">
        <v>2.20337</v>
      </c>
      <c r="IZ220">
        <v>1.39648</v>
      </c>
      <c r="JA220">
        <v>2.35962</v>
      </c>
      <c r="JB220">
        <v>1.49536</v>
      </c>
      <c r="JC220">
        <v>2.34131</v>
      </c>
      <c r="JD220">
        <v>38.5014</v>
      </c>
      <c r="JE220">
        <v>24.035</v>
      </c>
      <c r="JF220">
        <v>18</v>
      </c>
      <c r="JG220">
        <v>514.17</v>
      </c>
      <c r="JH220">
        <v>425.862</v>
      </c>
      <c r="JI220">
        <v>22.2938</v>
      </c>
      <c r="JJ220">
        <v>29.0794</v>
      </c>
      <c r="JK220">
        <v>30.0001</v>
      </c>
      <c r="JL220">
        <v>29.0809</v>
      </c>
      <c r="JM220">
        <v>29.0233</v>
      </c>
      <c r="JN220">
        <v>52.7871</v>
      </c>
      <c r="JO220">
        <v>50.4656</v>
      </c>
      <c r="JP220">
        <v>0</v>
      </c>
      <c r="JQ220">
        <v>22.287</v>
      </c>
      <c r="JR220">
        <v>1350.38</v>
      </c>
      <c r="JS220">
        <v>10.3633</v>
      </c>
      <c r="JT220">
        <v>100.303</v>
      </c>
      <c r="JU220">
        <v>100.216</v>
      </c>
    </row>
    <row r="221" spans="1:281">
      <c r="A221">
        <v>205</v>
      </c>
      <c r="B221">
        <v>1651857694.1</v>
      </c>
      <c r="C221">
        <v>693.5</v>
      </c>
      <c r="D221" t="s">
        <v>837</v>
      </c>
      <c r="E221" t="s">
        <v>838</v>
      </c>
      <c r="F221">
        <v>2</v>
      </c>
      <c r="G221" t="s">
        <v>413</v>
      </c>
      <c r="H221" t="s">
        <v>414</v>
      </c>
      <c r="I221">
        <v>1651857692.725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1345.828503864539</v>
      </c>
      <c r="AK221">
        <v>1299.35303030303</v>
      </c>
      <c r="AL221">
        <v>3.422894756089607</v>
      </c>
      <c r="AM221">
        <v>66.38384787954378</v>
      </c>
      <c r="AN221">
        <f>(AP221 - AO221 + DI221*1E3/(8.314*(DK221+273.15)) * AR221/DH221 * AQ221) * DH221/(100*CV221) * 1000/(1000 - AP221)</f>
        <v>0</v>
      </c>
      <c r="AO221">
        <v>10.12899619740701</v>
      </c>
      <c r="AP221">
        <v>18.03799588235293</v>
      </c>
      <c r="AQ221">
        <v>-0.0002588934901556374</v>
      </c>
      <c r="AR221">
        <v>80.44866334591464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417</v>
      </c>
      <c r="AY221" t="s">
        <v>417</v>
      </c>
      <c r="AZ221">
        <v>0</v>
      </c>
      <c r="BA221">
        <v>0</v>
      </c>
      <c r="BB221">
        <f>1-AZ221/BA221</f>
        <v>0</v>
      </c>
      <c r="BC221">
        <v>0</v>
      </c>
      <c r="BD221" t="s">
        <v>417</v>
      </c>
      <c r="BE221" t="s">
        <v>417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417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1238</v>
      </c>
      <c r="CA221">
        <v>300</v>
      </c>
      <c r="CB221">
        <v>300</v>
      </c>
      <c r="CC221">
        <v>300</v>
      </c>
      <c r="CD221">
        <v>10440.5</v>
      </c>
      <c r="CE221">
        <v>1411.69</v>
      </c>
      <c r="CF221">
        <v>-0.00735121</v>
      </c>
      <c r="CG221">
        <v>-0.77</v>
      </c>
      <c r="CH221" t="s">
        <v>417</v>
      </c>
      <c r="CI221" t="s">
        <v>417</v>
      </c>
      <c r="CJ221" t="s">
        <v>417</v>
      </c>
      <c r="CK221" t="s">
        <v>417</v>
      </c>
      <c r="CL221" t="s">
        <v>417</v>
      </c>
      <c r="CM221" t="s">
        <v>417</v>
      </c>
      <c r="CN221" t="s">
        <v>417</v>
      </c>
      <c r="CO221" t="s">
        <v>417</v>
      </c>
      <c r="CP221" t="s">
        <v>417</v>
      </c>
      <c r="CQ221" t="s">
        <v>417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418</v>
      </c>
      <c r="CY221">
        <v>2</v>
      </c>
      <c r="CZ221" t="b">
        <v>1</v>
      </c>
      <c r="DA221">
        <v>1651857692.725</v>
      </c>
      <c r="DB221">
        <v>1272.9925</v>
      </c>
      <c r="DC221">
        <v>1336.7975</v>
      </c>
      <c r="DD221">
        <v>18.041775</v>
      </c>
      <c r="DE221">
        <v>10.19935</v>
      </c>
      <c r="DF221">
        <v>1275.78</v>
      </c>
      <c r="DG221">
        <v>18.04075</v>
      </c>
      <c r="DH221">
        <v>500.03475</v>
      </c>
      <c r="DI221">
        <v>90.09700000000001</v>
      </c>
      <c r="DJ221">
        <v>0.1000528</v>
      </c>
      <c r="DK221">
        <v>25.7442</v>
      </c>
      <c r="DL221">
        <v>25.024</v>
      </c>
      <c r="DM221">
        <v>999.9</v>
      </c>
      <c r="DN221">
        <v>0</v>
      </c>
      <c r="DO221">
        <v>0</v>
      </c>
      <c r="DP221">
        <v>9989.0625</v>
      </c>
      <c r="DQ221">
        <v>0</v>
      </c>
      <c r="DR221">
        <v>3.23193</v>
      </c>
      <c r="DS221">
        <v>-63.80785</v>
      </c>
      <c r="DT221">
        <v>1296.38</v>
      </c>
      <c r="DU221">
        <v>1350.575</v>
      </c>
      <c r="DV221">
        <v>7.842435</v>
      </c>
      <c r="DW221">
        <v>1336.7975</v>
      </c>
      <c r="DX221">
        <v>10.19935</v>
      </c>
      <c r="DY221">
        <v>1.62551</v>
      </c>
      <c r="DZ221">
        <v>0.9189302500000001</v>
      </c>
      <c r="EA221">
        <v>14.2028</v>
      </c>
      <c r="EB221">
        <v>5.690639999999999</v>
      </c>
      <c r="EC221">
        <v>1500.005</v>
      </c>
      <c r="ED221">
        <v>0.97300325</v>
      </c>
      <c r="EE221">
        <v>0.026996825</v>
      </c>
      <c r="EF221">
        <v>0</v>
      </c>
      <c r="EG221">
        <v>948.2402499999999</v>
      </c>
      <c r="EH221">
        <v>5.00097</v>
      </c>
      <c r="EI221">
        <v>14094.5</v>
      </c>
      <c r="EJ221">
        <v>12491.65</v>
      </c>
      <c r="EK221">
        <v>37.5</v>
      </c>
      <c r="EL221">
        <v>39</v>
      </c>
      <c r="EM221">
        <v>37.875</v>
      </c>
      <c r="EN221">
        <v>38.75</v>
      </c>
      <c r="EO221">
        <v>38.375</v>
      </c>
      <c r="EP221">
        <v>1454.6475</v>
      </c>
      <c r="EQ221">
        <v>40.3575</v>
      </c>
      <c r="ER221">
        <v>0</v>
      </c>
      <c r="ES221">
        <v>693</v>
      </c>
      <c r="ET221">
        <v>0</v>
      </c>
      <c r="EU221">
        <v>950.9981153846154</v>
      </c>
      <c r="EV221">
        <v>-27.5659145331112</v>
      </c>
      <c r="EW221">
        <v>-408.4854701032335</v>
      </c>
      <c r="EX221">
        <v>14135.06923076923</v>
      </c>
      <c r="EY221">
        <v>15</v>
      </c>
      <c r="EZ221">
        <v>1651857041.1</v>
      </c>
      <c r="FA221" t="s">
        <v>419</v>
      </c>
      <c r="FB221">
        <v>1651857019.6</v>
      </c>
      <c r="FC221">
        <v>1651857041.1</v>
      </c>
      <c r="FD221">
        <v>1</v>
      </c>
      <c r="FE221">
        <v>0.545</v>
      </c>
      <c r="FF221">
        <v>-0.002</v>
      </c>
      <c r="FG221">
        <v>-1.271</v>
      </c>
      <c r="FH221">
        <v>-0.09</v>
      </c>
      <c r="FI221">
        <v>400</v>
      </c>
      <c r="FJ221">
        <v>10</v>
      </c>
      <c r="FK221">
        <v>0.1</v>
      </c>
      <c r="FL221">
        <v>0.02</v>
      </c>
      <c r="FM221">
        <v>-63.79507073170732</v>
      </c>
      <c r="FN221">
        <v>-0.7237777003485172</v>
      </c>
      <c r="FO221">
        <v>0.1368329464746265</v>
      </c>
      <c r="FP221">
        <v>-1</v>
      </c>
      <c r="FQ221">
        <v>8.08273975609756</v>
      </c>
      <c r="FR221">
        <v>-1.368344320557481</v>
      </c>
      <c r="FS221">
        <v>0.1353669978242132</v>
      </c>
      <c r="FT221">
        <v>-1</v>
      </c>
      <c r="FU221">
        <v>0</v>
      </c>
      <c r="FV221">
        <v>0</v>
      </c>
      <c r="FW221">
        <v>0</v>
      </c>
      <c r="FX221">
        <v>-1</v>
      </c>
      <c r="FY221">
        <v>0</v>
      </c>
      <c r="FZ221">
        <v>0</v>
      </c>
      <c r="GA221" t="s">
        <v>432</v>
      </c>
      <c r="GB221">
        <v>2.98003</v>
      </c>
      <c r="GC221">
        <v>2.7062</v>
      </c>
      <c r="GD221">
        <v>0.199859</v>
      </c>
      <c r="GE221">
        <v>0.203596</v>
      </c>
      <c r="GF221">
        <v>0.08670700000000001</v>
      </c>
      <c r="GG221">
        <v>0.0563595</v>
      </c>
      <c r="GH221">
        <v>25246</v>
      </c>
      <c r="GI221">
        <v>25183.5</v>
      </c>
      <c r="GJ221">
        <v>29342.4</v>
      </c>
      <c r="GK221">
        <v>29256.5</v>
      </c>
      <c r="GL221">
        <v>35489.8</v>
      </c>
      <c r="GM221">
        <v>36769</v>
      </c>
      <c r="GN221">
        <v>41303.8</v>
      </c>
      <c r="GO221">
        <v>41753.3</v>
      </c>
      <c r="GP221">
        <v>1.95415</v>
      </c>
      <c r="GQ221">
        <v>1.83965</v>
      </c>
      <c r="GR221">
        <v>-0.0329204</v>
      </c>
      <c r="GS221">
        <v>0</v>
      </c>
      <c r="GT221">
        <v>25.5627</v>
      </c>
      <c r="GU221">
        <v>999.9</v>
      </c>
      <c r="GV221">
        <v>38.4</v>
      </c>
      <c r="GW221">
        <v>34</v>
      </c>
      <c r="GX221">
        <v>22.7734</v>
      </c>
      <c r="GY221">
        <v>62.2676</v>
      </c>
      <c r="GZ221">
        <v>35.1322</v>
      </c>
      <c r="HA221">
        <v>1</v>
      </c>
      <c r="HB221">
        <v>0.136677</v>
      </c>
      <c r="HC221">
        <v>2.56684</v>
      </c>
      <c r="HD221">
        <v>20.3144</v>
      </c>
      <c r="HE221">
        <v>5.21654</v>
      </c>
      <c r="HF221">
        <v>12.0099</v>
      </c>
      <c r="HG221">
        <v>4.9884</v>
      </c>
      <c r="HH221">
        <v>3.2885</v>
      </c>
      <c r="HI221">
        <v>856</v>
      </c>
      <c r="HJ221">
        <v>8521.1</v>
      </c>
      <c r="HK221">
        <v>5139.4</v>
      </c>
      <c r="HL221">
        <v>22.9</v>
      </c>
      <c r="HM221">
        <v>1.86752</v>
      </c>
      <c r="HN221">
        <v>1.86646</v>
      </c>
      <c r="HO221">
        <v>1.866</v>
      </c>
      <c r="HP221">
        <v>1.86589</v>
      </c>
      <c r="HQ221">
        <v>1.86774</v>
      </c>
      <c r="HR221">
        <v>1.87026</v>
      </c>
      <c r="HS221">
        <v>1.8689</v>
      </c>
      <c r="HT221">
        <v>1.87027</v>
      </c>
      <c r="HU221">
        <v>0</v>
      </c>
      <c r="HV221">
        <v>0</v>
      </c>
      <c r="HW221">
        <v>0</v>
      </c>
      <c r="HX221">
        <v>0</v>
      </c>
      <c r="HY221" t="s">
        <v>421</v>
      </c>
      <c r="HZ221" t="s">
        <v>422</v>
      </c>
      <c r="IA221" t="s">
        <v>423</v>
      </c>
      <c r="IB221" t="s">
        <v>423</v>
      </c>
      <c r="IC221" t="s">
        <v>423</v>
      </c>
      <c r="ID221" t="s">
        <v>423</v>
      </c>
      <c r="IE221">
        <v>0</v>
      </c>
      <c r="IF221">
        <v>100</v>
      </c>
      <c r="IG221">
        <v>100</v>
      </c>
      <c r="IH221">
        <v>-2.8</v>
      </c>
      <c r="II221">
        <v>0.001</v>
      </c>
      <c r="IJ221">
        <v>-0.4995723906072</v>
      </c>
      <c r="IK221">
        <v>-0.002077099775823331</v>
      </c>
      <c r="IL221">
        <v>4.593143279902166E-07</v>
      </c>
      <c r="IM221">
        <v>-1.865383991892071E-10</v>
      </c>
      <c r="IN221">
        <v>-0.07605349583632376</v>
      </c>
      <c r="IO221">
        <v>-0.01129461987421345</v>
      </c>
      <c r="IP221">
        <v>0.00116580895745559</v>
      </c>
      <c r="IQ221">
        <v>-1.679085872906199E-05</v>
      </c>
      <c r="IR221">
        <v>2</v>
      </c>
      <c r="IS221">
        <v>2290</v>
      </c>
      <c r="IT221">
        <v>0</v>
      </c>
      <c r="IU221">
        <v>32</v>
      </c>
      <c r="IV221">
        <v>11.2</v>
      </c>
      <c r="IW221">
        <v>10.9</v>
      </c>
      <c r="IX221">
        <v>2.64771</v>
      </c>
      <c r="IY221">
        <v>2.19971</v>
      </c>
      <c r="IZ221">
        <v>1.39648</v>
      </c>
      <c r="JA221">
        <v>2.35962</v>
      </c>
      <c r="JB221">
        <v>1.49536</v>
      </c>
      <c r="JC221">
        <v>2.34009</v>
      </c>
      <c r="JD221">
        <v>38.5014</v>
      </c>
      <c r="JE221">
        <v>24.035</v>
      </c>
      <c r="JF221">
        <v>18</v>
      </c>
      <c r="JG221">
        <v>513.965</v>
      </c>
      <c r="JH221">
        <v>425.853</v>
      </c>
      <c r="JI221">
        <v>22.2841</v>
      </c>
      <c r="JJ221">
        <v>29.0786</v>
      </c>
      <c r="JK221">
        <v>30.0001</v>
      </c>
      <c r="JL221">
        <v>29.0801</v>
      </c>
      <c r="JM221">
        <v>29.0221</v>
      </c>
      <c r="JN221">
        <v>52.997</v>
      </c>
      <c r="JO221">
        <v>50.4656</v>
      </c>
      <c r="JP221">
        <v>0</v>
      </c>
      <c r="JQ221">
        <v>22.2626</v>
      </c>
      <c r="JR221">
        <v>1357.05</v>
      </c>
      <c r="JS221">
        <v>10.4033</v>
      </c>
      <c r="JT221">
        <v>100.303</v>
      </c>
      <c r="JU221">
        <v>100.216</v>
      </c>
    </row>
    <row r="222" spans="1:281">
      <c r="A222">
        <v>206</v>
      </c>
      <c r="B222">
        <v>1651857696.1</v>
      </c>
      <c r="C222">
        <v>695.5</v>
      </c>
      <c r="D222" t="s">
        <v>839</v>
      </c>
      <c r="E222" t="s">
        <v>840</v>
      </c>
      <c r="F222">
        <v>2</v>
      </c>
      <c r="G222" t="s">
        <v>413</v>
      </c>
      <c r="H222" t="s">
        <v>414</v>
      </c>
      <c r="I222">
        <v>1651857695.1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1352.62565675339</v>
      </c>
      <c r="AK222">
        <v>1306.085212121212</v>
      </c>
      <c r="AL222">
        <v>3.380358229805275</v>
      </c>
      <c r="AM222">
        <v>66.38384787954378</v>
      </c>
      <c r="AN222">
        <f>(AP222 - AO222 + DI222*1E3/(8.314*(DK222+273.15)) * AR222/DH222 * AQ222) * DH222/(100*CV222) * 1000/(1000 - AP222)</f>
        <v>0</v>
      </c>
      <c r="AO222">
        <v>10.17078922268348</v>
      </c>
      <c r="AP222">
        <v>18.03400999999999</v>
      </c>
      <c r="AQ222">
        <v>-0.0008373226754297203</v>
      </c>
      <c r="AR222">
        <v>80.44866334591464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417</v>
      </c>
      <c r="AY222" t="s">
        <v>417</v>
      </c>
      <c r="AZ222">
        <v>0</v>
      </c>
      <c r="BA222">
        <v>0</v>
      </c>
      <c r="BB222">
        <f>1-AZ222/BA222</f>
        <v>0</v>
      </c>
      <c r="BC222">
        <v>0</v>
      </c>
      <c r="BD222" t="s">
        <v>417</v>
      </c>
      <c r="BE222" t="s">
        <v>417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417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1238</v>
      </c>
      <c r="CA222">
        <v>300</v>
      </c>
      <c r="CB222">
        <v>300</v>
      </c>
      <c r="CC222">
        <v>300</v>
      </c>
      <c r="CD222">
        <v>10440.5</v>
      </c>
      <c r="CE222">
        <v>1411.69</v>
      </c>
      <c r="CF222">
        <v>-0.00735121</v>
      </c>
      <c r="CG222">
        <v>-0.77</v>
      </c>
      <c r="CH222" t="s">
        <v>417</v>
      </c>
      <c r="CI222" t="s">
        <v>417</v>
      </c>
      <c r="CJ222" t="s">
        <v>417</v>
      </c>
      <c r="CK222" t="s">
        <v>417</v>
      </c>
      <c r="CL222" t="s">
        <v>417</v>
      </c>
      <c r="CM222" t="s">
        <v>417</v>
      </c>
      <c r="CN222" t="s">
        <v>417</v>
      </c>
      <c r="CO222" t="s">
        <v>417</v>
      </c>
      <c r="CP222" t="s">
        <v>417</v>
      </c>
      <c r="CQ222" t="s">
        <v>417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418</v>
      </c>
      <c r="CY222">
        <v>2</v>
      </c>
      <c r="CZ222" t="b">
        <v>1</v>
      </c>
      <c r="DA222">
        <v>1651857695.1</v>
      </c>
      <c r="DB222">
        <v>1280.866666666667</v>
      </c>
      <c r="DC222">
        <v>1344.846666666667</v>
      </c>
      <c r="DD222">
        <v>18.03556666666667</v>
      </c>
      <c r="DE222">
        <v>10.2628</v>
      </c>
      <c r="DF222">
        <v>1283.67</v>
      </c>
      <c r="DG222">
        <v>18.03463333333333</v>
      </c>
      <c r="DH222">
        <v>500.052</v>
      </c>
      <c r="DI222">
        <v>90.0949</v>
      </c>
      <c r="DJ222">
        <v>0.09995946666666666</v>
      </c>
      <c r="DK222">
        <v>25.74273333333333</v>
      </c>
      <c r="DL222">
        <v>25.02233333333334</v>
      </c>
      <c r="DM222">
        <v>999.9</v>
      </c>
      <c r="DN222">
        <v>0</v>
      </c>
      <c r="DO222">
        <v>0</v>
      </c>
      <c r="DP222">
        <v>10006.26666666667</v>
      </c>
      <c r="DQ222">
        <v>0</v>
      </c>
      <c r="DR222">
        <v>3.23193</v>
      </c>
      <c r="DS222">
        <v>-63.9817</v>
      </c>
      <c r="DT222">
        <v>1304.393333333333</v>
      </c>
      <c r="DU222">
        <v>1358.793333333333</v>
      </c>
      <c r="DV222">
        <v>7.772783333333334</v>
      </c>
      <c r="DW222">
        <v>1344.846666666667</v>
      </c>
      <c r="DX222">
        <v>10.2628</v>
      </c>
      <c r="DY222">
        <v>1.624913333333333</v>
      </c>
      <c r="DZ222">
        <v>0.9246236666666666</v>
      </c>
      <c r="EA222">
        <v>14.19706666666667</v>
      </c>
      <c r="EB222">
        <v>5.779796666666667</v>
      </c>
      <c r="EC222">
        <v>1499.916666666667</v>
      </c>
      <c r="ED222">
        <v>0.973007</v>
      </c>
      <c r="EE222">
        <v>0.0269931</v>
      </c>
      <c r="EF222">
        <v>0</v>
      </c>
      <c r="EG222">
        <v>947.0849999999999</v>
      </c>
      <c r="EH222">
        <v>5.00097</v>
      </c>
      <c r="EI222">
        <v>14077</v>
      </c>
      <c r="EJ222">
        <v>12490.96666666667</v>
      </c>
      <c r="EK222">
        <v>37.5</v>
      </c>
      <c r="EL222">
        <v>39</v>
      </c>
      <c r="EM222">
        <v>37.875</v>
      </c>
      <c r="EN222">
        <v>38.75</v>
      </c>
      <c r="EO222">
        <v>38.375</v>
      </c>
      <c r="EP222">
        <v>1454.566666666667</v>
      </c>
      <c r="EQ222">
        <v>40.35</v>
      </c>
      <c r="ER222">
        <v>0</v>
      </c>
      <c r="ES222">
        <v>694.8000001907349</v>
      </c>
      <c r="ET222">
        <v>0</v>
      </c>
      <c r="EU222">
        <v>950.03784</v>
      </c>
      <c r="EV222">
        <v>-27.40738457144653</v>
      </c>
      <c r="EW222">
        <v>-407.7923070498136</v>
      </c>
      <c r="EX222">
        <v>14120.704</v>
      </c>
      <c r="EY222">
        <v>15</v>
      </c>
      <c r="EZ222">
        <v>1651857041.1</v>
      </c>
      <c r="FA222" t="s">
        <v>419</v>
      </c>
      <c r="FB222">
        <v>1651857019.6</v>
      </c>
      <c r="FC222">
        <v>1651857041.1</v>
      </c>
      <c r="FD222">
        <v>1</v>
      </c>
      <c r="FE222">
        <v>0.545</v>
      </c>
      <c r="FF222">
        <v>-0.002</v>
      </c>
      <c r="FG222">
        <v>-1.271</v>
      </c>
      <c r="FH222">
        <v>-0.09</v>
      </c>
      <c r="FI222">
        <v>400</v>
      </c>
      <c r="FJ222">
        <v>10</v>
      </c>
      <c r="FK222">
        <v>0.1</v>
      </c>
      <c r="FL222">
        <v>0.02</v>
      </c>
      <c r="FM222">
        <v>-63.83150731707318</v>
      </c>
      <c r="FN222">
        <v>-0.585898954704015</v>
      </c>
      <c r="FO222">
        <v>0.1242656308865455</v>
      </c>
      <c r="FP222">
        <v>-1</v>
      </c>
      <c r="FQ222">
        <v>8.01119219512195</v>
      </c>
      <c r="FR222">
        <v>-1.409136794425083</v>
      </c>
      <c r="FS222">
        <v>0.1394898635099006</v>
      </c>
      <c r="FT222">
        <v>-1</v>
      </c>
      <c r="FU222">
        <v>0</v>
      </c>
      <c r="FV222">
        <v>0</v>
      </c>
      <c r="FW222">
        <v>0</v>
      </c>
      <c r="FX222">
        <v>-1</v>
      </c>
      <c r="FY222">
        <v>0</v>
      </c>
      <c r="FZ222">
        <v>0</v>
      </c>
      <c r="GA222" t="s">
        <v>432</v>
      </c>
      <c r="GB222">
        <v>2.98</v>
      </c>
      <c r="GC222">
        <v>2.70621</v>
      </c>
      <c r="GD222">
        <v>0.200507</v>
      </c>
      <c r="GE222">
        <v>0.204242</v>
      </c>
      <c r="GF222">
        <v>0.0866927</v>
      </c>
      <c r="GG222">
        <v>0.056541</v>
      </c>
      <c r="GH222">
        <v>25225.8</v>
      </c>
      <c r="GI222">
        <v>25163.1</v>
      </c>
      <c r="GJ222">
        <v>29342.7</v>
      </c>
      <c r="GK222">
        <v>29256.5</v>
      </c>
      <c r="GL222">
        <v>35490.7</v>
      </c>
      <c r="GM222">
        <v>36762</v>
      </c>
      <c r="GN222">
        <v>41304.1</v>
      </c>
      <c r="GO222">
        <v>41753.4</v>
      </c>
      <c r="GP222">
        <v>1.95378</v>
      </c>
      <c r="GQ222">
        <v>1.83995</v>
      </c>
      <c r="GR222">
        <v>-0.0329427</v>
      </c>
      <c r="GS222">
        <v>0</v>
      </c>
      <c r="GT222">
        <v>25.5627</v>
      </c>
      <c r="GU222">
        <v>999.9</v>
      </c>
      <c r="GV222">
        <v>38.4</v>
      </c>
      <c r="GW222">
        <v>34</v>
      </c>
      <c r="GX222">
        <v>22.7719</v>
      </c>
      <c r="GY222">
        <v>62.6376</v>
      </c>
      <c r="GZ222">
        <v>35.2484</v>
      </c>
      <c r="HA222">
        <v>1</v>
      </c>
      <c r="HB222">
        <v>0.136466</v>
      </c>
      <c r="HC222">
        <v>2.58906</v>
      </c>
      <c r="HD222">
        <v>20.314</v>
      </c>
      <c r="HE222">
        <v>5.21639</v>
      </c>
      <c r="HF222">
        <v>12.0099</v>
      </c>
      <c r="HG222">
        <v>4.98845</v>
      </c>
      <c r="HH222">
        <v>3.2885</v>
      </c>
      <c r="HI222">
        <v>856</v>
      </c>
      <c r="HJ222">
        <v>8521.1</v>
      </c>
      <c r="HK222">
        <v>5139.4</v>
      </c>
      <c r="HL222">
        <v>22.9</v>
      </c>
      <c r="HM222">
        <v>1.86752</v>
      </c>
      <c r="HN222">
        <v>1.86646</v>
      </c>
      <c r="HO222">
        <v>1.866</v>
      </c>
      <c r="HP222">
        <v>1.86591</v>
      </c>
      <c r="HQ222">
        <v>1.86774</v>
      </c>
      <c r="HR222">
        <v>1.87027</v>
      </c>
      <c r="HS222">
        <v>1.8689</v>
      </c>
      <c r="HT222">
        <v>1.87027</v>
      </c>
      <c r="HU222">
        <v>0</v>
      </c>
      <c r="HV222">
        <v>0</v>
      </c>
      <c r="HW222">
        <v>0</v>
      </c>
      <c r="HX222">
        <v>0</v>
      </c>
      <c r="HY222" t="s">
        <v>421</v>
      </c>
      <c r="HZ222" t="s">
        <v>422</v>
      </c>
      <c r="IA222" t="s">
        <v>423</v>
      </c>
      <c r="IB222" t="s">
        <v>423</v>
      </c>
      <c r="IC222" t="s">
        <v>423</v>
      </c>
      <c r="ID222" t="s">
        <v>423</v>
      </c>
      <c r="IE222">
        <v>0</v>
      </c>
      <c r="IF222">
        <v>100</v>
      </c>
      <c r="IG222">
        <v>100</v>
      </c>
      <c r="IH222">
        <v>-2.81</v>
      </c>
      <c r="II222">
        <v>0.0009</v>
      </c>
      <c r="IJ222">
        <v>-0.4995723906072</v>
      </c>
      <c r="IK222">
        <v>-0.002077099775823331</v>
      </c>
      <c r="IL222">
        <v>4.593143279902166E-07</v>
      </c>
      <c r="IM222">
        <v>-1.865383991892071E-10</v>
      </c>
      <c r="IN222">
        <v>-0.07605349583632376</v>
      </c>
      <c r="IO222">
        <v>-0.01129461987421345</v>
      </c>
      <c r="IP222">
        <v>0.00116580895745559</v>
      </c>
      <c r="IQ222">
        <v>-1.679085872906199E-05</v>
      </c>
      <c r="IR222">
        <v>2</v>
      </c>
      <c r="IS222">
        <v>2290</v>
      </c>
      <c r="IT222">
        <v>0</v>
      </c>
      <c r="IU222">
        <v>32</v>
      </c>
      <c r="IV222">
        <v>11.3</v>
      </c>
      <c r="IW222">
        <v>10.9</v>
      </c>
      <c r="IX222">
        <v>2.65869</v>
      </c>
      <c r="IY222">
        <v>2.20459</v>
      </c>
      <c r="IZ222">
        <v>1.39648</v>
      </c>
      <c r="JA222">
        <v>2.35962</v>
      </c>
      <c r="JB222">
        <v>1.49536</v>
      </c>
      <c r="JC222">
        <v>2.28394</v>
      </c>
      <c r="JD222">
        <v>38.5014</v>
      </c>
      <c r="JE222">
        <v>24.035</v>
      </c>
      <c r="JF222">
        <v>18</v>
      </c>
      <c r="JG222">
        <v>513.7190000000001</v>
      </c>
      <c r="JH222">
        <v>426.03</v>
      </c>
      <c r="JI222">
        <v>22.2747</v>
      </c>
      <c r="JJ222">
        <v>29.0786</v>
      </c>
      <c r="JK222">
        <v>30</v>
      </c>
      <c r="JL222">
        <v>29.0801</v>
      </c>
      <c r="JM222">
        <v>29.0218</v>
      </c>
      <c r="JN222">
        <v>53.2035</v>
      </c>
      <c r="JO222">
        <v>50.1663</v>
      </c>
      <c r="JP222">
        <v>0</v>
      </c>
      <c r="JQ222">
        <v>22.2626</v>
      </c>
      <c r="JR222">
        <v>1363.76</v>
      </c>
      <c r="JS222">
        <v>10.4591</v>
      </c>
      <c r="JT222">
        <v>100.304</v>
      </c>
      <c r="JU222">
        <v>100.216</v>
      </c>
    </row>
    <row r="223" spans="1:281">
      <c r="A223">
        <v>207</v>
      </c>
      <c r="B223">
        <v>1651857698.1</v>
      </c>
      <c r="C223">
        <v>697.5</v>
      </c>
      <c r="D223" t="s">
        <v>841</v>
      </c>
      <c r="E223" t="s">
        <v>842</v>
      </c>
      <c r="F223">
        <v>2</v>
      </c>
      <c r="G223" t="s">
        <v>413</v>
      </c>
      <c r="H223" t="s">
        <v>414</v>
      </c>
      <c r="I223">
        <v>1651857696.725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1359.610759369857</v>
      </c>
      <c r="AK223">
        <v>1313.047575757576</v>
      </c>
      <c r="AL223">
        <v>3.441964393070841</v>
      </c>
      <c r="AM223">
        <v>66.38384787954378</v>
      </c>
      <c r="AN223">
        <f>(AP223 - AO223 + DI223*1E3/(8.314*(DK223+273.15)) * AR223/DH223 * AQ223) * DH223/(100*CV223) * 1000/(1000 - AP223)</f>
        <v>0</v>
      </c>
      <c r="AO223">
        <v>10.22388442389539</v>
      </c>
      <c r="AP223">
        <v>18.03058588235292</v>
      </c>
      <c r="AQ223">
        <v>-0.0007062558212443523</v>
      </c>
      <c r="AR223">
        <v>80.44866334591464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417</v>
      </c>
      <c r="AY223" t="s">
        <v>417</v>
      </c>
      <c r="AZ223">
        <v>0</v>
      </c>
      <c r="BA223">
        <v>0</v>
      </c>
      <c r="BB223">
        <f>1-AZ223/BA223</f>
        <v>0</v>
      </c>
      <c r="BC223">
        <v>0</v>
      </c>
      <c r="BD223" t="s">
        <v>417</v>
      </c>
      <c r="BE223" t="s">
        <v>417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417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1238</v>
      </c>
      <c r="CA223">
        <v>300</v>
      </c>
      <c r="CB223">
        <v>300</v>
      </c>
      <c r="CC223">
        <v>300</v>
      </c>
      <c r="CD223">
        <v>10440.5</v>
      </c>
      <c r="CE223">
        <v>1411.69</v>
      </c>
      <c r="CF223">
        <v>-0.00735121</v>
      </c>
      <c r="CG223">
        <v>-0.77</v>
      </c>
      <c r="CH223" t="s">
        <v>417</v>
      </c>
      <c r="CI223" t="s">
        <v>417</v>
      </c>
      <c r="CJ223" t="s">
        <v>417</v>
      </c>
      <c r="CK223" t="s">
        <v>417</v>
      </c>
      <c r="CL223" t="s">
        <v>417</v>
      </c>
      <c r="CM223" t="s">
        <v>417</v>
      </c>
      <c r="CN223" t="s">
        <v>417</v>
      </c>
      <c r="CO223" t="s">
        <v>417</v>
      </c>
      <c r="CP223" t="s">
        <v>417</v>
      </c>
      <c r="CQ223" t="s">
        <v>417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418</v>
      </c>
      <c r="CY223">
        <v>2</v>
      </c>
      <c r="CZ223" t="b">
        <v>1</v>
      </c>
      <c r="DA223">
        <v>1651857696.725</v>
      </c>
      <c r="DB223">
        <v>1286.385</v>
      </c>
      <c r="DC223">
        <v>1350.41</v>
      </c>
      <c r="DD223">
        <v>18.03215</v>
      </c>
      <c r="DE223">
        <v>10.292575</v>
      </c>
      <c r="DF223">
        <v>1289.1975</v>
      </c>
      <c r="DG223">
        <v>18.03125</v>
      </c>
      <c r="DH223">
        <v>500.076</v>
      </c>
      <c r="DI223">
        <v>90.09365</v>
      </c>
      <c r="DJ223">
        <v>0.100017225</v>
      </c>
      <c r="DK223">
        <v>25.7415</v>
      </c>
      <c r="DL223">
        <v>25.0225</v>
      </c>
      <c r="DM223">
        <v>999.9</v>
      </c>
      <c r="DN223">
        <v>0</v>
      </c>
      <c r="DO223">
        <v>0</v>
      </c>
      <c r="DP223">
        <v>10006.875</v>
      </c>
      <c r="DQ223">
        <v>0</v>
      </c>
      <c r="DR223">
        <v>3.2266625</v>
      </c>
      <c r="DS223">
        <v>-64.027175</v>
      </c>
      <c r="DT223">
        <v>1310.005</v>
      </c>
      <c r="DU223">
        <v>1364.455</v>
      </c>
      <c r="DV223">
        <v>7.7395725</v>
      </c>
      <c r="DW223">
        <v>1350.41</v>
      </c>
      <c r="DX223">
        <v>10.292575</v>
      </c>
      <c r="DY223">
        <v>1.62458</v>
      </c>
      <c r="DZ223">
        <v>0.92729375</v>
      </c>
      <c r="EA223">
        <v>14.19395</v>
      </c>
      <c r="EB223">
        <v>5.821422499999999</v>
      </c>
      <c r="EC223">
        <v>1499.99</v>
      </c>
      <c r="ED223">
        <v>0.9730082499999999</v>
      </c>
      <c r="EE223">
        <v>0.02699174999999999</v>
      </c>
      <c r="EF223">
        <v>0</v>
      </c>
      <c r="EG223">
        <v>946.16875</v>
      </c>
      <c r="EH223">
        <v>5.00097</v>
      </c>
      <c r="EI223">
        <v>14067.45</v>
      </c>
      <c r="EJ223">
        <v>12491.55</v>
      </c>
      <c r="EK223">
        <v>37.5</v>
      </c>
      <c r="EL223">
        <v>39</v>
      </c>
      <c r="EM223">
        <v>37.875</v>
      </c>
      <c r="EN223">
        <v>38.75</v>
      </c>
      <c r="EO223">
        <v>38.375</v>
      </c>
      <c r="EP223">
        <v>1454.64</v>
      </c>
      <c r="EQ223">
        <v>40.35</v>
      </c>
      <c r="ER223">
        <v>0</v>
      </c>
      <c r="ES223">
        <v>697.2000000476837</v>
      </c>
      <c r="ET223">
        <v>0</v>
      </c>
      <c r="EU223">
        <v>948.93616</v>
      </c>
      <c r="EV223">
        <v>-27.51361543055945</v>
      </c>
      <c r="EW223">
        <v>-401.8692313673214</v>
      </c>
      <c r="EX223">
        <v>14104.4</v>
      </c>
      <c r="EY223">
        <v>15</v>
      </c>
      <c r="EZ223">
        <v>1651857041.1</v>
      </c>
      <c r="FA223" t="s">
        <v>419</v>
      </c>
      <c r="FB223">
        <v>1651857019.6</v>
      </c>
      <c r="FC223">
        <v>1651857041.1</v>
      </c>
      <c r="FD223">
        <v>1</v>
      </c>
      <c r="FE223">
        <v>0.545</v>
      </c>
      <c r="FF223">
        <v>-0.002</v>
      </c>
      <c r="FG223">
        <v>-1.271</v>
      </c>
      <c r="FH223">
        <v>-0.09</v>
      </c>
      <c r="FI223">
        <v>400</v>
      </c>
      <c r="FJ223">
        <v>10</v>
      </c>
      <c r="FK223">
        <v>0.1</v>
      </c>
      <c r="FL223">
        <v>0.02</v>
      </c>
      <c r="FM223">
        <v>-63.85361219512195</v>
      </c>
      <c r="FN223">
        <v>-0.5698390243902383</v>
      </c>
      <c r="FO223">
        <v>0.1225808865758365</v>
      </c>
      <c r="FP223">
        <v>-1</v>
      </c>
      <c r="FQ223">
        <v>7.988137804878049</v>
      </c>
      <c r="FR223">
        <v>-1.435099442508697</v>
      </c>
      <c r="FS223">
        <v>0.141970293225717</v>
      </c>
      <c r="FT223">
        <v>-1</v>
      </c>
      <c r="FU223">
        <v>0</v>
      </c>
      <c r="FV223">
        <v>0</v>
      </c>
      <c r="FW223">
        <v>0</v>
      </c>
      <c r="FX223">
        <v>-1</v>
      </c>
      <c r="FY223">
        <v>0</v>
      </c>
      <c r="FZ223">
        <v>0</v>
      </c>
      <c r="GA223" t="s">
        <v>432</v>
      </c>
      <c r="GB223">
        <v>2.97993</v>
      </c>
      <c r="GC223">
        <v>2.7062</v>
      </c>
      <c r="GD223">
        <v>0.201164</v>
      </c>
      <c r="GE223">
        <v>0.204874</v>
      </c>
      <c r="GF223">
        <v>0.086669</v>
      </c>
      <c r="GG223">
        <v>0.0567129</v>
      </c>
      <c r="GH223">
        <v>25205.2</v>
      </c>
      <c r="GI223">
        <v>25143.1</v>
      </c>
      <c r="GJ223">
        <v>29342.9</v>
      </c>
      <c r="GK223">
        <v>29256.5</v>
      </c>
      <c r="GL223">
        <v>35491.8</v>
      </c>
      <c r="GM223">
        <v>36755.3</v>
      </c>
      <c r="GN223">
        <v>41304.4</v>
      </c>
      <c r="GO223">
        <v>41753.4</v>
      </c>
      <c r="GP223">
        <v>1.954</v>
      </c>
      <c r="GQ223">
        <v>1.84002</v>
      </c>
      <c r="GR223">
        <v>-0.0329837</v>
      </c>
      <c r="GS223">
        <v>0</v>
      </c>
      <c r="GT223">
        <v>25.5627</v>
      </c>
      <c r="GU223">
        <v>999.9</v>
      </c>
      <c r="GV223">
        <v>38.4</v>
      </c>
      <c r="GW223">
        <v>34</v>
      </c>
      <c r="GX223">
        <v>22.773</v>
      </c>
      <c r="GY223">
        <v>62.2876</v>
      </c>
      <c r="GZ223">
        <v>35.3165</v>
      </c>
      <c r="HA223">
        <v>1</v>
      </c>
      <c r="HB223">
        <v>0.136245</v>
      </c>
      <c r="HC223">
        <v>2.57401</v>
      </c>
      <c r="HD223">
        <v>20.3144</v>
      </c>
      <c r="HE223">
        <v>5.21654</v>
      </c>
      <c r="HF223">
        <v>12.0099</v>
      </c>
      <c r="HG223">
        <v>4.98865</v>
      </c>
      <c r="HH223">
        <v>3.28845</v>
      </c>
      <c r="HI223">
        <v>856.2</v>
      </c>
      <c r="HJ223">
        <v>8523.1</v>
      </c>
      <c r="HK223">
        <v>5139.4</v>
      </c>
      <c r="HL223">
        <v>22.9</v>
      </c>
      <c r="HM223">
        <v>1.86752</v>
      </c>
      <c r="HN223">
        <v>1.86647</v>
      </c>
      <c r="HO223">
        <v>1.866</v>
      </c>
      <c r="HP223">
        <v>1.86591</v>
      </c>
      <c r="HQ223">
        <v>1.86771</v>
      </c>
      <c r="HR223">
        <v>1.87026</v>
      </c>
      <c r="HS223">
        <v>1.8689</v>
      </c>
      <c r="HT223">
        <v>1.87027</v>
      </c>
      <c r="HU223">
        <v>0</v>
      </c>
      <c r="HV223">
        <v>0</v>
      </c>
      <c r="HW223">
        <v>0</v>
      </c>
      <c r="HX223">
        <v>0</v>
      </c>
      <c r="HY223" t="s">
        <v>421</v>
      </c>
      <c r="HZ223" t="s">
        <v>422</v>
      </c>
      <c r="IA223" t="s">
        <v>423</v>
      </c>
      <c r="IB223" t="s">
        <v>423</v>
      </c>
      <c r="IC223" t="s">
        <v>423</v>
      </c>
      <c r="ID223" t="s">
        <v>423</v>
      </c>
      <c r="IE223">
        <v>0</v>
      </c>
      <c r="IF223">
        <v>100</v>
      </c>
      <c r="IG223">
        <v>100</v>
      </c>
      <c r="IH223">
        <v>-2.82</v>
      </c>
      <c r="II223">
        <v>0.0009</v>
      </c>
      <c r="IJ223">
        <v>-0.4995723906072</v>
      </c>
      <c r="IK223">
        <v>-0.002077099775823331</v>
      </c>
      <c r="IL223">
        <v>4.593143279902166E-07</v>
      </c>
      <c r="IM223">
        <v>-1.865383991892071E-10</v>
      </c>
      <c r="IN223">
        <v>-0.07605349583632376</v>
      </c>
      <c r="IO223">
        <v>-0.01129461987421345</v>
      </c>
      <c r="IP223">
        <v>0.00116580895745559</v>
      </c>
      <c r="IQ223">
        <v>-1.679085872906199E-05</v>
      </c>
      <c r="IR223">
        <v>2</v>
      </c>
      <c r="IS223">
        <v>2290</v>
      </c>
      <c r="IT223">
        <v>0</v>
      </c>
      <c r="IU223">
        <v>32</v>
      </c>
      <c r="IV223">
        <v>11.3</v>
      </c>
      <c r="IW223">
        <v>10.9</v>
      </c>
      <c r="IX223">
        <v>2.66846</v>
      </c>
      <c r="IY223">
        <v>2.20215</v>
      </c>
      <c r="IZ223">
        <v>1.39648</v>
      </c>
      <c r="JA223">
        <v>2.35962</v>
      </c>
      <c r="JB223">
        <v>1.49536</v>
      </c>
      <c r="JC223">
        <v>2.34985</v>
      </c>
      <c r="JD223">
        <v>38.5014</v>
      </c>
      <c r="JE223">
        <v>24.0437</v>
      </c>
      <c r="JF223">
        <v>18</v>
      </c>
      <c r="JG223">
        <v>513.867</v>
      </c>
      <c r="JH223">
        <v>426.075</v>
      </c>
      <c r="JI223">
        <v>22.2634</v>
      </c>
      <c r="JJ223">
        <v>29.0786</v>
      </c>
      <c r="JK223">
        <v>30</v>
      </c>
      <c r="JL223">
        <v>29.0801</v>
      </c>
      <c r="JM223">
        <v>29.0218</v>
      </c>
      <c r="JN223">
        <v>53.3865</v>
      </c>
      <c r="JO223">
        <v>50.1663</v>
      </c>
      <c r="JP223">
        <v>0</v>
      </c>
      <c r="JQ223">
        <v>22.2401</v>
      </c>
      <c r="JR223">
        <v>1370.54</v>
      </c>
      <c r="JS223">
        <v>10.5115</v>
      </c>
      <c r="JT223">
        <v>100.304</v>
      </c>
      <c r="JU223">
        <v>100.216</v>
      </c>
    </row>
    <row r="224" spans="1:281">
      <c r="A224">
        <v>208</v>
      </c>
      <c r="B224">
        <v>1651857700.1</v>
      </c>
      <c r="C224">
        <v>699.5</v>
      </c>
      <c r="D224" t="s">
        <v>843</v>
      </c>
      <c r="E224" t="s">
        <v>844</v>
      </c>
      <c r="F224">
        <v>2</v>
      </c>
      <c r="G224" t="s">
        <v>413</v>
      </c>
      <c r="H224" t="s">
        <v>414</v>
      </c>
      <c r="I224">
        <v>1651857699.1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1366.590479112873</v>
      </c>
      <c r="AK224">
        <v>1319.94490909091</v>
      </c>
      <c r="AL224">
        <v>3.456599959627483</v>
      </c>
      <c r="AM224">
        <v>66.38384787954378</v>
      </c>
      <c r="AN224">
        <f>(AP224 - AO224 + DI224*1E3/(8.314*(DK224+273.15)) * AR224/DH224 * AQ224) * DH224/(100*CV224) * 1000/(1000 - AP224)</f>
        <v>0</v>
      </c>
      <c r="AO224">
        <v>10.27058635228154</v>
      </c>
      <c r="AP224">
        <v>18.02530676470588</v>
      </c>
      <c r="AQ224">
        <v>-0.0003886180774759654</v>
      </c>
      <c r="AR224">
        <v>80.44866334591464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417</v>
      </c>
      <c r="AY224" t="s">
        <v>417</v>
      </c>
      <c r="AZ224">
        <v>0</v>
      </c>
      <c r="BA224">
        <v>0</v>
      </c>
      <c r="BB224">
        <f>1-AZ224/BA224</f>
        <v>0</v>
      </c>
      <c r="BC224">
        <v>0</v>
      </c>
      <c r="BD224" t="s">
        <v>417</v>
      </c>
      <c r="BE224" t="s">
        <v>417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417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1238</v>
      </c>
      <c r="CA224">
        <v>300</v>
      </c>
      <c r="CB224">
        <v>300</v>
      </c>
      <c r="CC224">
        <v>300</v>
      </c>
      <c r="CD224">
        <v>10440.5</v>
      </c>
      <c r="CE224">
        <v>1411.69</v>
      </c>
      <c r="CF224">
        <v>-0.00735121</v>
      </c>
      <c r="CG224">
        <v>-0.77</v>
      </c>
      <c r="CH224" t="s">
        <v>417</v>
      </c>
      <c r="CI224" t="s">
        <v>417</v>
      </c>
      <c r="CJ224" t="s">
        <v>417</v>
      </c>
      <c r="CK224" t="s">
        <v>417</v>
      </c>
      <c r="CL224" t="s">
        <v>417</v>
      </c>
      <c r="CM224" t="s">
        <v>417</v>
      </c>
      <c r="CN224" t="s">
        <v>417</v>
      </c>
      <c r="CO224" t="s">
        <v>417</v>
      </c>
      <c r="CP224" t="s">
        <v>417</v>
      </c>
      <c r="CQ224" t="s">
        <v>417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418</v>
      </c>
      <c r="CY224">
        <v>2</v>
      </c>
      <c r="CZ224" t="b">
        <v>1</v>
      </c>
      <c r="DA224">
        <v>1651857699.1</v>
      </c>
      <c r="DB224">
        <v>1294.466666666666</v>
      </c>
      <c r="DC224">
        <v>1358.153333333333</v>
      </c>
      <c r="DD224">
        <v>18.02653333333333</v>
      </c>
      <c r="DE224">
        <v>10.34833333333333</v>
      </c>
      <c r="DF224">
        <v>1297.296666666667</v>
      </c>
      <c r="DG224">
        <v>18.02573333333333</v>
      </c>
      <c r="DH224">
        <v>500.0293333333333</v>
      </c>
      <c r="DI224">
        <v>90.09303333333332</v>
      </c>
      <c r="DJ224">
        <v>0.1000385</v>
      </c>
      <c r="DK224">
        <v>25.74096666666667</v>
      </c>
      <c r="DL224">
        <v>25.02116666666667</v>
      </c>
      <c r="DM224">
        <v>999.9</v>
      </c>
      <c r="DN224">
        <v>0</v>
      </c>
      <c r="DO224">
        <v>0</v>
      </c>
      <c r="DP224">
        <v>10008.73333333333</v>
      </c>
      <c r="DQ224">
        <v>0</v>
      </c>
      <c r="DR224">
        <v>3.21788</v>
      </c>
      <c r="DS224">
        <v>-63.68313333333333</v>
      </c>
      <c r="DT224">
        <v>1318.233333333333</v>
      </c>
      <c r="DU224">
        <v>1372.353333333333</v>
      </c>
      <c r="DV224">
        <v>7.678206666666667</v>
      </c>
      <c r="DW224">
        <v>1358.153333333333</v>
      </c>
      <c r="DX224">
        <v>10.34833333333333</v>
      </c>
      <c r="DY224">
        <v>1.624063333333333</v>
      </c>
      <c r="DZ224">
        <v>0.9323130000000001</v>
      </c>
      <c r="EA224">
        <v>14.18903333333333</v>
      </c>
      <c r="EB224">
        <v>5.899406666666667</v>
      </c>
      <c r="EC224">
        <v>1500.12</v>
      </c>
      <c r="ED224">
        <v>0.9730103333333333</v>
      </c>
      <c r="EE224">
        <v>0.0269895</v>
      </c>
      <c r="EF224">
        <v>0</v>
      </c>
      <c r="EG224">
        <v>944.8649999999999</v>
      </c>
      <c r="EH224">
        <v>5.00097</v>
      </c>
      <c r="EI224">
        <v>14052.76666666667</v>
      </c>
      <c r="EJ224">
        <v>12492.66666666667</v>
      </c>
      <c r="EK224">
        <v>37.5</v>
      </c>
      <c r="EL224">
        <v>39</v>
      </c>
      <c r="EM224">
        <v>37.875</v>
      </c>
      <c r="EN224">
        <v>38.75</v>
      </c>
      <c r="EO224">
        <v>38.375</v>
      </c>
      <c r="EP224">
        <v>1454.77</v>
      </c>
      <c r="EQ224">
        <v>40.35</v>
      </c>
      <c r="ER224">
        <v>0</v>
      </c>
      <c r="ES224">
        <v>699</v>
      </c>
      <c r="ET224">
        <v>0</v>
      </c>
      <c r="EU224">
        <v>948.2428461538462</v>
      </c>
      <c r="EV224">
        <v>-27.81777779270895</v>
      </c>
      <c r="EW224">
        <v>-400.4170939639911</v>
      </c>
      <c r="EX224">
        <v>14094.43846153846</v>
      </c>
      <c r="EY224">
        <v>15</v>
      </c>
      <c r="EZ224">
        <v>1651857041.1</v>
      </c>
      <c r="FA224" t="s">
        <v>419</v>
      </c>
      <c r="FB224">
        <v>1651857019.6</v>
      </c>
      <c r="FC224">
        <v>1651857041.1</v>
      </c>
      <c r="FD224">
        <v>1</v>
      </c>
      <c r="FE224">
        <v>0.545</v>
      </c>
      <c r="FF224">
        <v>-0.002</v>
      </c>
      <c r="FG224">
        <v>-1.271</v>
      </c>
      <c r="FH224">
        <v>-0.09</v>
      </c>
      <c r="FI224">
        <v>400</v>
      </c>
      <c r="FJ224">
        <v>10</v>
      </c>
      <c r="FK224">
        <v>0.1</v>
      </c>
      <c r="FL224">
        <v>0.02</v>
      </c>
      <c r="FM224">
        <v>-63.85183902439024</v>
      </c>
      <c r="FN224">
        <v>-0.5195226480836711</v>
      </c>
      <c r="FO224">
        <v>0.1387141540214173</v>
      </c>
      <c r="FP224">
        <v>-1</v>
      </c>
      <c r="FQ224">
        <v>7.917608536585367</v>
      </c>
      <c r="FR224">
        <v>-1.505492613240409</v>
      </c>
      <c r="FS224">
        <v>0.1485703104070386</v>
      </c>
      <c r="FT224">
        <v>-1</v>
      </c>
      <c r="FU224">
        <v>0</v>
      </c>
      <c r="FV224">
        <v>0</v>
      </c>
      <c r="FW224">
        <v>0</v>
      </c>
      <c r="FX224">
        <v>-1</v>
      </c>
      <c r="FY224">
        <v>0</v>
      </c>
      <c r="FZ224">
        <v>0</v>
      </c>
      <c r="GA224" t="s">
        <v>432</v>
      </c>
      <c r="GB224">
        <v>2.98004</v>
      </c>
      <c r="GC224">
        <v>2.70621</v>
      </c>
      <c r="GD224">
        <v>0.201809</v>
      </c>
      <c r="GE224">
        <v>0.205435</v>
      </c>
      <c r="GF224">
        <v>0.08666210000000001</v>
      </c>
      <c r="GG224">
        <v>0.056928</v>
      </c>
      <c r="GH224">
        <v>25185</v>
      </c>
      <c r="GI224">
        <v>25125.3</v>
      </c>
      <c r="GJ224">
        <v>29343.1</v>
      </c>
      <c r="GK224">
        <v>29256.6</v>
      </c>
      <c r="GL224">
        <v>35492.5</v>
      </c>
      <c r="GM224">
        <v>36747</v>
      </c>
      <c r="GN224">
        <v>41304.8</v>
      </c>
      <c r="GO224">
        <v>41753.5</v>
      </c>
      <c r="GP224">
        <v>1.95408</v>
      </c>
      <c r="GQ224">
        <v>1.84002</v>
      </c>
      <c r="GR224">
        <v>-0.0330172</v>
      </c>
      <c r="GS224">
        <v>0</v>
      </c>
      <c r="GT224">
        <v>25.5624</v>
      </c>
      <c r="GU224">
        <v>999.9</v>
      </c>
      <c r="GV224">
        <v>38.4</v>
      </c>
      <c r="GW224">
        <v>34</v>
      </c>
      <c r="GX224">
        <v>22.7744</v>
      </c>
      <c r="GY224">
        <v>62.0876</v>
      </c>
      <c r="GZ224">
        <v>35.028</v>
      </c>
      <c r="HA224">
        <v>1</v>
      </c>
      <c r="HB224">
        <v>0.136227</v>
      </c>
      <c r="HC224">
        <v>2.59124</v>
      </c>
      <c r="HD224">
        <v>20.3141</v>
      </c>
      <c r="HE224">
        <v>5.21699</v>
      </c>
      <c r="HF224">
        <v>12.0099</v>
      </c>
      <c r="HG224">
        <v>4.98865</v>
      </c>
      <c r="HH224">
        <v>3.28848</v>
      </c>
      <c r="HI224">
        <v>856.2</v>
      </c>
      <c r="HJ224">
        <v>8523.1</v>
      </c>
      <c r="HK224">
        <v>5139.4</v>
      </c>
      <c r="HL224">
        <v>22.9</v>
      </c>
      <c r="HM224">
        <v>1.86751</v>
      </c>
      <c r="HN224">
        <v>1.86647</v>
      </c>
      <c r="HO224">
        <v>1.866</v>
      </c>
      <c r="HP224">
        <v>1.8659</v>
      </c>
      <c r="HQ224">
        <v>1.8677</v>
      </c>
      <c r="HR224">
        <v>1.87026</v>
      </c>
      <c r="HS224">
        <v>1.8689</v>
      </c>
      <c r="HT224">
        <v>1.87027</v>
      </c>
      <c r="HU224">
        <v>0</v>
      </c>
      <c r="HV224">
        <v>0</v>
      </c>
      <c r="HW224">
        <v>0</v>
      </c>
      <c r="HX224">
        <v>0</v>
      </c>
      <c r="HY224" t="s">
        <v>421</v>
      </c>
      <c r="HZ224" t="s">
        <v>422</v>
      </c>
      <c r="IA224" t="s">
        <v>423</v>
      </c>
      <c r="IB224" t="s">
        <v>423</v>
      </c>
      <c r="IC224" t="s">
        <v>423</v>
      </c>
      <c r="ID224" t="s">
        <v>423</v>
      </c>
      <c r="IE224">
        <v>0</v>
      </c>
      <c r="IF224">
        <v>100</v>
      </c>
      <c r="IG224">
        <v>100</v>
      </c>
      <c r="IH224">
        <v>-2.84</v>
      </c>
      <c r="II224">
        <v>0.0008</v>
      </c>
      <c r="IJ224">
        <v>-0.4995723906072</v>
      </c>
      <c r="IK224">
        <v>-0.002077099775823331</v>
      </c>
      <c r="IL224">
        <v>4.593143279902166E-07</v>
      </c>
      <c r="IM224">
        <v>-1.865383991892071E-10</v>
      </c>
      <c r="IN224">
        <v>-0.07605349583632376</v>
      </c>
      <c r="IO224">
        <v>-0.01129461987421345</v>
      </c>
      <c r="IP224">
        <v>0.00116580895745559</v>
      </c>
      <c r="IQ224">
        <v>-1.679085872906199E-05</v>
      </c>
      <c r="IR224">
        <v>2</v>
      </c>
      <c r="IS224">
        <v>2290</v>
      </c>
      <c r="IT224">
        <v>0</v>
      </c>
      <c r="IU224">
        <v>32</v>
      </c>
      <c r="IV224">
        <v>11.3</v>
      </c>
      <c r="IW224">
        <v>11</v>
      </c>
      <c r="IX224">
        <v>2.67822</v>
      </c>
      <c r="IY224">
        <v>2.20093</v>
      </c>
      <c r="IZ224">
        <v>1.39648</v>
      </c>
      <c r="JA224">
        <v>2.35962</v>
      </c>
      <c r="JB224">
        <v>1.49536</v>
      </c>
      <c r="JC224">
        <v>2.30225</v>
      </c>
      <c r="JD224">
        <v>38.4769</v>
      </c>
      <c r="JE224">
        <v>24.035</v>
      </c>
      <c r="JF224">
        <v>18</v>
      </c>
      <c r="JG224">
        <v>513.917</v>
      </c>
      <c r="JH224">
        <v>426.075</v>
      </c>
      <c r="JI224">
        <v>22.255</v>
      </c>
      <c r="JJ224">
        <v>29.0786</v>
      </c>
      <c r="JK224">
        <v>30.0001</v>
      </c>
      <c r="JL224">
        <v>29.0801</v>
      </c>
      <c r="JM224">
        <v>29.0218</v>
      </c>
      <c r="JN224">
        <v>53.6012</v>
      </c>
      <c r="JO224">
        <v>49.8781</v>
      </c>
      <c r="JP224">
        <v>0</v>
      </c>
      <c r="JQ224">
        <v>22.2401</v>
      </c>
      <c r="JR224">
        <v>1377.28</v>
      </c>
      <c r="JS224">
        <v>10.5509</v>
      </c>
      <c r="JT224">
        <v>100.305</v>
      </c>
      <c r="JU224">
        <v>100.216</v>
      </c>
    </row>
    <row r="225" spans="1:281">
      <c r="A225">
        <v>209</v>
      </c>
      <c r="B225">
        <v>1651857702.1</v>
      </c>
      <c r="C225">
        <v>701.5</v>
      </c>
      <c r="D225" t="s">
        <v>845</v>
      </c>
      <c r="E225" t="s">
        <v>846</v>
      </c>
      <c r="F225">
        <v>2</v>
      </c>
      <c r="G225" t="s">
        <v>413</v>
      </c>
      <c r="H225" t="s">
        <v>414</v>
      </c>
      <c r="I225">
        <v>1651857700.725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1373.056407652499</v>
      </c>
      <c r="AK225">
        <v>1326.549151515151</v>
      </c>
      <c r="AL225">
        <v>3.353840941971251</v>
      </c>
      <c r="AM225">
        <v>66.38384787954378</v>
      </c>
      <c r="AN225">
        <f>(AP225 - AO225 + DI225*1E3/(8.314*(DK225+273.15)) * AR225/DH225 * AQ225) * DH225/(100*CV225) * 1000/(1000 - AP225)</f>
        <v>0</v>
      </c>
      <c r="AO225">
        <v>10.31074079060772</v>
      </c>
      <c r="AP225">
        <v>18.02498882352941</v>
      </c>
      <c r="AQ225">
        <v>-0.0004199360153339867</v>
      </c>
      <c r="AR225">
        <v>80.44866334591464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417</v>
      </c>
      <c r="AY225" t="s">
        <v>417</v>
      </c>
      <c r="AZ225">
        <v>0</v>
      </c>
      <c r="BA225">
        <v>0</v>
      </c>
      <c r="BB225">
        <f>1-AZ225/BA225</f>
        <v>0</v>
      </c>
      <c r="BC225">
        <v>0</v>
      </c>
      <c r="BD225" t="s">
        <v>417</v>
      </c>
      <c r="BE225" t="s">
        <v>417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417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1238</v>
      </c>
      <c r="CA225">
        <v>300</v>
      </c>
      <c r="CB225">
        <v>300</v>
      </c>
      <c r="CC225">
        <v>300</v>
      </c>
      <c r="CD225">
        <v>10440.5</v>
      </c>
      <c r="CE225">
        <v>1411.69</v>
      </c>
      <c r="CF225">
        <v>-0.00735121</v>
      </c>
      <c r="CG225">
        <v>-0.77</v>
      </c>
      <c r="CH225" t="s">
        <v>417</v>
      </c>
      <c r="CI225" t="s">
        <v>417</v>
      </c>
      <c r="CJ225" t="s">
        <v>417</v>
      </c>
      <c r="CK225" t="s">
        <v>417</v>
      </c>
      <c r="CL225" t="s">
        <v>417</v>
      </c>
      <c r="CM225" t="s">
        <v>417</v>
      </c>
      <c r="CN225" t="s">
        <v>417</v>
      </c>
      <c r="CO225" t="s">
        <v>417</v>
      </c>
      <c r="CP225" t="s">
        <v>417</v>
      </c>
      <c r="CQ225" t="s">
        <v>417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418</v>
      </c>
      <c r="CY225">
        <v>2</v>
      </c>
      <c r="CZ225" t="b">
        <v>1</v>
      </c>
      <c r="DA225">
        <v>1651857700.725</v>
      </c>
      <c r="DB225">
        <v>1299.805</v>
      </c>
      <c r="DC225">
        <v>1362.9475</v>
      </c>
      <c r="DD225">
        <v>18.0257</v>
      </c>
      <c r="DE225">
        <v>10.391275</v>
      </c>
      <c r="DF225">
        <v>1302.6425</v>
      </c>
      <c r="DG225">
        <v>18.0249</v>
      </c>
      <c r="DH225">
        <v>500.02075</v>
      </c>
      <c r="DI225">
        <v>90.09292500000001</v>
      </c>
      <c r="DJ225">
        <v>0.0998501</v>
      </c>
      <c r="DK225">
        <v>25.740225</v>
      </c>
      <c r="DL225">
        <v>25.021825</v>
      </c>
      <c r="DM225">
        <v>999.9</v>
      </c>
      <c r="DN225">
        <v>0</v>
      </c>
      <c r="DO225">
        <v>0</v>
      </c>
      <c r="DP225">
        <v>10019.38</v>
      </c>
      <c r="DQ225">
        <v>0</v>
      </c>
      <c r="DR225">
        <v>3.21788</v>
      </c>
      <c r="DS225">
        <v>-63.1428</v>
      </c>
      <c r="DT225">
        <v>1323.6625</v>
      </c>
      <c r="DU225">
        <v>1377.2575</v>
      </c>
      <c r="DV225">
        <v>7.634385000000001</v>
      </c>
      <c r="DW225">
        <v>1362.9475</v>
      </c>
      <c r="DX225">
        <v>10.391275</v>
      </c>
      <c r="DY225">
        <v>1.6239875</v>
      </c>
      <c r="DZ225">
        <v>0.93618325</v>
      </c>
      <c r="EA225">
        <v>14.1883</v>
      </c>
      <c r="EB225">
        <v>5.959269999999999</v>
      </c>
      <c r="EC225">
        <v>1499.9125</v>
      </c>
      <c r="ED225">
        <v>0.973007</v>
      </c>
      <c r="EE225">
        <v>0.0269931</v>
      </c>
      <c r="EF225">
        <v>0</v>
      </c>
      <c r="EG225">
        <v>944.38075</v>
      </c>
      <c r="EH225">
        <v>5.00097</v>
      </c>
      <c r="EI225">
        <v>14040.35</v>
      </c>
      <c r="EJ225">
        <v>12490.875</v>
      </c>
      <c r="EK225">
        <v>37.5</v>
      </c>
      <c r="EL225">
        <v>39</v>
      </c>
      <c r="EM225">
        <v>37.875</v>
      </c>
      <c r="EN225">
        <v>38.75</v>
      </c>
      <c r="EO225">
        <v>38.375</v>
      </c>
      <c r="EP225">
        <v>1454.5625</v>
      </c>
      <c r="EQ225">
        <v>40.35</v>
      </c>
      <c r="ER225">
        <v>0</v>
      </c>
      <c r="ES225">
        <v>700.8000001907349</v>
      </c>
      <c r="ET225">
        <v>0</v>
      </c>
      <c r="EU225">
        <v>947.2866</v>
      </c>
      <c r="EV225">
        <v>-27.61069227499431</v>
      </c>
      <c r="EW225">
        <v>-395.9230762019457</v>
      </c>
      <c r="EX225">
        <v>14080.52</v>
      </c>
      <c r="EY225">
        <v>15</v>
      </c>
      <c r="EZ225">
        <v>1651857041.1</v>
      </c>
      <c r="FA225" t="s">
        <v>419</v>
      </c>
      <c r="FB225">
        <v>1651857019.6</v>
      </c>
      <c r="FC225">
        <v>1651857041.1</v>
      </c>
      <c r="FD225">
        <v>1</v>
      </c>
      <c r="FE225">
        <v>0.545</v>
      </c>
      <c r="FF225">
        <v>-0.002</v>
      </c>
      <c r="FG225">
        <v>-1.271</v>
      </c>
      <c r="FH225">
        <v>-0.09</v>
      </c>
      <c r="FI225">
        <v>400</v>
      </c>
      <c r="FJ225">
        <v>10</v>
      </c>
      <c r="FK225">
        <v>0.1</v>
      </c>
      <c r="FL225">
        <v>0.02</v>
      </c>
      <c r="FM225">
        <v>-63.82313170731707</v>
      </c>
      <c r="FN225">
        <v>-0.02017212543567134</v>
      </c>
      <c r="FO225">
        <v>0.1903723225412984</v>
      </c>
      <c r="FP225">
        <v>-1</v>
      </c>
      <c r="FQ225">
        <v>7.892610975609755</v>
      </c>
      <c r="FR225">
        <v>-1.512854216027891</v>
      </c>
      <c r="FS225">
        <v>0.1492901290384481</v>
      </c>
      <c r="FT225">
        <v>-1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0</v>
      </c>
      <c r="GA225" t="s">
        <v>432</v>
      </c>
      <c r="GB225">
        <v>2.97995</v>
      </c>
      <c r="GC225">
        <v>2.70622</v>
      </c>
      <c r="GD225">
        <v>0.20243</v>
      </c>
      <c r="GE225">
        <v>0.205986</v>
      </c>
      <c r="GF225">
        <v>0.0866533</v>
      </c>
      <c r="GG225">
        <v>0.0571331</v>
      </c>
      <c r="GH225">
        <v>25165.4</v>
      </c>
      <c r="GI225">
        <v>25107.9</v>
      </c>
      <c r="GJ225">
        <v>29343.1</v>
      </c>
      <c r="GK225">
        <v>29256.6</v>
      </c>
      <c r="GL225">
        <v>35493</v>
      </c>
      <c r="GM225">
        <v>36739</v>
      </c>
      <c r="GN225">
        <v>41305</v>
      </c>
      <c r="GO225">
        <v>41753.5</v>
      </c>
      <c r="GP225">
        <v>1.95405</v>
      </c>
      <c r="GQ225">
        <v>1.84025</v>
      </c>
      <c r="GR225">
        <v>-0.0326447</v>
      </c>
      <c r="GS225">
        <v>0</v>
      </c>
      <c r="GT225">
        <v>25.5622</v>
      </c>
      <c r="GU225">
        <v>999.9</v>
      </c>
      <c r="GV225">
        <v>38.4</v>
      </c>
      <c r="GW225">
        <v>34</v>
      </c>
      <c r="GX225">
        <v>22.7736</v>
      </c>
      <c r="GY225">
        <v>62.4876</v>
      </c>
      <c r="GZ225">
        <v>35.4968</v>
      </c>
      <c r="HA225">
        <v>1</v>
      </c>
      <c r="HB225">
        <v>0.136512</v>
      </c>
      <c r="HC225">
        <v>2.61039</v>
      </c>
      <c r="HD225">
        <v>20.3137</v>
      </c>
      <c r="HE225">
        <v>5.21774</v>
      </c>
      <c r="HF225">
        <v>12.0099</v>
      </c>
      <c r="HG225">
        <v>4.9887</v>
      </c>
      <c r="HH225">
        <v>3.28858</v>
      </c>
      <c r="HI225">
        <v>856.2</v>
      </c>
      <c r="HJ225">
        <v>8523.1</v>
      </c>
      <c r="HK225">
        <v>5139.4</v>
      </c>
      <c r="HL225">
        <v>22.9</v>
      </c>
      <c r="HM225">
        <v>1.86751</v>
      </c>
      <c r="HN225">
        <v>1.86647</v>
      </c>
      <c r="HO225">
        <v>1.866</v>
      </c>
      <c r="HP225">
        <v>1.86589</v>
      </c>
      <c r="HQ225">
        <v>1.86771</v>
      </c>
      <c r="HR225">
        <v>1.87026</v>
      </c>
      <c r="HS225">
        <v>1.8689</v>
      </c>
      <c r="HT225">
        <v>1.87027</v>
      </c>
      <c r="HU225">
        <v>0</v>
      </c>
      <c r="HV225">
        <v>0</v>
      </c>
      <c r="HW225">
        <v>0</v>
      </c>
      <c r="HX225">
        <v>0</v>
      </c>
      <c r="HY225" t="s">
        <v>421</v>
      </c>
      <c r="HZ225" t="s">
        <v>422</v>
      </c>
      <c r="IA225" t="s">
        <v>423</v>
      </c>
      <c r="IB225" t="s">
        <v>423</v>
      </c>
      <c r="IC225" t="s">
        <v>423</v>
      </c>
      <c r="ID225" t="s">
        <v>423</v>
      </c>
      <c r="IE225">
        <v>0</v>
      </c>
      <c r="IF225">
        <v>100</v>
      </c>
      <c r="IG225">
        <v>100</v>
      </c>
      <c r="IH225">
        <v>-2.85</v>
      </c>
      <c r="II225">
        <v>0.0008</v>
      </c>
      <c r="IJ225">
        <v>-0.4995723906072</v>
      </c>
      <c r="IK225">
        <v>-0.002077099775823331</v>
      </c>
      <c r="IL225">
        <v>4.593143279902166E-07</v>
      </c>
      <c r="IM225">
        <v>-1.865383991892071E-10</v>
      </c>
      <c r="IN225">
        <v>-0.07605349583632376</v>
      </c>
      <c r="IO225">
        <v>-0.01129461987421345</v>
      </c>
      <c r="IP225">
        <v>0.00116580895745559</v>
      </c>
      <c r="IQ225">
        <v>-1.679085872906199E-05</v>
      </c>
      <c r="IR225">
        <v>2</v>
      </c>
      <c r="IS225">
        <v>2290</v>
      </c>
      <c r="IT225">
        <v>0</v>
      </c>
      <c r="IU225">
        <v>32</v>
      </c>
      <c r="IV225">
        <v>11.4</v>
      </c>
      <c r="IW225">
        <v>11</v>
      </c>
      <c r="IX225">
        <v>2.68921</v>
      </c>
      <c r="IY225">
        <v>2.20215</v>
      </c>
      <c r="IZ225">
        <v>1.39648</v>
      </c>
      <c r="JA225">
        <v>2.3584</v>
      </c>
      <c r="JB225">
        <v>1.49536</v>
      </c>
      <c r="JC225">
        <v>2.33765</v>
      </c>
      <c r="JD225">
        <v>38.5014</v>
      </c>
      <c r="JE225">
        <v>24.035</v>
      </c>
      <c r="JF225">
        <v>18</v>
      </c>
      <c r="JG225">
        <v>513.901</v>
      </c>
      <c r="JH225">
        <v>426.209</v>
      </c>
      <c r="JI225">
        <v>22.2458</v>
      </c>
      <c r="JJ225">
        <v>29.0786</v>
      </c>
      <c r="JK225">
        <v>30.0002</v>
      </c>
      <c r="JL225">
        <v>29.0801</v>
      </c>
      <c r="JM225">
        <v>29.0218</v>
      </c>
      <c r="JN225">
        <v>53.8072</v>
      </c>
      <c r="JO225">
        <v>49.588</v>
      </c>
      <c r="JP225">
        <v>0</v>
      </c>
      <c r="JQ225">
        <v>22.2401</v>
      </c>
      <c r="JR225">
        <v>1384</v>
      </c>
      <c r="JS225">
        <v>10.6086</v>
      </c>
      <c r="JT225">
        <v>100.305</v>
      </c>
      <c r="JU225">
        <v>100.216</v>
      </c>
    </row>
    <row r="226" spans="1:281">
      <c r="A226">
        <v>210</v>
      </c>
      <c r="B226">
        <v>1651857704.1</v>
      </c>
      <c r="C226">
        <v>703.5</v>
      </c>
      <c r="D226" t="s">
        <v>847</v>
      </c>
      <c r="E226" t="s">
        <v>848</v>
      </c>
      <c r="F226">
        <v>2</v>
      </c>
      <c r="G226" t="s">
        <v>413</v>
      </c>
      <c r="H226" t="s">
        <v>414</v>
      </c>
      <c r="I226">
        <v>1651857703.1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1379.06244112416</v>
      </c>
      <c r="AK226">
        <v>1333.129212121212</v>
      </c>
      <c r="AL226">
        <v>3.295021077160175</v>
      </c>
      <c r="AM226">
        <v>66.38384787954378</v>
      </c>
      <c r="AN226">
        <f>(AP226 - AO226 + DI226*1E3/(8.314*(DK226+273.15)) * AR226/DH226 * AQ226) * DH226/(100*CV226) * 1000/(1000 - AP226)</f>
        <v>0</v>
      </c>
      <c r="AO226">
        <v>10.36243182385556</v>
      </c>
      <c r="AP226">
        <v>18.02191352941175</v>
      </c>
      <c r="AQ226">
        <v>-0.0002290648886098578</v>
      </c>
      <c r="AR226">
        <v>80.44866334591464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417</v>
      </c>
      <c r="AY226" t="s">
        <v>417</v>
      </c>
      <c r="AZ226">
        <v>0</v>
      </c>
      <c r="BA226">
        <v>0</v>
      </c>
      <c r="BB226">
        <f>1-AZ226/BA226</f>
        <v>0</v>
      </c>
      <c r="BC226">
        <v>0</v>
      </c>
      <c r="BD226" t="s">
        <v>417</v>
      </c>
      <c r="BE226" t="s">
        <v>417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417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1238</v>
      </c>
      <c r="CA226">
        <v>300</v>
      </c>
      <c r="CB226">
        <v>300</v>
      </c>
      <c r="CC226">
        <v>300</v>
      </c>
      <c r="CD226">
        <v>10440.5</v>
      </c>
      <c r="CE226">
        <v>1411.69</v>
      </c>
      <c r="CF226">
        <v>-0.00735121</v>
      </c>
      <c r="CG226">
        <v>-0.77</v>
      </c>
      <c r="CH226" t="s">
        <v>417</v>
      </c>
      <c r="CI226" t="s">
        <v>417</v>
      </c>
      <c r="CJ226" t="s">
        <v>417</v>
      </c>
      <c r="CK226" t="s">
        <v>417</v>
      </c>
      <c r="CL226" t="s">
        <v>417</v>
      </c>
      <c r="CM226" t="s">
        <v>417</v>
      </c>
      <c r="CN226" t="s">
        <v>417</v>
      </c>
      <c r="CO226" t="s">
        <v>417</v>
      </c>
      <c r="CP226" t="s">
        <v>417</v>
      </c>
      <c r="CQ226" t="s">
        <v>417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418</v>
      </c>
      <c r="CY226">
        <v>2</v>
      </c>
      <c r="CZ226" t="b">
        <v>1</v>
      </c>
      <c r="DA226">
        <v>1651857703.1</v>
      </c>
      <c r="DB226">
        <v>1307.486666666667</v>
      </c>
      <c r="DC226">
        <v>1370.49</v>
      </c>
      <c r="DD226">
        <v>18.02203333333333</v>
      </c>
      <c r="DE226">
        <v>10.44123333333333</v>
      </c>
      <c r="DF226">
        <v>1310.34</v>
      </c>
      <c r="DG226">
        <v>18.0213</v>
      </c>
      <c r="DH226">
        <v>500.0493333333333</v>
      </c>
      <c r="DI226">
        <v>90.09059999999999</v>
      </c>
      <c r="DJ226">
        <v>0.09996363333333334</v>
      </c>
      <c r="DK226">
        <v>25.73733333333334</v>
      </c>
      <c r="DL226">
        <v>25.02833333333333</v>
      </c>
      <c r="DM226">
        <v>999.9</v>
      </c>
      <c r="DN226">
        <v>0</v>
      </c>
      <c r="DO226">
        <v>0</v>
      </c>
      <c r="DP226">
        <v>10016.03333333333</v>
      </c>
      <c r="DQ226">
        <v>0</v>
      </c>
      <c r="DR226">
        <v>3.21788</v>
      </c>
      <c r="DS226">
        <v>-62.99966666666666</v>
      </c>
      <c r="DT226">
        <v>1331.486666666667</v>
      </c>
      <c r="DU226">
        <v>1384.95</v>
      </c>
      <c r="DV226">
        <v>7.580783333333334</v>
      </c>
      <c r="DW226">
        <v>1370.49</v>
      </c>
      <c r="DX226">
        <v>10.44123333333333</v>
      </c>
      <c r="DY226">
        <v>1.623613333333333</v>
      </c>
      <c r="DZ226">
        <v>0.9406576666666667</v>
      </c>
      <c r="EA226">
        <v>14.18476666666667</v>
      </c>
      <c r="EB226">
        <v>6.02825</v>
      </c>
      <c r="EC226">
        <v>1500.01</v>
      </c>
      <c r="ED226">
        <v>0.9730086666666665</v>
      </c>
      <c r="EE226">
        <v>0.0269913</v>
      </c>
      <c r="EF226">
        <v>0</v>
      </c>
      <c r="EG226">
        <v>943.371</v>
      </c>
      <c r="EH226">
        <v>5.00097</v>
      </c>
      <c r="EI226">
        <v>14025.96666666667</v>
      </c>
      <c r="EJ226">
        <v>12491.7</v>
      </c>
      <c r="EK226">
        <v>37.5</v>
      </c>
      <c r="EL226">
        <v>39</v>
      </c>
      <c r="EM226">
        <v>37.875</v>
      </c>
      <c r="EN226">
        <v>38.75</v>
      </c>
      <c r="EO226">
        <v>38.375</v>
      </c>
      <c r="EP226">
        <v>1454.66</v>
      </c>
      <c r="EQ226">
        <v>40.35</v>
      </c>
      <c r="ER226">
        <v>0</v>
      </c>
      <c r="ES226">
        <v>703.2000000476837</v>
      </c>
      <c r="ET226">
        <v>0</v>
      </c>
      <c r="EU226">
        <v>946.1570399999999</v>
      </c>
      <c r="EV226">
        <v>-26.67338465634749</v>
      </c>
      <c r="EW226">
        <v>-393.376923585489</v>
      </c>
      <c r="EX226">
        <v>14064.996</v>
      </c>
      <c r="EY226">
        <v>15</v>
      </c>
      <c r="EZ226">
        <v>1651857041.1</v>
      </c>
      <c r="FA226" t="s">
        <v>419</v>
      </c>
      <c r="FB226">
        <v>1651857019.6</v>
      </c>
      <c r="FC226">
        <v>1651857041.1</v>
      </c>
      <c r="FD226">
        <v>1</v>
      </c>
      <c r="FE226">
        <v>0.545</v>
      </c>
      <c r="FF226">
        <v>-0.002</v>
      </c>
      <c r="FG226">
        <v>-1.271</v>
      </c>
      <c r="FH226">
        <v>-0.09</v>
      </c>
      <c r="FI226">
        <v>400</v>
      </c>
      <c r="FJ226">
        <v>10</v>
      </c>
      <c r="FK226">
        <v>0.1</v>
      </c>
      <c r="FL226">
        <v>0.02</v>
      </c>
      <c r="FM226">
        <v>-63.71015121951219</v>
      </c>
      <c r="FN226">
        <v>2.169597909407722</v>
      </c>
      <c r="FO226">
        <v>0.3669078924238386</v>
      </c>
      <c r="FP226">
        <v>-1</v>
      </c>
      <c r="FQ226">
        <v>7.816259268292683</v>
      </c>
      <c r="FR226">
        <v>-1.499836515679416</v>
      </c>
      <c r="FS226">
        <v>0.1479913708491346</v>
      </c>
      <c r="FT226">
        <v>-1</v>
      </c>
      <c r="FU226">
        <v>0</v>
      </c>
      <c r="FV226">
        <v>0</v>
      </c>
      <c r="FW226">
        <v>0</v>
      </c>
      <c r="FX226">
        <v>-1</v>
      </c>
      <c r="FY226">
        <v>0</v>
      </c>
      <c r="FZ226">
        <v>0</v>
      </c>
      <c r="GA226" t="s">
        <v>432</v>
      </c>
      <c r="GB226">
        <v>2.98003</v>
      </c>
      <c r="GC226">
        <v>2.70623</v>
      </c>
      <c r="GD226">
        <v>0.203045</v>
      </c>
      <c r="GE226">
        <v>0.20661</v>
      </c>
      <c r="GF226">
        <v>0.0866357</v>
      </c>
      <c r="GG226">
        <v>0.0572847</v>
      </c>
      <c r="GH226">
        <v>25146.4</v>
      </c>
      <c r="GI226">
        <v>25088.1</v>
      </c>
      <c r="GJ226">
        <v>29343.6</v>
      </c>
      <c r="GK226">
        <v>29256.5</v>
      </c>
      <c r="GL226">
        <v>35494.5</v>
      </c>
      <c r="GM226">
        <v>36732.9</v>
      </c>
      <c r="GN226">
        <v>41305.9</v>
      </c>
      <c r="GO226">
        <v>41753.3</v>
      </c>
      <c r="GP226">
        <v>1.95413</v>
      </c>
      <c r="GQ226">
        <v>1.84015</v>
      </c>
      <c r="GR226">
        <v>-0.0325069</v>
      </c>
      <c r="GS226">
        <v>0</v>
      </c>
      <c r="GT226">
        <v>25.5616</v>
      </c>
      <c r="GU226">
        <v>999.9</v>
      </c>
      <c r="GV226">
        <v>38.3</v>
      </c>
      <c r="GW226">
        <v>34</v>
      </c>
      <c r="GX226">
        <v>22.7148</v>
      </c>
      <c r="GY226">
        <v>62.4676</v>
      </c>
      <c r="GZ226">
        <v>34.996</v>
      </c>
      <c r="HA226">
        <v>1</v>
      </c>
      <c r="HB226">
        <v>0.136623</v>
      </c>
      <c r="HC226">
        <v>2.59598</v>
      </c>
      <c r="HD226">
        <v>20.3139</v>
      </c>
      <c r="HE226">
        <v>5.21774</v>
      </c>
      <c r="HF226">
        <v>12.0099</v>
      </c>
      <c r="HG226">
        <v>4.98885</v>
      </c>
      <c r="HH226">
        <v>3.28855</v>
      </c>
      <c r="HI226">
        <v>856.2</v>
      </c>
      <c r="HJ226">
        <v>8523.1</v>
      </c>
      <c r="HK226">
        <v>5139.4</v>
      </c>
      <c r="HL226">
        <v>22.9</v>
      </c>
      <c r="HM226">
        <v>1.86752</v>
      </c>
      <c r="HN226">
        <v>1.86647</v>
      </c>
      <c r="HO226">
        <v>1.866</v>
      </c>
      <c r="HP226">
        <v>1.8659</v>
      </c>
      <c r="HQ226">
        <v>1.86772</v>
      </c>
      <c r="HR226">
        <v>1.87027</v>
      </c>
      <c r="HS226">
        <v>1.8689</v>
      </c>
      <c r="HT226">
        <v>1.87026</v>
      </c>
      <c r="HU226">
        <v>0</v>
      </c>
      <c r="HV226">
        <v>0</v>
      </c>
      <c r="HW226">
        <v>0</v>
      </c>
      <c r="HX226">
        <v>0</v>
      </c>
      <c r="HY226" t="s">
        <v>421</v>
      </c>
      <c r="HZ226" t="s">
        <v>422</v>
      </c>
      <c r="IA226" t="s">
        <v>423</v>
      </c>
      <c r="IB226" t="s">
        <v>423</v>
      </c>
      <c r="IC226" t="s">
        <v>423</v>
      </c>
      <c r="ID226" t="s">
        <v>423</v>
      </c>
      <c r="IE226">
        <v>0</v>
      </c>
      <c r="IF226">
        <v>100</v>
      </c>
      <c r="IG226">
        <v>100</v>
      </c>
      <c r="IH226">
        <v>-2.86</v>
      </c>
      <c r="II226">
        <v>0.0007</v>
      </c>
      <c r="IJ226">
        <v>-0.4995723906072</v>
      </c>
      <c r="IK226">
        <v>-0.002077099775823331</v>
      </c>
      <c r="IL226">
        <v>4.593143279902166E-07</v>
      </c>
      <c r="IM226">
        <v>-1.865383991892071E-10</v>
      </c>
      <c r="IN226">
        <v>-0.07605349583632376</v>
      </c>
      <c r="IO226">
        <v>-0.01129461987421345</v>
      </c>
      <c r="IP226">
        <v>0.00116580895745559</v>
      </c>
      <c r="IQ226">
        <v>-1.679085872906199E-05</v>
      </c>
      <c r="IR226">
        <v>2</v>
      </c>
      <c r="IS226">
        <v>2290</v>
      </c>
      <c r="IT226">
        <v>0</v>
      </c>
      <c r="IU226">
        <v>32</v>
      </c>
      <c r="IV226">
        <v>11.4</v>
      </c>
      <c r="IW226">
        <v>11.1</v>
      </c>
      <c r="IX226">
        <v>2.69897</v>
      </c>
      <c r="IY226">
        <v>2.19971</v>
      </c>
      <c r="IZ226">
        <v>1.39648</v>
      </c>
      <c r="JA226">
        <v>2.35962</v>
      </c>
      <c r="JB226">
        <v>1.49536</v>
      </c>
      <c r="JC226">
        <v>2.34497</v>
      </c>
      <c r="JD226">
        <v>38.5014</v>
      </c>
      <c r="JE226">
        <v>24.0437</v>
      </c>
      <c r="JF226">
        <v>18</v>
      </c>
      <c r="JG226">
        <v>513.946</v>
      </c>
      <c r="JH226">
        <v>426.15</v>
      </c>
      <c r="JI226">
        <v>22.2361</v>
      </c>
      <c r="JJ226">
        <v>29.0786</v>
      </c>
      <c r="JK226">
        <v>30.0001</v>
      </c>
      <c r="JL226">
        <v>29.0796</v>
      </c>
      <c r="JM226">
        <v>29.0218</v>
      </c>
      <c r="JN226">
        <v>54.0105</v>
      </c>
      <c r="JO226">
        <v>49.588</v>
      </c>
      <c r="JP226">
        <v>0</v>
      </c>
      <c r="JQ226">
        <v>22.2166</v>
      </c>
      <c r="JR226">
        <v>1390.78</v>
      </c>
      <c r="JS226">
        <v>10.6541</v>
      </c>
      <c r="JT226">
        <v>100.307</v>
      </c>
      <c r="JU226">
        <v>100.216</v>
      </c>
    </row>
    <row r="227" spans="1:281">
      <c r="A227">
        <v>211</v>
      </c>
      <c r="B227">
        <v>1651857706.1</v>
      </c>
      <c r="C227">
        <v>705.5</v>
      </c>
      <c r="D227" t="s">
        <v>849</v>
      </c>
      <c r="E227" t="s">
        <v>850</v>
      </c>
      <c r="F227">
        <v>2</v>
      </c>
      <c r="G227" t="s">
        <v>413</v>
      </c>
      <c r="H227" t="s">
        <v>414</v>
      </c>
      <c r="I227">
        <v>1651857704.725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1385.740646584906</v>
      </c>
      <c r="AK227">
        <v>1339.785212121212</v>
      </c>
      <c r="AL227">
        <v>3.312369687740726</v>
      </c>
      <c r="AM227">
        <v>66.38384787954378</v>
      </c>
      <c r="AN227">
        <f>(AP227 - AO227 + DI227*1E3/(8.314*(DK227+273.15)) * AR227/DH227 * AQ227) * DH227/(100*CV227) * 1000/(1000 - AP227)</f>
        <v>0</v>
      </c>
      <c r="AO227">
        <v>10.41069804953525</v>
      </c>
      <c r="AP227">
        <v>18.01506794117646</v>
      </c>
      <c r="AQ227">
        <v>-2.748816327072639E-05</v>
      </c>
      <c r="AR227">
        <v>80.44866334591464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417</v>
      </c>
      <c r="AY227" t="s">
        <v>417</v>
      </c>
      <c r="AZ227">
        <v>0</v>
      </c>
      <c r="BA227">
        <v>0</v>
      </c>
      <c r="BB227">
        <f>1-AZ227/BA227</f>
        <v>0</v>
      </c>
      <c r="BC227">
        <v>0</v>
      </c>
      <c r="BD227" t="s">
        <v>417</v>
      </c>
      <c r="BE227" t="s">
        <v>417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417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1238</v>
      </c>
      <c r="CA227">
        <v>300</v>
      </c>
      <c r="CB227">
        <v>300</v>
      </c>
      <c r="CC227">
        <v>300</v>
      </c>
      <c r="CD227">
        <v>10440.5</v>
      </c>
      <c r="CE227">
        <v>1411.69</v>
      </c>
      <c r="CF227">
        <v>-0.00735121</v>
      </c>
      <c r="CG227">
        <v>-0.77</v>
      </c>
      <c r="CH227" t="s">
        <v>417</v>
      </c>
      <c r="CI227" t="s">
        <v>417</v>
      </c>
      <c r="CJ227" t="s">
        <v>417</v>
      </c>
      <c r="CK227" t="s">
        <v>417</v>
      </c>
      <c r="CL227" t="s">
        <v>417</v>
      </c>
      <c r="CM227" t="s">
        <v>417</v>
      </c>
      <c r="CN227" t="s">
        <v>417</v>
      </c>
      <c r="CO227" t="s">
        <v>417</v>
      </c>
      <c r="CP227" t="s">
        <v>417</v>
      </c>
      <c r="CQ227" t="s">
        <v>417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418</v>
      </c>
      <c r="CY227">
        <v>2</v>
      </c>
      <c r="CZ227" t="b">
        <v>1</v>
      </c>
      <c r="DA227">
        <v>1651857704.725</v>
      </c>
      <c r="DB227">
        <v>1312.79</v>
      </c>
      <c r="DC227">
        <v>1375.8875</v>
      </c>
      <c r="DD227">
        <v>18.0176</v>
      </c>
      <c r="DE227">
        <v>10.47825</v>
      </c>
      <c r="DF227">
        <v>1315.655</v>
      </c>
      <c r="DG227">
        <v>18.016925</v>
      </c>
      <c r="DH227">
        <v>500.04075</v>
      </c>
      <c r="DI227">
        <v>90.087675</v>
      </c>
      <c r="DJ227">
        <v>0.099949675</v>
      </c>
      <c r="DK227">
        <v>25.736425</v>
      </c>
      <c r="DL227">
        <v>25.02725</v>
      </c>
      <c r="DM227">
        <v>999.9</v>
      </c>
      <c r="DN227">
        <v>0</v>
      </c>
      <c r="DO227">
        <v>0</v>
      </c>
      <c r="DP227">
        <v>10014.705</v>
      </c>
      <c r="DQ227">
        <v>0</v>
      </c>
      <c r="DR227">
        <v>3.22315</v>
      </c>
      <c r="DS227">
        <v>-63.09795</v>
      </c>
      <c r="DT227">
        <v>1336.88</v>
      </c>
      <c r="DU227">
        <v>1390.46</v>
      </c>
      <c r="DV227">
        <v>7.5393675</v>
      </c>
      <c r="DW227">
        <v>1375.8875</v>
      </c>
      <c r="DX227">
        <v>10.47825</v>
      </c>
      <c r="DY227">
        <v>1.623165</v>
      </c>
      <c r="DZ227">
        <v>0.94396075</v>
      </c>
      <c r="EA227">
        <v>14.1805</v>
      </c>
      <c r="EB227">
        <v>6.078947499999999</v>
      </c>
      <c r="EC227">
        <v>1500.0525</v>
      </c>
      <c r="ED227">
        <v>0.9730095</v>
      </c>
      <c r="EE227">
        <v>0.0269904</v>
      </c>
      <c r="EF227">
        <v>0</v>
      </c>
      <c r="EG227">
        <v>942.6560000000001</v>
      </c>
      <c r="EH227">
        <v>5.00097</v>
      </c>
      <c r="EI227">
        <v>14015.75</v>
      </c>
      <c r="EJ227">
        <v>12492.075</v>
      </c>
      <c r="EK227">
        <v>37.5</v>
      </c>
      <c r="EL227">
        <v>39</v>
      </c>
      <c r="EM227">
        <v>37.875</v>
      </c>
      <c r="EN227">
        <v>38.75</v>
      </c>
      <c r="EO227">
        <v>38.375</v>
      </c>
      <c r="EP227">
        <v>1454.7025</v>
      </c>
      <c r="EQ227">
        <v>40.35</v>
      </c>
      <c r="ER227">
        <v>0</v>
      </c>
      <c r="ES227">
        <v>705</v>
      </c>
      <c r="ET227">
        <v>0</v>
      </c>
      <c r="EU227">
        <v>945.469923076923</v>
      </c>
      <c r="EV227">
        <v>-27.71480341657171</v>
      </c>
      <c r="EW227">
        <v>-387.6512819594129</v>
      </c>
      <c r="EX227">
        <v>14055.00769230769</v>
      </c>
      <c r="EY227">
        <v>15</v>
      </c>
      <c r="EZ227">
        <v>1651857041.1</v>
      </c>
      <c r="FA227" t="s">
        <v>419</v>
      </c>
      <c r="FB227">
        <v>1651857019.6</v>
      </c>
      <c r="FC227">
        <v>1651857041.1</v>
      </c>
      <c r="FD227">
        <v>1</v>
      </c>
      <c r="FE227">
        <v>0.545</v>
      </c>
      <c r="FF227">
        <v>-0.002</v>
      </c>
      <c r="FG227">
        <v>-1.271</v>
      </c>
      <c r="FH227">
        <v>-0.09</v>
      </c>
      <c r="FI227">
        <v>400</v>
      </c>
      <c r="FJ227">
        <v>10</v>
      </c>
      <c r="FK227">
        <v>0.1</v>
      </c>
      <c r="FL227">
        <v>0.02</v>
      </c>
      <c r="FM227">
        <v>-63.68233658536586</v>
      </c>
      <c r="FN227">
        <v>2.699638327526138</v>
      </c>
      <c r="FO227">
        <v>0.3896466039613131</v>
      </c>
      <c r="FP227">
        <v>-1</v>
      </c>
      <c r="FQ227">
        <v>7.791248780487805</v>
      </c>
      <c r="FR227">
        <v>-1.494209686411138</v>
      </c>
      <c r="FS227">
        <v>0.1474354731315947</v>
      </c>
      <c r="FT227">
        <v>-1</v>
      </c>
      <c r="FU227">
        <v>0</v>
      </c>
      <c r="FV227">
        <v>0</v>
      </c>
      <c r="FW227">
        <v>0</v>
      </c>
      <c r="FX227">
        <v>-1</v>
      </c>
      <c r="FY227">
        <v>0</v>
      </c>
      <c r="FZ227">
        <v>0</v>
      </c>
      <c r="GA227" t="s">
        <v>432</v>
      </c>
      <c r="GB227">
        <v>2.98007</v>
      </c>
      <c r="GC227">
        <v>2.70624</v>
      </c>
      <c r="GD227">
        <v>0.20366</v>
      </c>
      <c r="GE227">
        <v>0.207209</v>
      </c>
      <c r="GF227">
        <v>0.0866228</v>
      </c>
      <c r="GG227">
        <v>0.0575027</v>
      </c>
      <c r="GH227">
        <v>25127.1</v>
      </c>
      <c r="GI227">
        <v>25069.1</v>
      </c>
      <c r="GJ227">
        <v>29343.7</v>
      </c>
      <c r="GK227">
        <v>29256.5</v>
      </c>
      <c r="GL227">
        <v>35495.2</v>
      </c>
      <c r="GM227">
        <v>36724.4</v>
      </c>
      <c r="GN227">
        <v>41306.1</v>
      </c>
      <c r="GO227">
        <v>41753.3</v>
      </c>
      <c r="GP227">
        <v>1.95392</v>
      </c>
      <c r="GQ227">
        <v>1.84025</v>
      </c>
      <c r="GR227">
        <v>-0.0327639</v>
      </c>
      <c r="GS227">
        <v>0</v>
      </c>
      <c r="GT227">
        <v>25.5608</v>
      </c>
      <c r="GU227">
        <v>999.9</v>
      </c>
      <c r="GV227">
        <v>38.3</v>
      </c>
      <c r="GW227">
        <v>34</v>
      </c>
      <c r="GX227">
        <v>22.7149</v>
      </c>
      <c r="GY227">
        <v>62.5976</v>
      </c>
      <c r="GZ227">
        <v>35.3686</v>
      </c>
      <c r="HA227">
        <v>1</v>
      </c>
      <c r="HB227">
        <v>0.136354</v>
      </c>
      <c r="HC227">
        <v>2.61667</v>
      </c>
      <c r="HD227">
        <v>20.3136</v>
      </c>
      <c r="HE227">
        <v>5.21759</v>
      </c>
      <c r="HF227">
        <v>12.0099</v>
      </c>
      <c r="HG227">
        <v>4.98885</v>
      </c>
      <c r="HH227">
        <v>3.28858</v>
      </c>
      <c r="HI227">
        <v>856.2</v>
      </c>
      <c r="HJ227">
        <v>8523.1</v>
      </c>
      <c r="HK227">
        <v>5139.4</v>
      </c>
      <c r="HL227">
        <v>22.9</v>
      </c>
      <c r="HM227">
        <v>1.86752</v>
      </c>
      <c r="HN227">
        <v>1.86646</v>
      </c>
      <c r="HO227">
        <v>1.866</v>
      </c>
      <c r="HP227">
        <v>1.8659</v>
      </c>
      <c r="HQ227">
        <v>1.86771</v>
      </c>
      <c r="HR227">
        <v>1.87026</v>
      </c>
      <c r="HS227">
        <v>1.8689</v>
      </c>
      <c r="HT227">
        <v>1.87027</v>
      </c>
      <c r="HU227">
        <v>0</v>
      </c>
      <c r="HV227">
        <v>0</v>
      </c>
      <c r="HW227">
        <v>0</v>
      </c>
      <c r="HX227">
        <v>0</v>
      </c>
      <c r="HY227" t="s">
        <v>421</v>
      </c>
      <c r="HZ227" t="s">
        <v>422</v>
      </c>
      <c r="IA227" t="s">
        <v>423</v>
      </c>
      <c r="IB227" t="s">
        <v>423</v>
      </c>
      <c r="IC227" t="s">
        <v>423</v>
      </c>
      <c r="ID227" t="s">
        <v>423</v>
      </c>
      <c r="IE227">
        <v>0</v>
      </c>
      <c r="IF227">
        <v>100</v>
      </c>
      <c r="IG227">
        <v>100</v>
      </c>
      <c r="IH227">
        <v>-2.87</v>
      </c>
      <c r="II227">
        <v>0.0007</v>
      </c>
      <c r="IJ227">
        <v>-0.4995723906072</v>
      </c>
      <c r="IK227">
        <v>-0.002077099775823331</v>
      </c>
      <c r="IL227">
        <v>4.593143279902166E-07</v>
      </c>
      <c r="IM227">
        <v>-1.865383991892071E-10</v>
      </c>
      <c r="IN227">
        <v>-0.07605349583632376</v>
      </c>
      <c r="IO227">
        <v>-0.01129461987421345</v>
      </c>
      <c r="IP227">
        <v>0.00116580895745559</v>
      </c>
      <c r="IQ227">
        <v>-1.679085872906199E-05</v>
      </c>
      <c r="IR227">
        <v>2</v>
      </c>
      <c r="IS227">
        <v>2290</v>
      </c>
      <c r="IT227">
        <v>0</v>
      </c>
      <c r="IU227">
        <v>32</v>
      </c>
      <c r="IV227">
        <v>11.4</v>
      </c>
      <c r="IW227">
        <v>11.1</v>
      </c>
      <c r="IX227">
        <v>2.70996</v>
      </c>
      <c r="IY227">
        <v>2.20215</v>
      </c>
      <c r="IZ227">
        <v>1.39648</v>
      </c>
      <c r="JA227">
        <v>2.35962</v>
      </c>
      <c r="JB227">
        <v>1.49536</v>
      </c>
      <c r="JC227">
        <v>2.31812</v>
      </c>
      <c r="JD227">
        <v>38.5014</v>
      </c>
      <c r="JE227">
        <v>24.035</v>
      </c>
      <c r="JF227">
        <v>18</v>
      </c>
      <c r="JG227">
        <v>513.804</v>
      </c>
      <c r="JH227">
        <v>426.21</v>
      </c>
      <c r="JI227">
        <v>22.2273</v>
      </c>
      <c r="JJ227">
        <v>29.0782</v>
      </c>
      <c r="JK227">
        <v>30</v>
      </c>
      <c r="JL227">
        <v>29.0784</v>
      </c>
      <c r="JM227">
        <v>29.0218</v>
      </c>
      <c r="JN227">
        <v>54.2278</v>
      </c>
      <c r="JO227">
        <v>49.2946</v>
      </c>
      <c r="JP227">
        <v>0</v>
      </c>
      <c r="JQ227">
        <v>22.2166</v>
      </c>
      <c r="JR227">
        <v>1397.56</v>
      </c>
      <c r="JS227">
        <v>10.7059</v>
      </c>
      <c r="JT227">
        <v>100.308</v>
      </c>
      <c r="JU227">
        <v>100.216</v>
      </c>
    </row>
    <row r="228" spans="1:281">
      <c r="A228">
        <v>212</v>
      </c>
      <c r="B228">
        <v>1651857708.1</v>
      </c>
      <c r="C228">
        <v>707.5</v>
      </c>
      <c r="D228" t="s">
        <v>851</v>
      </c>
      <c r="E228" t="s">
        <v>852</v>
      </c>
      <c r="F228">
        <v>2</v>
      </c>
      <c r="G228" t="s">
        <v>413</v>
      </c>
      <c r="H228" t="s">
        <v>414</v>
      </c>
      <c r="I228">
        <v>1651857707.1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1392.487928022093</v>
      </c>
      <c r="AK228">
        <v>1346.332666666667</v>
      </c>
      <c r="AL228">
        <v>3.29066011927508</v>
      </c>
      <c r="AM228">
        <v>66.38384787954378</v>
      </c>
      <c r="AN228">
        <f>(AP228 - AO228 + DI228*1E3/(8.314*(DK228+273.15)) * AR228/DH228 * AQ228) * DH228/(100*CV228) * 1000/(1000 - AP228)</f>
        <v>0</v>
      </c>
      <c r="AO228">
        <v>10.45171985173362</v>
      </c>
      <c r="AP228">
        <v>18.01294264705881</v>
      </c>
      <c r="AQ228">
        <v>-0.0002164597684970602</v>
      </c>
      <c r="AR228">
        <v>80.44866334591464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417</v>
      </c>
      <c r="AY228" t="s">
        <v>417</v>
      </c>
      <c r="AZ228">
        <v>0</v>
      </c>
      <c r="BA228">
        <v>0</v>
      </c>
      <c r="BB228">
        <f>1-AZ228/BA228</f>
        <v>0</v>
      </c>
      <c r="BC228">
        <v>0</v>
      </c>
      <c r="BD228" t="s">
        <v>417</v>
      </c>
      <c r="BE228" t="s">
        <v>417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417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1238</v>
      </c>
      <c r="CA228">
        <v>300</v>
      </c>
      <c r="CB228">
        <v>300</v>
      </c>
      <c r="CC228">
        <v>300</v>
      </c>
      <c r="CD228">
        <v>10440.5</v>
      </c>
      <c r="CE228">
        <v>1411.69</v>
      </c>
      <c r="CF228">
        <v>-0.00735121</v>
      </c>
      <c r="CG228">
        <v>-0.77</v>
      </c>
      <c r="CH228" t="s">
        <v>417</v>
      </c>
      <c r="CI228" t="s">
        <v>417</v>
      </c>
      <c r="CJ228" t="s">
        <v>417</v>
      </c>
      <c r="CK228" t="s">
        <v>417</v>
      </c>
      <c r="CL228" t="s">
        <v>417</v>
      </c>
      <c r="CM228" t="s">
        <v>417</v>
      </c>
      <c r="CN228" t="s">
        <v>417</v>
      </c>
      <c r="CO228" t="s">
        <v>417</v>
      </c>
      <c r="CP228" t="s">
        <v>417</v>
      </c>
      <c r="CQ228" t="s">
        <v>417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418</v>
      </c>
      <c r="CY228">
        <v>2</v>
      </c>
      <c r="CZ228" t="b">
        <v>1</v>
      </c>
      <c r="DA228">
        <v>1651857707.1</v>
      </c>
      <c r="DB228">
        <v>1320.466666666666</v>
      </c>
      <c r="DC228">
        <v>1383.6</v>
      </c>
      <c r="DD228">
        <v>18.01403333333333</v>
      </c>
      <c r="DE228">
        <v>10.5396</v>
      </c>
      <c r="DF228">
        <v>1323.343333333333</v>
      </c>
      <c r="DG228">
        <v>18.01333333333333</v>
      </c>
      <c r="DH228">
        <v>500.044</v>
      </c>
      <c r="DI228">
        <v>90.0856</v>
      </c>
      <c r="DJ228">
        <v>0.1002683333333333</v>
      </c>
      <c r="DK228">
        <v>25.73806666666667</v>
      </c>
      <c r="DL228">
        <v>25.02316666666667</v>
      </c>
      <c r="DM228">
        <v>999.9</v>
      </c>
      <c r="DN228">
        <v>0</v>
      </c>
      <c r="DO228">
        <v>0</v>
      </c>
      <c r="DP228">
        <v>9978.330000000002</v>
      </c>
      <c r="DQ228">
        <v>0</v>
      </c>
      <c r="DR228">
        <v>3.23193</v>
      </c>
      <c r="DS228">
        <v>-63.13336666666667</v>
      </c>
      <c r="DT228">
        <v>1344.69</v>
      </c>
      <c r="DU228">
        <v>1398.336666666667</v>
      </c>
      <c r="DV228">
        <v>7.474406666666667</v>
      </c>
      <c r="DW228">
        <v>1383.6</v>
      </c>
      <c r="DX228">
        <v>10.5396</v>
      </c>
      <c r="DY228">
        <v>1.622803333333333</v>
      </c>
      <c r="DZ228">
        <v>0.9494656666666668</v>
      </c>
      <c r="EA228">
        <v>14.17703333333333</v>
      </c>
      <c r="EB228">
        <v>6.163133333333334</v>
      </c>
      <c r="EC228">
        <v>1500.096666666667</v>
      </c>
      <c r="ED228">
        <v>0.9730086666666665</v>
      </c>
      <c r="EE228">
        <v>0.0269913</v>
      </c>
      <c r="EF228">
        <v>0</v>
      </c>
      <c r="EG228">
        <v>941.5799999999999</v>
      </c>
      <c r="EH228">
        <v>5.00097</v>
      </c>
      <c r="EI228">
        <v>13999.36666666667</v>
      </c>
      <c r="EJ228">
        <v>12492.43333333333</v>
      </c>
      <c r="EK228">
        <v>37.5</v>
      </c>
      <c r="EL228">
        <v>39</v>
      </c>
      <c r="EM228">
        <v>37.875</v>
      </c>
      <c r="EN228">
        <v>38.75</v>
      </c>
      <c r="EO228">
        <v>38.375</v>
      </c>
      <c r="EP228">
        <v>1454.743333333333</v>
      </c>
      <c r="EQ228">
        <v>40.35333333333333</v>
      </c>
      <c r="ER228">
        <v>0</v>
      </c>
      <c r="ES228">
        <v>706.8000001907349</v>
      </c>
      <c r="ET228">
        <v>0</v>
      </c>
      <c r="EU228">
        <v>944.5175999999999</v>
      </c>
      <c r="EV228">
        <v>-27.46061533820686</v>
      </c>
      <c r="EW228">
        <v>-387.1692300913201</v>
      </c>
      <c r="EX228">
        <v>14041.536</v>
      </c>
      <c r="EY228">
        <v>15</v>
      </c>
      <c r="EZ228">
        <v>1651857041.1</v>
      </c>
      <c r="FA228" t="s">
        <v>419</v>
      </c>
      <c r="FB228">
        <v>1651857019.6</v>
      </c>
      <c r="FC228">
        <v>1651857041.1</v>
      </c>
      <c r="FD228">
        <v>1</v>
      </c>
      <c r="FE228">
        <v>0.545</v>
      </c>
      <c r="FF228">
        <v>-0.002</v>
      </c>
      <c r="FG228">
        <v>-1.271</v>
      </c>
      <c r="FH228">
        <v>-0.09</v>
      </c>
      <c r="FI228">
        <v>400</v>
      </c>
      <c r="FJ228">
        <v>10</v>
      </c>
      <c r="FK228">
        <v>0.1</v>
      </c>
      <c r="FL228">
        <v>0.02</v>
      </c>
      <c r="FM228">
        <v>-63.58541219512195</v>
      </c>
      <c r="FN228">
        <v>3.627737979094172</v>
      </c>
      <c r="FO228">
        <v>0.4307846234517879</v>
      </c>
      <c r="FP228">
        <v>-1</v>
      </c>
      <c r="FQ228">
        <v>7.716833170731707</v>
      </c>
      <c r="FR228">
        <v>-1.519772613240403</v>
      </c>
      <c r="FS228">
        <v>0.1499199450509931</v>
      </c>
      <c r="FT228">
        <v>-1</v>
      </c>
      <c r="FU228">
        <v>0</v>
      </c>
      <c r="FV228">
        <v>0</v>
      </c>
      <c r="FW228">
        <v>0</v>
      </c>
      <c r="FX228">
        <v>-1</v>
      </c>
      <c r="FY228">
        <v>0</v>
      </c>
      <c r="FZ228">
        <v>0</v>
      </c>
      <c r="GA228" t="s">
        <v>432</v>
      </c>
      <c r="GB228">
        <v>2.97997</v>
      </c>
      <c r="GC228">
        <v>2.70629</v>
      </c>
      <c r="GD228">
        <v>0.204274</v>
      </c>
      <c r="GE228">
        <v>0.207809</v>
      </c>
      <c r="GF228">
        <v>0.08660760000000001</v>
      </c>
      <c r="GG228">
        <v>0.0577161</v>
      </c>
      <c r="GH228">
        <v>25107.6</v>
      </c>
      <c r="GI228">
        <v>25050.2</v>
      </c>
      <c r="GJ228">
        <v>29343.6</v>
      </c>
      <c r="GK228">
        <v>29256.6</v>
      </c>
      <c r="GL228">
        <v>35495.4</v>
      </c>
      <c r="GM228">
        <v>36716.2</v>
      </c>
      <c r="GN228">
        <v>41305.6</v>
      </c>
      <c r="GO228">
        <v>41753.5</v>
      </c>
      <c r="GP228">
        <v>1.95382</v>
      </c>
      <c r="GQ228">
        <v>1.84028</v>
      </c>
      <c r="GR228">
        <v>-0.0326931</v>
      </c>
      <c r="GS228">
        <v>0</v>
      </c>
      <c r="GT228">
        <v>25.5605</v>
      </c>
      <c r="GU228">
        <v>999.9</v>
      </c>
      <c r="GV228">
        <v>38.3</v>
      </c>
      <c r="GW228">
        <v>34</v>
      </c>
      <c r="GX228">
        <v>22.7158</v>
      </c>
      <c r="GY228">
        <v>62.3676</v>
      </c>
      <c r="GZ228">
        <v>35.1843</v>
      </c>
      <c r="HA228">
        <v>1</v>
      </c>
      <c r="HB228">
        <v>0.136491</v>
      </c>
      <c r="HC228">
        <v>2.60107</v>
      </c>
      <c r="HD228">
        <v>20.3138</v>
      </c>
      <c r="HE228">
        <v>5.21759</v>
      </c>
      <c r="HF228">
        <v>12.0099</v>
      </c>
      <c r="HG228">
        <v>4.98885</v>
      </c>
      <c r="HH228">
        <v>3.28858</v>
      </c>
      <c r="HI228">
        <v>856.4</v>
      </c>
      <c r="HJ228">
        <v>8525.1</v>
      </c>
      <c r="HK228">
        <v>5139.4</v>
      </c>
      <c r="HL228">
        <v>22.9</v>
      </c>
      <c r="HM228">
        <v>1.86752</v>
      </c>
      <c r="HN228">
        <v>1.86646</v>
      </c>
      <c r="HO228">
        <v>1.866</v>
      </c>
      <c r="HP228">
        <v>1.86588</v>
      </c>
      <c r="HQ228">
        <v>1.8677</v>
      </c>
      <c r="HR228">
        <v>1.87025</v>
      </c>
      <c r="HS228">
        <v>1.8689</v>
      </c>
      <c r="HT228">
        <v>1.87027</v>
      </c>
      <c r="HU228">
        <v>0</v>
      </c>
      <c r="HV228">
        <v>0</v>
      </c>
      <c r="HW228">
        <v>0</v>
      </c>
      <c r="HX228">
        <v>0</v>
      </c>
      <c r="HY228" t="s">
        <v>421</v>
      </c>
      <c r="HZ228" t="s">
        <v>422</v>
      </c>
      <c r="IA228" t="s">
        <v>423</v>
      </c>
      <c r="IB228" t="s">
        <v>423</v>
      </c>
      <c r="IC228" t="s">
        <v>423</v>
      </c>
      <c r="ID228" t="s">
        <v>423</v>
      </c>
      <c r="IE228">
        <v>0</v>
      </c>
      <c r="IF228">
        <v>100</v>
      </c>
      <c r="IG228">
        <v>100</v>
      </c>
      <c r="IH228">
        <v>-2.88</v>
      </c>
      <c r="II228">
        <v>0.0005999999999999999</v>
      </c>
      <c r="IJ228">
        <v>-0.4995723906072</v>
      </c>
      <c r="IK228">
        <v>-0.002077099775823331</v>
      </c>
      <c r="IL228">
        <v>4.593143279902166E-07</v>
      </c>
      <c r="IM228">
        <v>-1.865383991892071E-10</v>
      </c>
      <c r="IN228">
        <v>-0.07605349583632376</v>
      </c>
      <c r="IO228">
        <v>-0.01129461987421345</v>
      </c>
      <c r="IP228">
        <v>0.00116580895745559</v>
      </c>
      <c r="IQ228">
        <v>-1.679085872906199E-05</v>
      </c>
      <c r="IR228">
        <v>2</v>
      </c>
      <c r="IS228">
        <v>2290</v>
      </c>
      <c r="IT228">
        <v>0</v>
      </c>
      <c r="IU228">
        <v>32</v>
      </c>
      <c r="IV228">
        <v>11.5</v>
      </c>
      <c r="IW228">
        <v>11.1</v>
      </c>
      <c r="IX228">
        <v>2.72095</v>
      </c>
      <c r="IY228">
        <v>2.19727</v>
      </c>
      <c r="IZ228">
        <v>1.39648</v>
      </c>
      <c r="JA228">
        <v>2.35962</v>
      </c>
      <c r="JB228">
        <v>1.49536</v>
      </c>
      <c r="JC228">
        <v>2.34741</v>
      </c>
      <c r="JD228">
        <v>38.5014</v>
      </c>
      <c r="JE228">
        <v>24.0437</v>
      </c>
      <c r="JF228">
        <v>18</v>
      </c>
      <c r="JG228">
        <v>513.731</v>
      </c>
      <c r="JH228">
        <v>426.218</v>
      </c>
      <c r="JI228">
        <v>22.2166</v>
      </c>
      <c r="JJ228">
        <v>29.0769</v>
      </c>
      <c r="JK228">
        <v>30.0001</v>
      </c>
      <c r="JL228">
        <v>29.0776</v>
      </c>
      <c r="JM228">
        <v>29.0209</v>
      </c>
      <c r="JN228">
        <v>54.4389</v>
      </c>
      <c r="JO228">
        <v>49.2946</v>
      </c>
      <c r="JP228">
        <v>0</v>
      </c>
      <c r="JQ228">
        <v>22.1911</v>
      </c>
      <c r="JR228">
        <v>1404.28</v>
      </c>
      <c r="JS228">
        <v>10.7543</v>
      </c>
      <c r="JT228">
        <v>100.307</v>
      </c>
      <c r="JU228">
        <v>100.216</v>
      </c>
    </row>
    <row r="229" spans="1:281">
      <c r="A229">
        <v>213</v>
      </c>
      <c r="B229">
        <v>1651857710.1</v>
      </c>
      <c r="C229">
        <v>709.5</v>
      </c>
      <c r="D229" t="s">
        <v>853</v>
      </c>
      <c r="E229" t="s">
        <v>854</v>
      </c>
      <c r="F229">
        <v>2</v>
      </c>
      <c r="G229" t="s">
        <v>413</v>
      </c>
      <c r="H229" t="s">
        <v>414</v>
      </c>
      <c r="I229">
        <v>1651857708.725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1399.105724324359</v>
      </c>
      <c r="AK229">
        <v>1352.953696969697</v>
      </c>
      <c r="AL229">
        <v>3.300253187757407</v>
      </c>
      <c r="AM229">
        <v>66.38384787954378</v>
      </c>
      <c r="AN229">
        <f>(AP229 - AO229 + DI229*1E3/(8.314*(DK229+273.15)) * AR229/DH229 * AQ229) * DH229/(100*CV229) * 1000/(1000 - AP229)</f>
        <v>0</v>
      </c>
      <c r="AO229">
        <v>10.50130947036654</v>
      </c>
      <c r="AP229">
        <v>18.00876764705882</v>
      </c>
      <c r="AQ229">
        <v>-0.0001976267463593884</v>
      </c>
      <c r="AR229">
        <v>80.44866334591464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417</v>
      </c>
      <c r="AY229" t="s">
        <v>417</v>
      </c>
      <c r="AZ229">
        <v>0</v>
      </c>
      <c r="BA229">
        <v>0</v>
      </c>
      <c r="BB229">
        <f>1-AZ229/BA229</f>
        <v>0</v>
      </c>
      <c r="BC229">
        <v>0</v>
      </c>
      <c r="BD229" t="s">
        <v>417</v>
      </c>
      <c r="BE229" t="s">
        <v>417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417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1238</v>
      </c>
      <c r="CA229">
        <v>300</v>
      </c>
      <c r="CB229">
        <v>300</v>
      </c>
      <c r="CC229">
        <v>300</v>
      </c>
      <c r="CD229">
        <v>10440.5</v>
      </c>
      <c r="CE229">
        <v>1411.69</v>
      </c>
      <c r="CF229">
        <v>-0.00735121</v>
      </c>
      <c r="CG229">
        <v>-0.77</v>
      </c>
      <c r="CH229" t="s">
        <v>417</v>
      </c>
      <c r="CI229" t="s">
        <v>417</v>
      </c>
      <c r="CJ229" t="s">
        <v>417</v>
      </c>
      <c r="CK229" t="s">
        <v>417</v>
      </c>
      <c r="CL229" t="s">
        <v>417</v>
      </c>
      <c r="CM229" t="s">
        <v>417</v>
      </c>
      <c r="CN229" t="s">
        <v>417</v>
      </c>
      <c r="CO229" t="s">
        <v>417</v>
      </c>
      <c r="CP229" t="s">
        <v>417</v>
      </c>
      <c r="CQ229" t="s">
        <v>417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418</v>
      </c>
      <c r="CY229">
        <v>2</v>
      </c>
      <c r="CZ229" t="b">
        <v>1</v>
      </c>
      <c r="DA229">
        <v>1651857708.725</v>
      </c>
      <c r="DB229">
        <v>1325.7375</v>
      </c>
      <c r="DC229">
        <v>1389.0575</v>
      </c>
      <c r="DD229">
        <v>18.010325</v>
      </c>
      <c r="DE229">
        <v>10.576675</v>
      </c>
      <c r="DF229">
        <v>1328.6225</v>
      </c>
      <c r="DG229">
        <v>18.0097</v>
      </c>
      <c r="DH229">
        <v>500.0605</v>
      </c>
      <c r="DI229">
        <v>90.0852</v>
      </c>
      <c r="DJ229">
        <v>0.10031525</v>
      </c>
      <c r="DK229">
        <v>25.737425</v>
      </c>
      <c r="DL229">
        <v>25.0235</v>
      </c>
      <c r="DM229">
        <v>999.9</v>
      </c>
      <c r="DN229">
        <v>0</v>
      </c>
      <c r="DO229">
        <v>0</v>
      </c>
      <c r="DP229">
        <v>9970.782499999999</v>
      </c>
      <c r="DQ229">
        <v>0</v>
      </c>
      <c r="DR229">
        <v>3.2266625</v>
      </c>
      <c r="DS229">
        <v>-63.32004999999999</v>
      </c>
      <c r="DT229">
        <v>1350.055</v>
      </c>
      <c r="DU229">
        <v>1403.905</v>
      </c>
      <c r="DV229">
        <v>7.4336475</v>
      </c>
      <c r="DW229">
        <v>1389.0575</v>
      </c>
      <c r="DX229">
        <v>10.576675</v>
      </c>
      <c r="DY229">
        <v>1.62246</v>
      </c>
      <c r="DZ229">
        <v>0.95280075</v>
      </c>
      <c r="EA229">
        <v>14.1738</v>
      </c>
      <c r="EB229">
        <v>6.21392</v>
      </c>
      <c r="EC229">
        <v>1500.0475</v>
      </c>
      <c r="ED229">
        <v>0.9730082499999999</v>
      </c>
      <c r="EE229">
        <v>0.02699175</v>
      </c>
      <c r="EF229">
        <v>0</v>
      </c>
      <c r="EG229">
        <v>940.90625</v>
      </c>
      <c r="EH229">
        <v>5.00097</v>
      </c>
      <c r="EI229">
        <v>13989.6</v>
      </c>
      <c r="EJ229">
        <v>12492.025</v>
      </c>
      <c r="EK229">
        <v>37.5</v>
      </c>
      <c r="EL229">
        <v>39</v>
      </c>
      <c r="EM229">
        <v>37.875</v>
      </c>
      <c r="EN229">
        <v>38.75</v>
      </c>
      <c r="EO229">
        <v>38.375</v>
      </c>
      <c r="EP229">
        <v>1454.695</v>
      </c>
      <c r="EQ229">
        <v>40.3525</v>
      </c>
      <c r="ER229">
        <v>0</v>
      </c>
      <c r="ES229">
        <v>709.2000000476837</v>
      </c>
      <c r="ET229">
        <v>0</v>
      </c>
      <c r="EU229">
        <v>943.4227999999999</v>
      </c>
      <c r="EV229">
        <v>-26.67569234895344</v>
      </c>
      <c r="EW229">
        <v>-383.7307697299741</v>
      </c>
      <c r="EX229">
        <v>14026.036</v>
      </c>
      <c r="EY229">
        <v>15</v>
      </c>
      <c r="EZ229">
        <v>1651857041.1</v>
      </c>
      <c r="FA229" t="s">
        <v>419</v>
      </c>
      <c r="FB229">
        <v>1651857019.6</v>
      </c>
      <c r="FC229">
        <v>1651857041.1</v>
      </c>
      <c r="FD229">
        <v>1</v>
      </c>
      <c r="FE229">
        <v>0.545</v>
      </c>
      <c r="FF229">
        <v>-0.002</v>
      </c>
      <c r="FG229">
        <v>-1.271</v>
      </c>
      <c r="FH229">
        <v>-0.09</v>
      </c>
      <c r="FI229">
        <v>400</v>
      </c>
      <c r="FJ229">
        <v>10</v>
      </c>
      <c r="FK229">
        <v>0.1</v>
      </c>
      <c r="FL229">
        <v>0.02</v>
      </c>
      <c r="FM229">
        <v>-63.54987073170733</v>
      </c>
      <c r="FN229">
        <v>3.54149477351917</v>
      </c>
      <c r="FO229">
        <v>0.42668222209926</v>
      </c>
      <c r="FP229">
        <v>-1</v>
      </c>
      <c r="FQ229">
        <v>7.691689268292683</v>
      </c>
      <c r="FR229">
        <v>-1.530477700348413</v>
      </c>
      <c r="FS229">
        <v>0.1509634199980689</v>
      </c>
      <c r="FT229">
        <v>-1</v>
      </c>
      <c r="FU229">
        <v>0</v>
      </c>
      <c r="FV229">
        <v>0</v>
      </c>
      <c r="FW229">
        <v>0</v>
      </c>
      <c r="FX229">
        <v>-1</v>
      </c>
      <c r="FY229">
        <v>0</v>
      </c>
      <c r="FZ229">
        <v>0</v>
      </c>
      <c r="GA229" t="s">
        <v>432</v>
      </c>
      <c r="GB229">
        <v>2.98007</v>
      </c>
      <c r="GC229">
        <v>2.70605</v>
      </c>
      <c r="GD229">
        <v>0.204899</v>
      </c>
      <c r="GE229">
        <v>0.208439</v>
      </c>
      <c r="GF229">
        <v>0.0865885</v>
      </c>
      <c r="GG229">
        <v>0.0578645</v>
      </c>
      <c r="GH229">
        <v>25087.8</v>
      </c>
      <c r="GI229">
        <v>25030.2</v>
      </c>
      <c r="GJ229">
        <v>29343.5</v>
      </c>
      <c r="GK229">
        <v>29256.5</v>
      </c>
      <c r="GL229">
        <v>35495.9</v>
      </c>
      <c r="GM229">
        <v>36710.3</v>
      </c>
      <c r="GN229">
        <v>41305.3</v>
      </c>
      <c r="GO229">
        <v>41753.3</v>
      </c>
      <c r="GP229">
        <v>1.95397</v>
      </c>
      <c r="GQ229">
        <v>1.84035</v>
      </c>
      <c r="GR229">
        <v>-0.0328198</v>
      </c>
      <c r="GS229">
        <v>0</v>
      </c>
      <c r="GT229">
        <v>25.5605</v>
      </c>
      <c r="GU229">
        <v>999.9</v>
      </c>
      <c r="GV229">
        <v>38.3</v>
      </c>
      <c r="GW229">
        <v>34</v>
      </c>
      <c r="GX229">
        <v>22.7162</v>
      </c>
      <c r="GY229">
        <v>62.4976</v>
      </c>
      <c r="GZ229">
        <v>35.1803</v>
      </c>
      <c r="HA229">
        <v>1</v>
      </c>
      <c r="HB229">
        <v>0.136494</v>
      </c>
      <c r="HC229">
        <v>2.62743</v>
      </c>
      <c r="HD229">
        <v>20.3135</v>
      </c>
      <c r="HE229">
        <v>5.21714</v>
      </c>
      <c r="HF229">
        <v>12.0099</v>
      </c>
      <c r="HG229">
        <v>4.9887</v>
      </c>
      <c r="HH229">
        <v>3.28848</v>
      </c>
      <c r="HI229">
        <v>856.4</v>
      </c>
      <c r="HJ229">
        <v>8525.1</v>
      </c>
      <c r="HK229">
        <v>5139.4</v>
      </c>
      <c r="HL229">
        <v>22.9</v>
      </c>
      <c r="HM229">
        <v>1.86752</v>
      </c>
      <c r="HN229">
        <v>1.86646</v>
      </c>
      <c r="HO229">
        <v>1.866</v>
      </c>
      <c r="HP229">
        <v>1.86588</v>
      </c>
      <c r="HQ229">
        <v>1.8677</v>
      </c>
      <c r="HR229">
        <v>1.87026</v>
      </c>
      <c r="HS229">
        <v>1.8689</v>
      </c>
      <c r="HT229">
        <v>1.87027</v>
      </c>
      <c r="HU229">
        <v>0</v>
      </c>
      <c r="HV229">
        <v>0</v>
      </c>
      <c r="HW229">
        <v>0</v>
      </c>
      <c r="HX229">
        <v>0</v>
      </c>
      <c r="HY229" t="s">
        <v>421</v>
      </c>
      <c r="HZ229" t="s">
        <v>422</v>
      </c>
      <c r="IA229" t="s">
        <v>423</v>
      </c>
      <c r="IB229" t="s">
        <v>423</v>
      </c>
      <c r="IC229" t="s">
        <v>423</v>
      </c>
      <c r="ID229" t="s">
        <v>423</v>
      </c>
      <c r="IE229">
        <v>0</v>
      </c>
      <c r="IF229">
        <v>100</v>
      </c>
      <c r="IG229">
        <v>100</v>
      </c>
      <c r="IH229">
        <v>-2.9</v>
      </c>
      <c r="II229">
        <v>0.0005</v>
      </c>
      <c r="IJ229">
        <v>-0.4995723906072</v>
      </c>
      <c r="IK229">
        <v>-0.002077099775823331</v>
      </c>
      <c r="IL229">
        <v>4.593143279902166E-07</v>
      </c>
      <c r="IM229">
        <v>-1.865383991892071E-10</v>
      </c>
      <c r="IN229">
        <v>-0.07605349583632376</v>
      </c>
      <c r="IO229">
        <v>-0.01129461987421345</v>
      </c>
      <c r="IP229">
        <v>0.00116580895745559</v>
      </c>
      <c r="IQ229">
        <v>-1.679085872906199E-05</v>
      </c>
      <c r="IR229">
        <v>2</v>
      </c>
      <c r="IS229">
        <v>2290</v>
      </c>
      <c r="IT229">
        <v>0</v>
      </c>
      <c r="IU229">
        <v>32</v>
      </c>
      <c r="IV229">
        <v>11.5</v>
      </c>
      <c r="IW229">
        <v>11.2</v>
      </c>
      <c r="IX229">
        <v>2.73071</v>
      </c>
      <c r="IY229">
        <v>2.20459</v>
      </c>
      <c r="IZ229">
        <v>1.39648</v>
      </c>
      <c r="JA229">
        <v>2.35962</v>
      </c>
      <c r="JB229">
        <v>1.49536</v>
      </c>
      <c r="JC229">
        <v>2.28394</v>
      </c>
      <c r="JD229">
        <v>38.5014</v>
      </c>
      <c r="JE229">
        <v>24.035</v>
      </c>
      <c r="JF229">
        <v>18</v>
      </c>
      <c r="JG229">
        <v>513.829</v>
      </c>
      <c r="JH229">
        <v>426.254</v>
      </c>
      <c r="JI229">
        <v>22.2085</v>
      </c>
      <c r="JJ229">
        <v>29.0761</v>
      </c>
      <c r="JK229">
        <v>30.0001</v>
      </c>
      <c r="JL229">
        <v>29.0776</v>
      </c>
      <c r="JM229">
        <v>29.0196</v>
      </c>
      <c r="JN229">
        <v>54.653</v>
      </c>
      <c r="JO229">
        <v>48.9644</v>
      </c>
      <c r="JP229">
        <v>0</v>
      </c>
      <c r="JQ229">
        <v>22.1911</v>
      </c>
      <c r="JR229">
        <v>1411</v>
      </c>
      <c r="JS229">
        <v>10.8083</v>
      </c>
      <c r="JT229">
        <v>100.306</v>
      </c>
      <c r="JU229">
        <v>100.216</v>
      </c>
    </row>
    <row r="230" spans="1:281">
      <c r="A230">
        <v>214</v>
      </c>
      <c r="B230">
        <v>1651857712.1</v>
      </c>
      <c r="C230">
        <v>711.5</v>
      </c>
      <c r="D230" t="s">
        <v>855</v>
      </c>
      <c r="E230" t="s">
        <v>856</v>
      </c>
      <c r="F230">
        <v>2</v>
      </c>
      <c r="G230" t="s">
        <v>413</v>
      </c>
      <c r="H230" t="s">
        <v>414</v>
      </c>
      <c r="I230">
        <v>1651857711.1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1406.030633450835</v>
      </c>
      <c r="AK230">
        <v>1359.725818181818</v>
      </c>
      <c r="AL230">
        <v>3.359894412335803</v>
      </c>
      <c r="AM230">
        <v>66.38384787954378</v>
      </c>
      <c r="AN230">
        <f>(AP230 - AO230 + DI230*1E3/(8.314*(DK230+273.15)) * AR230/DH230 * AQ230) * DH230/(100*CV230) * 1000/(1000 - AP230)</f>
        <v>0</v>
      </c>
      <c r="AO230">
        <v>10.55091626947383</v>
      </c>
      <c r="AP230">
        <v>18.00104352941176</v>
      </c>
      <c r="AQ230">
        <v>-8.443318850779876E-05</v>
      </c>
      <c r="AR230">
        <v>80.44866334591464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417</v>
      </c>
      <c r="AY230" t="s">
        <v>417</v>
      </c>
      <c r="AZ230">
        <v>0</v>
      </c>
      <c r="BA230">
        <v>0</v>
      </c>
      <c r="BB230">
        <f>1-AZ230/BA230</f>
        <v>0</v>
      </c>
      <c r="BC230">
        <v>0</v>
      </c>
      <c r="BD230" t="s">
        <v>417</v>
      </c>
      <c r="BE230" t="s">
        <v>417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417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1238</v>
      </c>
      <c r="CA230">
        <v>300</v>
      </c>
      <c r="CB230">
        <v>300</v>
      </c>
      <c r="CC230">
        <v>300</v>
      </c>
      <c r="CD230">
        <v>10440.5</v>
      </c>
      <c r="CE230">
        <v>1411.69</v>
      </c>
      <c r="CF230">
        <v>-0.00735121</v>
      </c>
      <c r="CG230">
        <v>-0.77</v>
      </c>
      <c r="CH230" t="s">
        <v>417</v>
      </c>
      <c r="CI230" t="s">
        <v>417</v>
      </c>
      <c r="CJ230" t="s">
        <v>417</v>
      </c>
      <c r="CK230" t="s">
        <v>417</v>
      </c>
      <c r="CL230" t="s">
        <v>417</v>
      </c>
      <c r="CM230" t="s">
        <v>417</v>
      </c>
      <c r="CN230" t="s">
        <v>417</v>
      </c>
      <c r="CO230" t="s">
        <v>417</v>
      </c>
      <c r="CP230" t="s">
        <v>417</v>
      </c>
      <c r="CQ230" t="s">
        <v>417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418</v>
      </c>
      <c r="CY230">
        <v>2</v>
      </c>
      <c r="CZ230" t="b">
        <v>1</v>
      </c>
      <c r="DA230">
        <v>1651857711.1</v>
      </c>
      <c r="DB230">
        <v>1333.586666666667</v>
      </c>
      <c r="DC230">
        <v>1397.17</v>
      </c>
      <c r="DD230">
        <v>18.0028</v>
      </c>
      <c r="DE230">
        <v>10.6276</v>
      </c>
      <c r="DF230">
        <v>1336.486666666667</v>
      </c>
      <c r="DG230">
        <v>18.00233333333334</v>
      </c>
      <c r="DH230">
        <v>500.0786666666666</v>
      </c>
      <c r="DI230">
        <v>90.08476666666667</v>
      </c>
      <c r="DJ230">
        <v>0.09965103333333332</v>
      </c>
      <c r="DK230">
        <v>25.7335</v>
      </c>
      <c r="DL230">
        <v>25.0216</v>
      </c>
      <c r="DM230">
        <v>999.9</v>
      </c>
      <c r="DN230">
        <v>0</v>
      </c>
      <c r="DO230">
        <v>0</v>
      </c>
      <c r="DP230">
        <v>10017.3</v>
      </c>
      <c r="DQ230">
        <v>0</v>
      </c>
      <c r="DR230">
        <v>3.21788</v>
      </c>
      <c r="DS230">
        <v>-63.58506666666667</v>
      </c>
      <c r="DT230">
        <v>1358.033333333333</v>
      </c>
      <c r="DU230">
        <v>1412.18</v>
      </c>
      <c r="DV230">
        <v>7.375166666666666</v>
      </c>
      <c r="DW230">
        <v>1397.17</v>
      </c>
      <c r="DX230">
        <v>10.6276</v>
      </c>
      <c r="DY230">
        <v>1.621776666666667</v>
      </c>
      <c r="DZ230">
        <v>0.9573863333333333</v>
      </c>
      <c r="EA230">
        <v>14.1673</v>
      </c>
      <c r="EB230">
        <v>6.2835</v>
      </c>
      <c r="EC230">
        <v>1499.986666666667</v>
      </c>
      <c r="ED230">
        <v>0.973007</v>
      </c>
      <c r="EE230">
        <v>0.0269931</v>
      </c>
      <c r="EF230">
        <v>0</v>
      </c>
      <c r="EG230">
        <v>939.7776666666667</v>
      </c>
      <c r="EH230">
        <v>5.00097</v>
      </c>
      <c r="EI230">
        <v>13974.4</v>
      </c>
      <c r="EJ230">
        <v>12491.5</v>
      </c>
      <c r="EK230">
        <v>37.5</v>
      </c>
      <c r="EL230">
        <v>39</v>
      </c>
      <c r="EM230">
        <v>37.875</v>
      </c>
      <c r="EN230">
        <v>38.75</v>
      </c>
      <c r="EO230">
        <v>38.375</v>
      </c>
      <c r="EP230">
        <v>1454.633333333333</v>
      </c>
      <c r="EQ230">
        <v>40.35333333333333</v>
      </c>
      <c r="ER230">
        <v>0</v>
      </c>
      <c r="ES230">
        <v>711</v>
      </c>
      <c r="ET230">
        <v>0</v>
      </c>
      <c r="EU230">
        <v>942.7506153846153</v>
      </c>
      <c r="EV230">
        <v>-26.87364102736235</v>
      </c>
      <c r="EW230">
        <v>-380.721367469849</v>
      </c>
      <c r="EX230">
        <v>14016.44230769231</v>
      </c>
      <c r="EY230">
        <v>15</v>
      </c>
      <c r="EZ230">
        <v>1651857041.1</v>
      </c>
      <c r="FA230" t="s">
        <v>419</v>
      </c>
      <c r="FB230">
        <v>1651857019.6</v>
      </c>
      <c r="FC230">
        <v>1651857041.1</v>
      </c>
      <c r="FD230">
        <v>1</v>
      </c>
      <c r="FE230">
        <v>0.545</v>
      </c>
      <c r="FF230">
        <v>-0.002</v>
      </c>
      <c r="FG230">
        <v>-1.271</v>
      </c>
      <c r="FH230">
        <v>-0.09</v>
      </c>
      <c r="FI230">
        <v>400</v>
      </c>
      <c r="FJ230">
        <v>10</v>
      </c>
      <c r="FK230">
        <v>0.1</v>
      </c>
      <c r="FL230">
        <v>0.02</v>
      </c>
      <c r="FM230">
        <v>-63.48401951219512</v>
      </c>
      <c r="FN230">
        <v>2.322539372822267</v>
      </c>
      <c r="FO230">
        <v>0.3893783990773689</v>
      </c>
      <c r="FP230">
        <v>-1</v>
      </c>
      <c r="FQ230">
        <v>7.615225609756097</v>
      </c>
      <c r="FR230">
        <v>-1.517295052264829</v>
      </c>
      <c r="FS230">
        <v>0.1496521763232554</v>
      </c>
      <c r="FT230">
        <v>-1</v>
      </c>
      <c r="FU230">
        <v>0</v>
      </c>
      <c r="FV230">
        <v>0</v>
      </c>
      <c r="FW230">
        <v>0</v>
      </c>
      <c r="FX230">
        <v>-1</v>
      </c>
      <c r="FY230">
        <v>0</v>
      </c>
      <c r="FZ230">
        <v>0</v>
      </c>
      <c r="GA230" t="s">
        <v>432</v>
      </c>
      <c r="GB230">
        <v>2.97995</v>
      </c>
      <c r="GC230">
        <v>2.70594</v>
      </c>
      <c r="GD230">
        <v>0.205526</v>
      </c>
      <c r="GE230">
        <v>0.209056</v>
      </c>
      <c r="GF230">
        <v>0.08656759999999999</v>
      </c>
      <c r="GG230">
        <v>0.0580858</v>
      </c>
      <c r="GH230">
        <v>25067.9</v>
      </c>
      <c r="GI230">
        <v>25010.7</v>
      </c>
      <c r="GJ230">
        <v>29343.4</v>
      </c>
      <c r="GK230">
        <v>29256.5</v>
      </c>
      <c r="GL230">
        <v>35496.4</v>
      </c>
      <c r="GM230">
        <v>36701.7</v>
      </c>
      <c r="GN230">
        <v>41305</v>
      </c>
      <c r="GO230">
        <v>41753.4</v>
      </c>
      <c r="GP230">
        <v>1.95378</v>
      </c>
      <c r="GQ230">
        <v>1.84083</v>
      </c>
      <c r="GR230">
        <v>-0.0330918</v>
      </c>
      <c r="GS230">
        <v>0</v>
      </c>
      <c r="GT230">
        <v>25.5605</v>
      </c>
      <c r="GU230">
        <v>999.9</v>
      </c>
      <c r="GV230">
        <v>38.3</v>
      </c>
      <c r="GW230">
        <v>34</v>
      </c>
      <c r="GX230">
        <v>22.7175</v>
      </c>
      <c r="GY230">
        <v>62.4176</v>
      </c>
      <c r="GZ230">
        <v>35.3606</v>
      </c>
      <c r="HA230">
        <v>1</v>
      </c>
      <c r="HB230">
        <v>0.136509</v>
      </c>
      <c r="HC230">
        <v>2.65311</v>
      </c>
      <c r="HD230">
        <v>20.3132</v>
      </c>
      <c r="HE230">
        <v>5.21729</v>
      </c>
      <c r="HF230">
        <v>12.0099</v>
      </c>
      <c r="HG230">
        <v>4.98855</v>
      </c>
      <c r="HH230">
        <v>3.28845</v>
      </c>
      <c r="HI230">
        <v>856.4</v>
      </c>
      <c r="HJ230">
        <v>8525.1</v>
      </c>
      <c r="HK230">
        <v>5139.4</v>
      </c>
      <c r="HL230">
        <v>22.9</v>
      </c>
      <c r="HM230">
        <v>1.86752</v>
      </c>
      <c r="HN230">
        <v>1.86647</v>
      </c>
      <c r="HO230">
        <v>1.866</v>
      </c>
      <c r="HP230">
        <v>1.86589</v>
      </c>
      <c r="HQ230">
        <v>1.86771</v>
      </c>
      <c r="HR230">
        <v>1.87026</v>
      </c>
      <c r="HS230">
        <v>1.8689</v>
      </c>
      <c r="HT230">
        <v>1.87027</v>
      </c>
      <c r="HU230">
        <v>0</v>
      </c>
      <c r="HV230">
        <v>0</v>
      </c>
      <c r="HW230">
        <v>0</v>
      </c>
      <c r="HX230">
        <v>0</v>
      </c>
      <c r="HY230" t="s">
        <v>421</v>
      </c>
      <c r="HZ230" t="s">
        <v>422</v>
      </c>
      <c r="IA230" t="s">
        <v>423</v>
      </c>
      <c r="IB230" t="s">
        <v>423</v>
      </c>
      <c r="IC230" t="s">
        <v>423</v>
      </c>
      <c r="ID230" t="s">
        <v>423</v>
      </c>
      <c r="IE230">
        <v>0</v>
      </c>
      <c r="IF230">
        <v>100</v>
      </c>
      <c r="IG230">
        <v>100</v>
      </c>
      <c r="IH230">
        <v>-2.91</v>
      </c>
      <c r="II230">
        <v>0.0005</v>
      </c>
      <c r="IJ230">
        <v>-0.4995723906072</v>
      </c>
      <c r="IK230">
        <v>-0.002077099775823331</v>
      </c>
      <c r="IL230">
        <v>4.593143279902166E-07</v>
      </c>
      <c r="IM230">
        <v>-1.865383991892071E-10</v>
      </c>
      <c r="IN230">
        <v>-0.07605349583632376</v>
      </c>
      <c r="IO230">
        <v>-0.01129461987421345</v>
      </c>
      <c r="IP230">
        <v>0.00116580895745559</v>
      </c>
      <c r="IQ230">
        <v>-1.679085872906199E-05</v>
      </c>
      <c r="IR230">
        <v>2</v>
      </c>
      <c r="IS230">
        <v>2290</v>
      </c>
      <c r="IT230">
        <v>0</v>
      </c>
      <c r="IU230">
        <v>32</v>
      </c>
      <c r="IV230">
        <v>11.5</v>
      </c>
      <c r="IW230">
        <v>11.2</v>
      </c>
      <c r="IX230">
        <v>2.7417</v>
      </c>
      <c r="IY230">
        <v>2.19849</v>
      </c>
      <c r="IZ230">
        <v>1.39648</v>
      </c>
      <c r="JA230">
        <v>2.35962</v>
      </c>
      <c r="JB230">
        <v>1.49536</v>
      </c>
      <c r="JC230">
        <v>2.35596</v>
      </c>
      <c r="JD230">
        <v>38.5014</v>
      </c>
      <c r="JE230">
        <v>24.0437</v>
      </c>
      <c r="JF230">
        <v>18</v>
      </c>
      <c r="JG230">
        <v>513.698</v>
      </c>
      <c r="JH230">
        <v>426.536</v>
      </c>
      <c r="JI230">
        <v>22.1985</v>
      </c>
      <c r="JJ230">
        <v>29.0761</v>
      </c>
      <c r="JK230">
        <v>30.0001</v>
      </c>
      <c r="JL230">
        <v>29.0776</v>
      </c>
      <c r="JM230">
        <v>29.0193</v>
      </c>
      <c r="JN230">
        <v>54.8657</v>
      </c>
      <c r="JO230">
        <v>48.6853</v>
      </c>
      <c r="JP230">
        <v>0</v>
      </c>
      <c r="JQ230">
        <v>22.1911</v>
      </c>
      <c r="JR230">
        <v>1417.83</v>
      </c>
      <c r="JS230">
        <v>10.8633</v>
      </c>
      <c r="JT230">
        <v>100.306</v>
      </c>
      <c r="JU230">
        <v>100.216</v>
      </c>
    </row>
    <row r="231" spans="1:281">
      <c r="A231">
        <v>215</v>
      </c>
      <c r="B231">
        <v>1651857714.1</v>
      </c>
      <c r="C231">
        <v>713.5</v>
      </c>
      <c r="D231" t="s">
        <v>857</v>
      </c>
      <c r="E231" t="s">
        <v>858</v>
      </c>
      <c r="F231">
        <v>2</v>
      </c>
      <c r="G231" t="s">
        <v>413</v>
      </c>
      <c r="H231" t="s">
        <v>414</v>
      </c>
      <c r="I231">
        <v>1651857712.725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1412.968210765787</v>
      </c>
      <c r="AK231">
        <v>1366.416</v>
      </c>
      <c r="AL231">
        <v>3.357991815760419</v>
      </c>
      <c r="AM231">
        <v>66.38384787954378</v>
      </c>
      <c r="AN231">
        <f>(AP231 - AO231 + DI231*1E3/(8.314*(DK231+273.15)) * AR231/DH231 * AQ231) * DH231/(100*CV231) * 1000/(1000 - AP231)</f>
        <v>0</v>
      </c>
      <c r="AO231">
        <v>10.59255523724837</v>
      </c>
      <c r="AP231">
        <v>17.99694823529412</v>
      </c>
      <c r="AQ231">
        <v>-0.000209249371049436</v>
      </c>
      <c r="AR231">
        <v>80.44866334591464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417</v>
      </c>
      <c r="AY231" t="s">
        <v>417</v>
      </c>
      <c r="AZ231">
        <v>0</v>
      </c>
      <c r="BA231">
        <v>0</v>
      </c>
      <c r="BB231">
        <f>1-AZ231/BA231</f>
        <v>0</v>
      </c>
      <c r="BC231">
        <v>0</v>
      </c>
      <c r="BD231" t="s">
        <v>417</v>
      </c>
      <c r="BE231" t="s">
        <v>417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417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1238</v>
      </c>
      <c r="CA231">
        <v>300</v>
      </c>
      <c r="CB231">
        <v>300</v>
      </c>
      <c r="CC231">
        <v>300</v>
      </c>
      <c r="CD231">
        <v>10440.5</v>
      </c>
      <c r="CE231">
        <v>1411.69</v>
      </c>
      <c r="CF231">
        <v>-0.00735121</v>
      </c>
      <c r="CG231">
        <v>-0.77</v>
      </c>
      <c r="CH231" t="s">
        <v>417</v>
      </c>
      <c r="CI231" t="s">
        <v>417</v>
      </c>
      <c r="CJ231" t="s">
        <v>417</v>
      </c>
      <c r="CK231" t="s">
        <v>417</v>
      </c>
      <c r="CL231" t="s">
        <v>417</v>
      </c>
      <c r="CM231" t="s">
        <v>417</v>
      </c>
      <c r="CN231" t="s">
        <v>417</v>
      </c>
      <c r="CO231" t="s">
        <v>417</v>
      </c>
      <c r="CP231" t="s">
        <v>417</v>
      </c>
      <c r="CQ231" t="s">
        <v>417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418</v>
      </c>
      <c r="CY231">
        <v>2</v>
      </c>
      <c r="CZ231" t="b">
        <v>1</v>
      </c>
      <c r="DA231">
        <v>1651857712.725</v>
      </c>
      <c r="DB231">
        <v>1338.945</v>
      </c>
      <c r="DC231">
        <v>1402.565</v>
      </c>
      <c r="DD231">
        <v>17.9992</v>
      </c>
      <c r="DE231">
        <v>10.67705</v>
      </c>
      <c r="DF231">
        <v>1341.8575</v>
      </c>
      <c r="DG231">
        <v>17.998775</v>
      </c>
      <c r="DH231">
        <v>500.03225</v>
      </c>
      <c r="DI231">
        <v>90.084875</v>
      </c>
      <c r="DJ231">
        <v>0.09971705</v>
      </c>
      <c r="DK231">
        <v>25.730425</v>
      </c>
      <c r="DL231">
        <v>25.0184</v>
      </c>
      <c r="DM231">
        <v>999.9</v>
      </c>
      <c r="DN231">
        <v>0</v>
      </c>
      <c r="DO231">
        <v>0</v>
      </c>
      <c r="DP231">
        <v>10012.05</v>
      </c>
      <c r="DQ231">
        <v>0</v>
      </c>
      <c r="DR231">
        <v>3.22315</v>
      </c>
      <c r="DS231">
        <v>-63.619575</v>
      </c>
      <c r="DT231">
        <v>1363.4875</v>
      </c>
      <c r="DU231">
        <v>1417.7</v>
      </c>
      <c r="DV231">
        <v>7.32214</v>
      </c>
      <c r="DW231">
        <v>1402.565</v>
      </c>
      <c r="DX231">
        <v>10.67705</v>
      </c>
      <c r="DY231">
        <v>1.6214575</v>
      </c>
      <c r="DZ231">
        <v>0.9618417499999999</v>
      </c>
      <c r="EA231">
        <v>14.16425</v>
      </c>
      <c r="EB231">
        <v>6.350797499999999</v>
      </c>
      <c r="EC231">
        <v>1500.045</v>
      </c>
      <c r="ED231">
        <v>0.9730019999999999</v>
      </c>
      <c r="EE231">
        <v>0.026998075</v>
      </c>
      <c r="EF231">
        <v>0</v>
      </c>
      <c r="EG231">
        <v>939.119</v>
      </c>
      <c r="EH231">
        <v>5.00097</v>
      </c>
      <c r="EI231">
        <v>13963.875</v>
      </c>
      <c r="EJ231">
        <v>12491.975</v>
      </c>
      <c r="EK231">
        <v>37.5</v>
      </c>
      <c r="EL231">
        <v>39</v>
      </c>
      <c r="EM231">
        <v>37.875</v>
      </c>
      <c r="EN231">
        <v>38.75</v>
      </c>
      <c r="EO231">
        <v>38.375</v>
      </c>
      <c r="EP231">
        <v>1454.6825</v>
      </c>
      <c r="EQ231">
        <v>40.3625</v>
      </c>
      <c r="ER231">
        <v>0</v>
      </c>
      <c r="ES231">
        <v>712.8000001907349</v>
      </c>
      <c r="ET231">
        <v>0</v>
      </c>
      <c r="EU231">
        <v>941.8228800000002</v>
      </c>
      <c r="EV231">
        <v>-26.9239999537924</v>
      </c>
      <c r="EW231">
        <v>-381.14615321475</v>
      </c>
      <c r="EX231">
        <v>14002.976</v>
      </c>
      <c r="EY231">
        <v>15</v>
      </c>
      <c r="EZ231">
        <v>1651857041.1</v>
      </c>
      <c r="FA231" t="s">
        <v>419</v>
      </c>
      <c r="FB231">
        <v>1651857019.6</v>
      </c>
      <c r="FC231">
        <v>1651857041.1</v>
      </c>
      <c r="FD231">
        <v>1</v>
      </c>
      <c r="FE231">
        <v>0.545</v>
      </c>
      <c r="FF231">
        <v>-0.002</v>
      </c>
      <c r="FG231">
        <v>-1.271</v>
      </c>
      <c r="FH231">
        <v>-0.09</v>
      </c>
      <c r="FI231">
        <v>400</v>
      </c>
      <c r="FJ231">
        <v>10</v>
      </c>
      <c r="FK231">
        <v>0.1</v>
      </c>
      <c r="FL231">
        <v>0.02</v>
      </c>
      <c r="FM231">
        <v>-63.47446585365853</v>
      </c>
      <c r="FN231">
        <v>1.906147735191509</v>
      </c>
      <c r="FO231">
        <v>0.3834386214180869</v>
      </c>
      <c r="FP231">
        <v>-1</v>
      </c>
      <c r="FQ231">
        <v>7.589328292682927</v>
      </c>
      <c r="FR231">
        <v>-1.516873797909393</v>
      </c>
      <c r="FS231">
        <v>0.1496097788134093</v>
      </c>
      <c r="FT231">
        <v>-1</v>
      </c>
      <c r="FU231">
        <v>0</v>
      </c>
      <c r="FV231">
        <v>0</v>
      </c>
      <c r="FW231">
        <v>0</v>
      </c>
      <c r="FX231">
        <v>-1</v>
      </c>
      <c r="FY231">
        <v>0</v>
      </c>
      <c r="FZ231">
        <v>0</v>
      </c>
      <c r="GA231" t="s">
        <v>432</v>
      </c>
      <c r="GB231">
        <v>2.98</v>
      </c>
      <c r="GC231">
        <v>2.70607</v>
      </c>
      <c r="GD231">
        <v>0.206145</v>
      </c>
      <c r="GE231">
        <v>0.209663</v>
      </c>
      <c r="GF231">
        <v>0.0865592</v>
      </c>
      <c r="GG231">
        <v>0.0583955</v>
      </c>
      <c r="GH231">
        <v>25048.3</v>
      </c>
      <c r="GI231">
        <v>24991.7</v>
      </c>
      <c r="GJ231">
        <v>29343.4</v>
      </c>
      <c r="GK231">
        <v>29256.8</v>
      </c>
      <c r="GL231">
        <v>35496.7</v>
      </c>
      <c r="GM231">
        <v>36689.8</v>
      </c>
      <c r="GN231">
        <v>41304.9</v>
      </c>
      <c r="GO231">
        <v>41753.7</v>
      </c>
      <c r="GP231">
        <v>1.95368</v>
      </c>
      <c r="GQ231">
        <v>1.84088</v>
      </c>
      <c r="GR231">
        <v>-0.0329912</v>
      </c>
      <c r="GS231">
        <v>0</v>
      </c>
      <c r="GT231">
        <v>25.5605</v>
      </c>
      <c r="GU231">
        <v>999.9</v>
      </c>
      <c r="GV231">
        <v>38.3</v>
      </c>
      <c r="GW231">
        <v>34</v>
      </c>
      <c r="GX231">
        <v>22.7173</v>
      </c>
      <c r="GY231">
        <v>62.5176</v>
      </c>
      <c r="GZ231">
        <v>35.016</v>
      </c>
      <c r="HA231">
        <v>1</v>
      </c>
      <c r="HB231">
        <v>0.136715</v>
      </c>
      <c r="HC231">
        <v>2.6316</v>
      </c>
      <c r="HD231">
        <v>20.3135</v>
      </c>
      <c r="HE231">
        <v>5.21789</v>
      </c>
      <c r="HF231">
        <v>12.0099</v>
      </c>
      <c r="HG231">
        <v>4.9887</v>
      </c>
      <c r="HH231">
        <v>3.28855</v>
      </c>
      <c r="HI231">
        <v>856.4</v>
      </c>
      <c r="HJ231">
        <v>8525.1</v>
      </c>
      <c r="HK231">
        <v>5139.4</v>
      </c>
      <c r="HL231">
        <v>22.9</v>
      </c>
      <c r="HM231">
        <v>1.86751</v>
      </c>
      <c r="HN231">
        <v>1.86647</v>
      </c>
      <c r="HO231">
        <v>1.866</v>
      </c>
      <c r="HP231">
        <v>1.86588</v>
      </c>
      <c r="HQ231">
        <v>1.86771</v>
      </c>
      <c r="HR231">
        <v>1.87026</v>
      </c>
      <c r="HS231">
        <v>1.8689</v>
      </c>
      <c r="HT231">
        <v>1.87027</v>
      </c>
      <c r="HU231">
        <v>0</v>
      </c>
      <c r="HV231">
        <v>0</v>
      </c>
      <c r="HW231">
        <v>0</v>
      </c>
      <c r="HX231">
        <v>0</v>
      </c>
      <c r="HY231" t="s">
        <v>421</v>
      </c>
      <c r="HZ231" t="s">
        <v>422</v>
      </c>
      <c r="IA231" t="s">
        <v>423</v>
      </c>
      <c r="IB231" t="s">
        <v>423</v>
      </c>
      <c r="IC231" t="s">
        <v>423</v>
      </c>
      <c r="ID231" t="s">
        <v>423</v>
      </c>
      <c r="IE231">
        <v>0</v>
      </c>
      <c r="IF231">
        <v>100</v>
      </c>
      <c r="IG231">
        <v>100</v>
      </c>
      <c r="IH231">
        <v>-2.92</v>
      </c>
      <c r="II231">
        <v>0.0004</v>
      </c>
      <c r="IJ231">
        <v>-0.4995723906072</v>
      </c>
      <c r="IK231">
        <v>-0.002077099775823331</v>
      </c>
      <c r="IL231">
        <v>4.593143279902166E-07</v>
      </c>
      <c r="IM231">
        <v>-1.865383991892071E-10</v>
      </c>
      <c r="IN231">
        <v>-0.07605349583632376</v>
      </c>
      <c r="IO231">
        <v>-0.01129461987421345</v>
      </c>
      <c r="IP231">
        <v>0.00116580895745559</v>
      </c>
      <c r="IQ231">
        <v>-1.679085872906199E-05</v>
      </c>
      <c r="IR231">
        <v>2</v>
      </c>
      <c r="IS231">
        <v>2290</v>
      </c>
      <c r="IT231">
        <v>0</v>
      </c>
      <c r="IU231">
        <v>32</v>
      </c>
      <c r="IV231">
        <v>11.6</v>
      </c>
      <c r="IW231">
        <v>11.2</v>
      </c>
      <c r="IX231">
        <v>2.75269</v>
      </c>
      <c r="IY231">
        <v>2.19971</v>
      </c>
      <c r="IZ231">
        <v>1.39648</v>
      </c>
      <c r="JA231">
        <v>2.35962</v>
      </c>
      <c r="JB231">
        <v>1.49536</v>
      </c>
      <c r="JC231">
        <v>2.29248</v>
      </c>
      <c r="JD231">
        <v>38.5014</v>
      </c>
      <c r="JE231">
        <v>24.035</v>
      </c>
      <c r="JF231">
        <v>18</v>
      </c>
      <c r="JG231">
        <v>513.6319999999999</v>
      </c>
      <c r="JH231">
        <v>426.566</v>
      </c>
      <c r="JI231">
        <v>22.1876</v>
      </c>
      <c r="JJ231">
        <v>29.0761</v>
      </c>
      <c r="JK231">
        <v>30.0001</v>
      </c>
      <c r="JL231">
        <v>29.0776</v>
      </c>
      <c r="JM231">
        <v>29.0193</v>
      </c>
      <c r="JN231">
        <v>55.0823</v>
      </c>
      <c r="JO231">
        <v>48.6853</v>
      </c>
      <c r="JP231">
        <v>0</v>
      </c>
      <c r="JQ231">
        <v>22.1702</v>
      </c>
      <c r="JR231">
        <v>1424.51</v>
      </c>
      <c r="JS231">
        <v>10.9114</v>
      </c>
      <c r="JT231">
        <v>100.306</v>
      </c>
      <c r="JU231">
        <v>100.217</v>
      </c>
    </row>
    <row r="232" spans="1:281">
      <c r="A232">
        <v>216</v>
      </c>
      <c r="B232">
        <v>1651857716.1</v>
      </c>
      <c r="C232">
        <v>715.5</v>
      </c>
      <c r="D232" t="s">
        <v>859</v>
      </c>
      <c r="E232" t="s">
        <v>860</v>
      </c>
      <c r="F232">
        <v>2</v>
      </c>
      <c r="G232" t="s">
        <v>413</v>
      </c>
      <c r="H232" t="s">
        <v>414</v>
      </c>
      <c r="I232">
        <v>1651857715.1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1419.740510070977</v>
      </c>
      <c r="AK232">
        <v>1373.105151515151</v>
      </c>
      <c r="AL232">
        <v>3.346547984219567</v>
      </c>
      <c r="AM232">
        <v>66.38384787954378</v>
      </c>
      <c r="AN232">
        <f>(AP232 - AO232 + DI232*1E3/(8.314*(DK232+273.15)) * AR232/DH232 * AQ232) * DH232/(100*CV232) * 1000/(1000 - AP232)</f>
        <v>0</v>
      </c>
      <c r="AO232">
        <v>10.6409613434502</v>
      </c>
      <c r="AP232">
        <v>17.99737705882353</v>
      </c>
      <c r="AQ232">
        <v>-0.000276361948790198</v>
      </c>
      <c r="AR232">
        <v>80.44866334591464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417</v>
      </c>
      <c r="AY232" t="s">
        <v>417</v>
      </c>
      <c r="AZ232">
        <v>0</v>
      </c>
      <c r="BA232">
        <v>0</v>
      </c>
      <c r="BB232">
        <f>1-AZ232/BA232</f>
        <v>0</v>
      </c>
      <c r="BC232">
        <v>0</v>
      </c>
      <c r="BD232" t="s">
        <v>417</v>
      </c>
      <c r="BE232" t="s">
        <v>417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417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1238</v>
      </c>
      <c r="CA232">
        <v>300</v>
      </c>
      <c r="CB232">
        <v>300</v>
      </c>
      <c r="CC232">
        <v>300</v>
      </c>
      <c r="CD232">
        <v>10440.5</v>
      </c>
      <c r="CE232">
        <v>1411.69</v>
      </c>
      <c r="CF232">
        <v>-0.00735121</v>
      </c>
      <c r="CG232">
        <v>-0.77</v>
      </c>
      <c r="CH232" t="s">
        <v>417</v>
      </c>
      <c r="CI232" t="s">
        <v>417</v>
      </c>
      <c r="CJ232" t="s">
        <v>417</v>
      </c>
      <c r="CK232" t="s">
        <v>417</v>
      </c>
      <c r="CL232" t="s">
        <v>417</v>
      </c>
      <c r="CM232" t="s">
        <v>417</v>
      </c>
      <c r="CN232" t="s">
        <v>417</v>
      </c>
      <c r="CO232" t="s">
        <v>417</v>
      </c>
      <c r="CP232" t="s">
        <v>417</v>
      </c>
      <c r="CQ232" t="s">
        <v>417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418</v>
      </c>
      <c r="CY232">
        <v>2</v>
      </c>
      <c r="CZ232" t="b">
        <v>1</v>
      </c>
      <c r="DA232">
        <v>1651857715.1</v>
      </c>
      <c r="DB232">
        <v>1346.743333333333</v>
      </c>
      <c r="DC232">
        <v>1410.5</v>
      </c>
      <c r="DD232">
        <v>17.99743333333333</v>
      </c>
      <c r="DE232">
        <v>10.76766666666667</v>
      </c>
      <c r="DF232">
        <v>1349.67</v>
      </c>
      <c r="DG232">
        <v>17.99703333333333</v>
      </c>
      <c r="DH232">
        <v>499.9803333333334</v>
      </c>
      <c r="DI232">
        <v>90.08363333333334</v>
      </c>
      <c r="DJ232">
        <v>0.1001273333333333</v>
      </c>
      <c r="DK232">
        <v>25.7286</v>
      </c>
      <c r="DL232">
        <v>25.0199</v>
      </c>
      <c r="DM232">
        <v>999.9</v>
      </c>
      <c r="DN232">
        <v>0</v>
      </c>
      <c r="DO232">
        <v>0</v>
      </c>
      <c r="DP232">
        <v>9984.373333333335</v>
      </c>
      <c r="DQ232">
        <v>0</v>
      </c>
      <c r="DR232">
        <v>3.224906666666667</v>
      </c>
      <c r="DS232">
        <v>-63.75366666666667</v>
      </c>
      <c r="DT232">
        <v>1371.426666666667</v>
      </c>
      <c r="DU232">
        <v>1425.85</v>
      </c>
      <c r="DV232">
        <v>7.229769999999999</v>
      </c>
      <c r="DW232">
        <v>1410.5</v>
      </c>
      <c r="DX232">
        <v>10.76766666666667</v>
      </c>
      <c r="DY232">
        <v>1.621273333333333</v>
      </c>
      <c r="DZ232">
        <v>0.9699909999999999</v>
      </c>
      <c r="EA232">
        <v>14.16253333333333</v>
      </c>
      <c r="EB232">
        <v>6.473243333333333</v>
      </c>
      <c r="EC232">
        <v>1499.996666666667</v>
      </c>
      <c r="ED232">
        <v>0.973002</v>
      </c>
      <c r="EE232">
        <v>0.02699806666666666</v>
      </c>
      <c r="EF232">
        <v>0</v>
      </c>
      <c r="EG232">
        <v>937.9143333333333</v>
      </c>
      <c r="EH232">
        <v>5.00097</v>
      </c>
      <c r="EI232">
        <v>13949.43333333333</v>
      </c>
      <c r="EJ232">
        <v>12491.56666666667</v>
      </c>
      <c r="EK232">
        <v>37.5</v>
      </c>
      <c r="EL232">
        <v>39</v>
      </c>
      <c r="EM232">
        <v>37.875</v>
      </c>
      <c r="EN232">
        <v>38.75</v>
      </c>
      <c r="EO232">
        <v>38.375</v>
      </c>
      <c r="EP232">
        <v>1454.636666666667</v>
      </c>
      <c r="EQ232">
        <v>40.36000000000001</v>
      </c>
      <c r="ER232">
        <v>0</v>
      </c>
      <c r="ES232">
        <v>715.2000000476837</v>
      </c>
      <c r="ET232">
        <v>0</v>
      </c>
      <c r="EU232">
        <v>940.72208</v>
      </c>
      <c r="EV232">
        <v>-27.9104615702964</v>
      </c>
      <c r="EW232">
        <v>-384.6769236396003</v>
      </c>
      <c r="EX232">
        <v>13987.916</v>
      </c>
      <c r="EY232">
        <v>15</v>
      </c>
      <c r="EZ232">
        <v>1651857041.1</v>
      </c>
      <c r="FA232" t="s">
        <v>419</v>
      </c>
      <c r="FB232">
        <v>1651857019.6</v>
      </c>
      <c r="FC232">
        <v>1651857041.1</v>
      </c>
      <c r="FD232">
        <v>1</v>
      </c>
      <c r="FE232">
        <v>0.545</v>
      </c>
      <c r="FF232">
        <v>-0.002</v>
      </c>
      <c r="FG232">
        <v>-1.271</v>
      </c>
      <c r="FH232">
        <v>-0.09</v>
      </c>
      <c r="FI232">
        <v>400</v>
      </c>
      <c r="FJ232">
        <v>10</v>
      </c>
      <c r="FK232">
        <v>0.1</v>
      </c>
      <c r="FL232">
        <v>0.02</v>
      </c>
      <c r="FM232">
        <v>-63.44974390243902</v>
      </c>
      <c r="FN232">
        <v>0.2879184668990551</v>
      </c>
      <c r="FO232">
        <v>0.3622208005022325</v>
      </c>
      <c r="FP232">
        <v>-1</v>
      </c>
      <c r="FQ232">
        <v>7.50895487804878</v>
      </c>
      <c r="FR232">
        <v>-1.596569268292691</v>
      </c>
      <c r="FS232">
        <v>0.1577656661792582</v>
      </c>
      <c r="FT232">
        <v>-1</v>
      </c>
      <c r="FU232">
        <v>0</v>
      </c>
      <c r="FV232">
        <v>0</v>
      </c>
      <c r="FW232">
        <v>0</v>
      </c>
      <c r="FX232">
        <v>-1</v>
      </c>
      <c r="FY232">
        <v>0</v>
      </c>
      <c r="FZ232">
        <v>0</v>
      </c>
      <c r="GA232" t="s">
        <v>432</v>
      </c>
      <c r="GB232">
        <v>2.97999</v>
      </c>
      <c r="GC232">
        <v>2.70619</v>
      </c>
      <c r="GD232">
        <v>0.206768</v>
      </c>
      <c r="GE232">
        <v>0.210286</v>
      </c>
      <c r="GF232">
        <v>0.08656170000000001</v>
      </c>
      <c r="GG232">
        <v>0.0586764</v>
      </c>
      <c r="GH232">
        <v>25028.4</v>
      </c>
      <c r="GI232">
        <v>24972</v>
      </c>
      <c r="GJ232">
        <v>29343</v>
      </c>
      <c r="GK232">
        <v>29256.8</v>
      </c>
      <c r="GL232">
        <v>35496.3</v>
      </c>
      <c r="GM232">
        <v>36678.9</v>
      </c>
      <c r="GN232">
        <v>41304.5</v>
      </c>
      <c r="GO232">
        <v>41753.7</v>
      </c>
      <c r="GP232">
        <v>1.95373</v>
      </c>
      <c r="GQ232">
        <v>1.8407</v>
      </c>
      <c r="GR232">
        <v>-0.0327975</v>
      </c>
      <c r="GS232">
        <v>0</v>
      </c>
      <c r="GT232">
        <v>25.5608</v>
      </c>
      <c r="GU232">
        <v>999.9</v>
      </c>
      <c r="GV232">
        <v>38.3</v>
      </c>
      <c r="GW232">
        <v>34</v>
      </c>
      <c r="GX232">
        <v>22.718</v>
      </c>
      <c r="GY232">
        <v>62.6176</v>
      </c>
      <c r="GZ232">
        <v>35.4327</v>
      </c>
      <c r="HA232">
        <v>1</v>
      </c>
      <c r="HB232">
        <v>0.136408</v>
      </c>
      <c r="HC232">
        <v>2.64419</v>
      </c>
      <c r="HD232">
        <v>20.3134</v>
      </c>
      <c r="HE232">
        <v>5.21759</v>
      </c>
      <c r="HF232">
        <v>12.0099</v>
      </c>
      <c r="HG232">
        <v>4.98875</v>
      </c>
      <c r="HH232">
        <v>3.28858</v>
      </c>
      <c r="HI232">
        <v>856.4</v>
      </c>
      <c r="HJ232">
        <v>8525.1</v>
      </c>
      <c r="HK232">
        <v>5139.4</v>
      </c>
      <c r="HL232">
        <v>22.9</v>
      </c>
      <c r="HM232">
        <v>1.8675</v>
      </c>
      <c r="HN232">
        <v>1.86647</v>
      </c>
      <c r="HO232">
        <v>1.866</v>
      </c>
      <c r="HP232">
        <v>1.86587</v>
      </c>
      <c r="HQ232">
        <v>1.86772</v>
      </c>
      <c r="HR232">
        <v>1.87026</v>
      </c>
      <c r="HS232">
        <v>1.8689</v>
      </c>
      <c r="HT232">
        <v>1.87027</v>
      </c>
      <c r="HU232">
        <v>0</v>
      </c>
      <c r="HV232">
        <v>0</v>
      </c>
      <c r="HW232">
        <v>0</v>
      </c>
      <c r="HX232">
        <v>0</v>
      </c>
      <c r="HY232" t="s">
        <v>421</v>
      </c>
      <c r="HZ232" t="s">
        <v>422</v>
      </c>
      <c r="IA232" t="s">
        <v>423</v>
      </c>
      <c r="IB232" t="s">
        <v>423</v>
      </c>
      <c r="IC232" t="s">
        <v>423</v>
      </c>
      <c r="ID232" t="s">
        <v>423</v>
      </c>
      <c r="IE232">
        <v>0</v>
      </c>
      <c r="IF232">
        <v>100</v>
      </c>
      <c r="IG232">
        <v>100</v>
      </c>
      <c r="IH232">
        <v>-2.94</v>
      </c>
      <c r="II232">
        <v>0.0004</v>
      </c>
      <c r="IJ232">
        <v>-0.4995723906072</v>
      </c>
      <c r="IK232">
        <v>-0.002077099775823331</v>
      </c>
      <c r="IL232">
        <v>4.593143279902166E-07</v>
      </c>
      <c r="IM232">
        <v>-1.865383991892071E-10</v>
      </c>
      <c r="IN232">
        <v>-0.07605349583632376</v>
      </c>
      <c r="IO232">
        <v>-0.01129461987421345</v>
      </c>
      <c r="IP232">
        <v>0.00116580895745559</v>
      </c>
      <c r="IQ232">
        <v>-1.679085872906199E-05</v>
      </c>
      <c r="IR232">
        <v>2</v>
      </c>
      <c r="IS232">
        <v>2290</v>
      </c>
      <c r="IT232">
        <v>0</v>
      </c>
      <c r="IU232">
        <v>32</v>
      </c>
      <c r="IV232">
        <v>11.6</v>
      </c>
      <c r="IW232">
        <v>11.2</v>
      </c>
      <c r="IX232">
        <v>2.76367</v>
      </c>
      <c r="IY232">
        <v>2.19849</v>
      </c>
      <c r="IZ232">
        <v>1.39648</v>
      </c>
      <c r="JA232">
        <v>2.3584</v>
      </c>
      <c r="JB232">
        <v>1.49536</v>
      </c>
      <c r="JC232">
        <v>2.34375</v>
      </c>
      <c r="JD232">
        <v>38.5014</v>
      </c>
      <c r="JE232">
        <v>24.035</v>
      </c>
      <c r="JF232">
        <v>18</v>
      </c>
      <c r="JG232">
        <v>513.6660000000001</v>
      </c>
      <c r="JH232">
        <v>426.461</v>
      </c>
      <c r="JI232">
        <v>22.1787</v>
      </c>
      <c r="JJ232">
        <v>29.0761</v>
      </c>
      <c r="JK232">
        <v>30</v>
      </c>
      <c r="JL232">
        <v>29.0776</v>
      </c>
      <c r="JM232">
        <v>29.0193</v>
      </c>
      <c r="JN232">
        <v>55.2881</v>
      </c>
      <c r="JO232">
        <v>48.3974</v>
      </c>
      <c r="JP232">
        <v>0</v>
      </c>
      <c r="JQ232">
        <v>22.1702</v>
      </c>
      <c r="JR232">
        <v>1431.19</v>
      </c>
      <c r="JS232">
        <v>10.9584</v>
      </c>
      <c r="JT232">
        <v>100.305</v>
      </c>
      <c r="JU232">
        <v>100.217</v>
      </c>
    </row>
    <row r="233" spans="1:281">
      <c r="A233">
        <v>217</v>
      </c>
      <c r="B233">
        <v>1651857718.1</v>
      </c>
      <c r="C233">
        <v>717.5</v>
      </c>
      <c r="D233" t="s">
        <v>861</v>
      </c>
      <c r="E233" t="s">
        <v>862</v>
      </c>
      <c r="F233">
        <v>2</v>
      </c>
      <c r="G233" t="s">
        <v>413</v>
      </c>
      <c r="H233" t="s">
        <v>414</v>
      </c>
      <c r="I233">
        <v>1651857716.725</v>
      </c>
      <c r="J233">
        <f>(K233)/1000</f>
        <v>0</v>
      </c>
      <c r="K233">
        <f>IF(CZ233, AN233, AH233)</f>
        <v>0</v>
      </c>
      <c r="L233">
        <f>IF(CZ233, AI233, AG233)</f>
        <v>0</v>
      </c>
      <c r="M233">
        <f>DB233 - IF(AU233&gt;1, L233*CV233*100.0/(AW233*DP233), 0)</f>
        <v>0</v>
      </c>
      <c r="N233">
        <f>((T233-J233/2)*M233-L233)/(T233+J233/2)</f>
        <v>0</v>
      </c>
      <c r="O233">
        <f>N233*(DI233+DJ233)/1000.0</f>
        <v>0</v>
      </c>
      <c r="P233">
        <f>(DB233 - IF(AU233&gt;1, L233*CV233*100.0/(AW233*DP233), 0))*(DI233+DJ233)/1000.0</f>
        <v>0</v>
      </c>
      <c r="Q233">
        <f>2.0/((1/S233-1/R233)+SIGN(S233)*SQRT((1/S233-1/R233)*(1/S233-1/R233) + 4*CW233/((CW233+1)*(CW233+1))*(2*1/S233*1/R233-1/R233*1/R233)))</f>
        <v>0</v>
      </c>
      <c r="R233">
        <f>IF(LEFT(CX233,1)&lt;&gt;"0",IF(LEFT(CX233,1)="1",3.0,CY233),$D$5+$E$5*(DP233*DI233/($K$5*1000))+$F$5*(DP233*DI233/($K$5*1000))*MAX(MIN(CV233,$J$5),$I$5)*MAX(MIN(CV233,$J$5),$I$5)+$G$5*MAX(MIN(CV233,$J$5),$I$5)*(DP233*DI233/($K$5*1000))+$H$5*(DP233*DI233/($K$5*1000))*(DP233*DI233/($K$5*1000)))</f>
        <v>0</v>
      </c>
      <c r="S233">
        <f>J233*(1000-(1000*0.61365*exp(17.502*W233/(240.97+W233))/(DI233+DJ233)+DD233)/2)/(1000*0.61365*exp(17.502*W233/(240.97+W233))/(DI233+DJ233)-DD233)</f>
        <v>0</v>
      </c>
      <c r="T233">
        <f>1/((CW233+1)/(Q233/1.6)+1/(R233/1.37)) + CW233/((CW233+1)/(Q233/1.6) + CW233/(R233/1.37))</f>
        <v>0</v>
      </c>
      <c r="U233">
        <f>(CR233*CU233)</f>
        <v>0</v>
      </c>
      <c r="V233">
        <f>(DK233+(U233+2*0.95*5.67E-8*(((DK233+$B$7)+273)^4-(DK233+273)^4)-44100*J233)/(1.84*29.3*R233+8*0.95*5.67E-8*(DK233+273)^3))</f>
        <v>0</v>
      </c>
      <c r="W233">
        <f>($C$7*DL233+$D$7*DM233+$E$7*V233)</f>
        <v>0</v>
      </c>
      <c r="X233">
        <f>0.61365*exp(17.502*W233/(240.97+W233))</f>
        <v>0</v>
      </c>
      <c r="Y233">
        <f>(Z233/AA233*100)</f>
        <v>0</v>
      </c>
      <c r="Z233">
        <f>DD233*(DI233+DJ233)/1000</f>
        <v>0</v>
      </c>
      <c r="AA233">
        <f>0.61365*exp(17.502*DK233/(240.97+DK233))</f>
        <v>0</v>
      </c>
      <c r="AB233">
        <f>(X233-DD233*(DI233+DJ233)/1000)</f>
        <v>0</v>
      </c>
      <c r="AC233">
        <f>(-J233*44100)</f>
        <v>0</v>
      </c>
      <c r="AD233">
        <f>2*29.3*R233*0.92*(DK233-W233)</f>
        <v>0</v>
      </c>
      <c r="AE233">
        <f>2*0.95*5.67E-8*(((DK233+$B$7)+273)^4-(W233+273)^4)</f>
        <v>0</v>
      </c>
      <c r="AF233">
        <f>U233+AE233+AC233+AD233</f>
        <v>0</v>
      </c>
      <c r="AG233">
        <f>DH233*AU233*(DC233-DB233*(1000-AU233*DE233)/(1000-AU233*DD233))/(100*CV233)</f>
        <v>0</v>
      </c>
      <c r="AH233">
        <f>1000*DH233*AU233*(DD233-DE233)/(100*CV233*(1000-AU233*DD233))</f>
        <v>0</v>
      </c>
      <c r="AI233">
        <f>(AJ233 - AK233 - DI233*1E3/(8.314*(DK233+273.15)) * AM233/DH233 * AL233) * DH233/(100*CV233) * (1000 - DE233)/1000</f>
        <v>0</v>
      </c>
      <c r="AJ233">
        <v>1426.655343105404</v>
      </c>
      <c r="AK233">
        <v>1379.921878787879</v>
      </c>
      <c r="AL233">
        <v>3.389044538646699</v>
      </c>
      <c r="AM233">
        <v>66.38384787954378</v>
      </c>
      <c r="AN233">
        <f>(AP233 - AO233 + DI233*1E3/(8.314*(DK233+273.15)) * AR233/DH233 * AQ233) * DH233/(100*CV233) * 1000/(1000 - AP233)</f>
        <v>0</v>
      </c>
      <c r="AO233">
        <v>10.7109465834358</v>
      </c>
      <c r="AP233">
        <v>18.00043470588236</v>
      </c>
      <c r="AQ233">
        <v>-0.000183810202558591</v>
      </c>
      <c r="AR233">
        <v>80.44866334591464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MAX(0,($B$13+$C$13*DP233)/(1+$D$13*DP233)*DI233/(DK233+273)*$E$13)</f>
        <v>0</v>
      </c>
      <c r="AX233" t="s">
        <v>417</v>
      </c>
      <c r="AY233" t="s">
        <v>417</v>
      </c>
      <c r="AZ233">
        <v>0</v>
      </c>
      <c r="BA233">
        <v>0</v>
      </c>
      <c r="BB233">
        <f>1-AZ233/BA233</f>
        <v>0</v>
      </c>
      <c r="BC233">
        <v>0</v>
      </c>
      <c r="BD233" t="s">
        <v>417</v>
      </c>
      <c r="BE233" t="s">
        <v>417</v>
      </c>
      <c r="BF233">
        <v>0</v>
      </c>
      <c r="BG233">
        <v>0</v>
      </c>
      <c r="BH233">
        <f>1-BF233/BG233</f>
        <v>0</v>
      </c>
      <c r="BI233">
        <v>0.5</v>
      </c>
      <c r="BJ233">
        <f>CS233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417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1238</v>
      </c>
      <c r="CA233">
        <v>300</v>
      </c>
      <c r="CB233">
        <v>300</v>
      </c>
      <c r="CC233">
        <v>300</v>
      </c>
      <c r="CD233">
        <v>10440.5</v>
      </c>
      <c r="CE233">
        <v>1411.69</v>
      </c>
      <c r="CF233">
        <v>-0.00735121</v>
      </c>
      <c r="CG233">
        <v>-0.77</v>
      </c>
      <c r="CH233" t="s">
        <v>417</v>
      </c>
      <c r="CI233" t="s">
        <v>417</v>
      </c>
      <c r="CJ233" t="s">
        <v>417</v>
      </c>
      <c r="CK233" t="s">
        <v>417</v>
      </c>
      <c r="CL233" t="s">
        <v>417</v>
      </c>
      <c r="CM233" t="s">
        <v>417</v>
      </c>
      <c r="CN233" t="s">
        <v>417</v>
      </c>
      <c r="CO233" t="s">
        <v>417</v>
      </c>
      <c r="CP233" t="s">
        <v>417</v>
      </c>
      <c r="CQ233" t="s">
        <v>417</v>
      </c>
      <c r="CR233">
        <f>$B$11*DQ233+$C$11*DR233+$F$11*EC233*(1-EF233)</f>
        <v>0</v>
      </c>
      <c r="CS233">
        <f>CR233*CT233</f>
        <v>0</v>
      </c>
      <c r="CT233">
        <f>($B$11*$D$9+$C$11*$D$9+$F$11*((EP233+EH233)/MAX(EP233+EH233+EQ233, 0.1)*$I$9+EQ233/MAX(EP233+EH233+EQ233, 0.1)*$J$9))/($B$11+$C$11+$F$11)</f>
        <v>0</v>
      </c>
      <c r="CU233">
        <f>($B$11*$K$9+$C$11*$K$9+$F$11*((EP233+EH233)/MAX(EP233+EH233+EQ233, 0.1)*$P$9+EQ233/MAX(EP233+EH233+EQ233, 0.1)*$Q$9))/($B$11+$C$11+$F$11)</f>
        <v>0</v>
      </c>
      <c r="CV233">
        <v>6</v>
      </c>
      <c r="CW233">
        <v>0.5</v>
      </c>
      <c r="CX233" t="s">
        <v>418</v>
      </c>
      <c r="CY233">
        <v>2</v>
      </c>
      <c r="CZ233" t="b">
        <v>1</v>
      </c>
      <c r="DA233">
        <v>1651857716.725</v>
      </c>
      <c r="DB233">
        <v>1352.155</v>
      </c>
      <c r="DC233">
        <v>1416.2125</v>
      </c>
      <c r="DD233">
        <v>17.999</v>
      </c>
      <c r="DE233">
        <v>10.81295</v>
      </c>
      <c r="DF233">
        <v>1355.09</v>
      </c>
      <c r="DG233">
        <v>17.99855</v>
      </c>
      <c r="DH233">
        <v>500.02475</v>
      </c>
      <c r="DI233">
        <v>90.0821</v>
      </c>
      <c r="DJ233">
        <v>0.100081475</v>
      </c>
      <c r="DK233">
        <v>25.73015</v>
      </c>
      <c r="DL233">
        <v>25.024075</v>
      </c>
      <c r="DM233">
        <v>999.9</v>
      </c>
      <c r="DN233">
        <v>0</v>
      </c>
      <c r="DO233">
        <v>0</v>
      </c>
      <c r="DP233">
        <v>9990.1675</v>
      </c>
      <c r="DQ233">
        <v>0</v>
      </c>
      <c r="DR233">
        <v>3.21788</v>
      </c>
      <c r="DS233">
        <v>-64.05605</v>
      </c>
      <c r="DT233">
        <v>1376.9375</v>
      </c>
      <c r="DU233">
        <v>1431.6925</v>
      </c>
      <c r="DV233">
        <v>7.1860275</v>
      </c>
      <c r="DW233">
        <v>1416.2125</v>
      </c>
      <c r="DX233">
        <v>10.81295</v>
      </c>
      <c r="DY233">
        <v>1.621385</v>
      </c>
      <c r="DZ233">
        <v>0.974054</v>
      </c>
      <c r="EA233">
        <v>14.163575</v>
      </c>
      <c r="EB233">
        <v>6.533935</v>
      </c>
      <c r="EC233">
        <v>1500.025</v>
      </c>
      <c r="ED233">
        <v>0.9730095</v>
      </c>
      <c r="EE233">
        <v>0.0269904</v>
      </c>
      <c r="EF233">
        <v>0</v>
      </c>
      <c r="EG233">
        <v>937.3135</v>
      </c>
      <c r="EH233">
        <v>5.00097</v>
      </c>
      <c r="EI233">
        <v>13938.9</v>
      </c>
      <c r="EJ233">
        <v>12491.85</v>
      </c>
      <c r="EK233">
        <v>37.5</v>
      </c>
      <c r="EL233">
        <v>39</v>
      </c>
      <c r="EM233">
        <v>37.875</v>
      </c>
      <c r="EN233">
        <v>38.75</v>
      </c>
      <c r="EO233">
        <v>38.375</v>
      </c>
      <c r="EP233">
        <v>1454.675</v>
      </c>
      <c r="EQ233">
        <v>40.35</v>
      </c>
      <c r="ER233">
        <v>0</v>
      </c>
      <c r="ES233">
        <v>717</v>
      </c>
      <c r="ET233">
        <v>0</v>
      </c>
      <c r="EU233">
        <v>940.0283076923076</v>
      </c>
      <c r="EV233">
        <v>-27.0792478587803</v>
      </c>
      <c r="EW233">
        <v>-382.5572649238754</v>
      </c>
      <c r="EX233">
        <v>13978.12307692308</v>
      </c>
      <c r="EY233">
        <v>15</v>
      </c>
      <c r="EZ233">
        <v>1651857041.1</v>
      </c>
      <c r="FA233" t="s">
        <v>419</v>
      </c>
      <c r="FB233">
        <v>1651857019.6</v>
      </c>
      <c r="FC233">
        <v>1651857041.1</v>
      </c>
      <c r="FD233">
        <v>1</v>
      </c>
      <c r="FE233">
        <v>0.545</v>
      </c>
      <c r="FF233">
        <v>-0.002</v>
      </c>
      <c r="FG233">
        <v>-1.271</v>
      </c>
      <c r="FH233">
        <v>-0.09</v>
      </c>
      <c r="FI233">
        <v>400</v>
      </c>
      <c r="FJ233">
        <v>10</v>
      </c>
      <c r="FK233">
        <v>0.1</v>
      </c>
      <c r="FL233">
        <v>0.02</v>
      </c>
      <c r="FM233">
        <v>-63.44508536585366</v>
      </c>
      <c r="FN233">
        <v>-0.6367191637631464</v>
      </c>
      <c r="FO233">
        <v>0.3553846027663587</v>
      </c>
      <c r="FP233">
        <v>-1</v>
      </c>
      <c r="FQ233">
        <v>7.481391707317075</v>
      </c>
      <c r="FR233">
        <v>-1.631434703832737</v>
      </c>
      <c r="FS233">
        <v>0.1612788914242539</v>
      </c>
      <c r="FT233">
        <v>-1</v>
      </c>
      <c r="FU233">
        <v>0</v>
      </c>
      <c r="FV233">
        <v>0</v>
      </c>
      <c r="FW233">
        <v>0</v>
      </c>
      <c r="FX233">
        <v>-1</v>
      </c>
      <c r="FY233">
        <v>0</v>
      </c>
      <c r="FZ233">
        <v>0</v>
      </c>
      <c r="GA233" t="s">
        <v>432</v>
      </c>
      <c r="GB233">
        <v>2.97997</v>
      </c>
      <c r="GC233">
        <v>2.7062</v>
      </c>
      <c r="GD233">
        <v>0.207397</v>
      </c>
      <c r="GE233">
        <v>0.210929</v>
      </c>
      <c r="GF233">
        <v>0.0865702</v>
      </c>
      <c r="GG233">
        <v>0.0588319</v>
      </c>
      <c r="GH233">
        <v>25008.3</v>
      </c>
      <c r="GI233">
        <v>24951.5</v>
      </c>
      <c r="GJ233">
        <v>29342.8</v>
      </c>
      <c r="GK233">
        <v>29256.6</v>
      </c>
      <c r="GL233">
        <v>35495.8</v>
      </c>
      <c r="GM233">
        <v>36672.9</v>
      </c>
      <c r="GN233">
        <v>41304.3</v>
      </c>
      <c r="GO233">
        <v>41753.8</v>
      </c>
      <c r="GP233">
        <v>1.95347</v>
      </c>
      <c r="GQ233">
        <v>1.84077</v>
      </c>
      <c r="GR233">
        <v>-0.0328161</v>
      </c>
      <c r="GS233">
        <v>0</v>
      </c>
      <c r="GT233">
        <v>25.5619</v>
      </c>
      <c r="GU233">
        <v>999.9</v>
      </c>
      <c r="GV233">
        <v>38.3</v>
      </c>
      <c r="GW233">
        <v>34</v>
      </c>
      <c r="GX233">
        <v>22.717</v>
      </c>
      <c r="GY233">
        <v>62.5076</v>
      </c>
      <c r="GZ233">
        <v>35.028</v>
      </c>
      <c r="HA233">
        <v>1</v>
      </c>
      <c r="HB233">
        <v>0.136207</v>
      </c>
      <c r="HC233">
        <v>2.62647</v>
      </c>
      <c r="HD233">
        <v>20.3137</v>
      </c>
      <c r="HE233">
        <v>5.21759</v>
      </c>
      <c r="HF233">
        <v>12.0099</v>
      </c>
      <c r="HG233">
        <v>4.9888</v>
      </c>
      <c r="HH233">
        <v>3.28858</v>
      </c>
      <c r="HI233">
        <v>856.4</v>
      </c>
      <c r="HJ233">
        <v>8525.1</v>
      </c>
      <c r="HK233">
        <v>5139.4</v>
      </c>
      <c r="HL233">
        <v>22.9</v>
      </c>
      <c r="HM233">
        <v>1.86751</v>
      </c>
      <c r="HN233">
        <v>1.86647</v>
      </c>
      <c r="HO233">
        <v>1.866</v>
      </c>
      <c r="HP233">
        <v>1.86586</v>
      </c>
      <c r="HQ233">
        <v>1.86772</v>
      </c>
      <c r="HR233">
        <v>1.87025</v>
      </c>
      <c r="HS233">
        <v>1.8689</v>
      </c>
      <c r="HT233">
        <v>1.87027</v>
      </c>
      <c r="HU233">
        <v>0</v>
      </c>
      <c r="HV233">
        <v>0</v>
      </c>
      <c r="HW233">
        <v>0</v>
      </c>
      <c r="HX233">
        <v>0</v>
      </c>
      <c r="HY233" t="s">
        <v>421</v>
      </c>
      <c r="HZ233" t="s">
        <v>422</v>
      </c>
      <c r="IA233" t="s">
        <v>423</v>
      </c>
      <c r="IB233" t="s">
        <v>423</v>
      </c>
      <c r="IC233" t="s">
        <v>423</v>
      </c>
      <c r="ID233" t="s">
        <v>423</v>
      </c>
      <c r="IE233">
        <v>0</v>
      </c>
      <c r="IF233">
        <v>100</v>
      </c>
      <c r="IG233">
        <v>100</v>
      </c>
      <c r="IH233">
        <v>-2.94</v>
      </c>
      <c r="II233">
        <v>0.0005</v>
      </c>
      <c r="IJ233">
        <v>-0.4995723906072</v>
      </c>
      <c r="IK233">
        <v>-0.002077099775823331</v>
      </c>
      <c r="IL233">
        <v>4.593143279902166E-07</v>
      </c>
      <c r="IM233">
        <v>-1.865383991892071E-10</v>
      </c>
      <c r="IN233">
        <v>-0.07605349583632376</v>
      </c>
      <c r="IO233">
        <v>-0.01129461987421345</v>
      </c>
      <c r="IP233">
        <v>0.00116580895745559</v>
      </c>
      <c r="IQ233">
        <v>-1.679085872906199E-05</v>
      </c>
      <c r="IR233">
        <v>2</v>
      </c>
      <c r="IS233">
        <v>2290</v>
      </c>
      <c r="IT233">
        <v>0</v>
      </c>
      <c r="IU233">
        <v>32</v>
      </c>
      <c r="IV233">
        <v>11.6</v>
      </c>
      <c r="IW233">
        <v>11.3</v>
      </c>
      <c r="IX233">
        <v>2.77344</v>
      </c>
      <c r="IY233">
        <v>2.19849</v>
      </c>
      <c r="IZ233">
        <v>1.39648</v>
      </c>
      <c r="JA233">
        <v>2.35962</v>
      </c>
      <c r="JB233">
        <v>1.49536</v>
      </c>
      <c r="JC233">
        <v>2.34131</v>
      </c>
      <c r="JD233">
        <v>38.5014</v>
      </c>
      <c r="JE233">
        <v>24.035</v>
      </c>
      <c r="JF233">
        <v>18</v>
      </c>
      <c r="JG233">
        <v>513.501</v>
      </c>
      <c r="JH233">
        <v>426.506</v>
      </c>
      <c r="JI233">
        <v>22.1689</v>
      </c>
      <c r="JJ233">
        <v>29.0761</v>
      </c>
      <c r="JK233">
        <v>30.0001</v>
      </c>
      <c r="JL233">
        <v>29.0776</v>
      </c>
      <c r="JM233">
        <v>29.0193</v>
      </c>
      <c r="JN233">
        <v>55.4897</v>
      </c>
      <c r="JO233">
        <v>48.3974</v>
      </c>
      <c r="JP233">
        <v>0</v>
      </c>
      <c r="JQ233">
        <v>22.1481</v>
      </c>
      <c r="JR233">
        <v>1437.87</v>
      </c>
      <c r="JS233">
        <v>11.0037</v>
      </c>
      <c r="JT233">
        <v>100.304</v>
      </c>
      <c r="JU233">
        <v>100.217</v>
      </c>
    </row>
    <row r="234" spans="1:281">
      <c r="A234">
        <v>218</v>
      </c>
      <c r="B234">
        <v>1651857720.1</v>
      </c>
      <c r="C234">
        <v>719.5</v>
      </c>
      <c r="D234" t="s">
        <v>863</v>
      </c>
      <c r="E234" t="s">
        <v>864</v>
      </c>
      <c r="F234">
        <v>2</v>
      </c>
      <c r="G234" t="s">
        <v>413</v>
      </c>
      <c r="H234" t="s">
        <v>414</v>
      </c>
      <c r="I234">
        <v>1651857719.1</v>
      </c>
      <c r="J234">
        <f>(K234)/1000</f>
        <v>0</v>
      </c>
      <c r="K234">
        <f>IF(CZ234, AN234, AH234)</f>
        <v>0</v>
      </c>
      <c r="L234">
        <f>IF(CZ234, AI234, AG234)</f>
        <v>0</v>
      </c>
      <c r="M234">
        <f>DB234 - IF(AU234&gt;1, L234*CV234*100.0/(AW234*DP234), 0)</f>
        <v>0</v>
      </c>
      <c r="N234">
        <f>((T234-J234/2)*M234-L234)/(T234+J234/2)</f>
        <v>0</v>
      </c>
      <c r="O234">
        <f>N234*(DI234+DJ234)/1000.0</f>
        <v>0</v>
      </c>
      <c r="P234">
        <f>(DB234 - IF(AU234&gt;1, L234*CV234*100.0/(AW234*DP234), 0))*(DI234+DJ234)/1000.0</f>
        <v>0</v>
      </c>
      <c r="Q234">
        <f>2.0/((1/S234-1/R234)+SIGN(S234)*SQRT((1/S234-1/R234)*(1/S234-1/R234) + 4*CW234/((CW234+1)*(CW234+1))*(2*1/S234*1/R234-1/R234*1/R234)))</f>
        <v>0</v>
      </c>
      <c r="R234">
        <f>IF(LEFT(CX234,1)&lt;&gt;"0",IF(LEFT(CX234,1)="1",3.0,CY234),$D$5+$E$5*(DP234*DI234/($K$5*1000))+$F$5*(DP234*DI234/($K$5*1000))*MAX(MIN(CV234,$J$5),$I$5)*MAX(MIN(CV234,$J$5),$I$5)+$G$5*MAX(MIN(CV234,$J$5),$I$5)*(DP234*DI234/($K$5*1000))+$H$5*(DP234*DI234/($K$5*1000))*(DP234*DI234/($K$5*1000)))</f>
        <v>0</v>
      </c>
      <c r="S234">
        <f>J234*(1000-(1000*0.61365*exp(17.502*W234/(240.97+W234))/(DI234+DJ234)+DD234)/2)/(1000*0.61365*exp(17.502*W234/(240.97+W234))/(DI234+DJ234)-DD234)</f>
        <v>0</v>
      </c>
      <c r="T234">
        <f>1/((CW234+1)/(Q234/1.6)+1/(R234/1.37)) + CW234/((CW234+1)/(Q234/1.6) + CW234/(R234/1.37))</f>
        <v>0</v>
      </c>
      <c r="U234">
        <f>(CR234*CU234)</f>
        <v>0</v>
      </c>
      <c r="V234">
        <f>(DK234+(U234+2*0.95*5.67E-8*(((DK234+$B$7)+273)^4-(DK234+273)^4)-44100*J234)/(1.84*29.3*R234+8*0.95*5.67E-8*(DK234+273)^3))</f>
        <v>0</v>
      </c>
      <c r="W234">
        <f>($C$7*DL234+$D$7*DM234+$E$7*V234)</f>
        <v>0</v>
      </c>
      <c r="X234">
        <f>0.61365*exp(17.502*W234/(240.97+W234))</f>
        <v>0</v>
      </c>
      <c r="Y234">
        <f>(Z234/AA234*100)</f>
        <v>0</v>
      </c>
      <c r="Z234">
        <f>DD234*(DI234+DJ234)/1000</f>
        <v>0</v>
      </c>
      <c r="AA234">
        <f>0.61365*exp(17.502*DK234/(240.97+DK234))</f>
        <v>0</v>
      </c>
      <c r="AB234">
        <f>(X234-DD234*(DI234+DJ234)/1000)</f>
        <v>0</v>
      </c>
      <c r="AC234">
        <f>(-J234*44100)</f>
        <v>0</v>
      </c>
      <c r="AD234">
        <f>2*29.3*R234*0.92*(DK234-W234)</f>
        <v>0</v>
      </c>
      <c r="AE234">
        <f>2*0.95*5.67E-8*(((DK234+$B$7)+273)^4-(W234+273)^4)</f>
        <v>0</v>
      </c>
      <c r="AF234">
        <f>U234+AE234+AC234+AD234</f>
        <v>0</v>
      </c>
      <c r="AG234">
        <f>DH234*AU234*(DC234-DB234*(1000-AU234*DE234)/(1000-AU234*DD234))/(100*CV234)</f>
        <v>0</v>
      </c>
      <c r="AH234">
        <f>1000*DH234*AU234*(DD234-DE234)/(100*CV234*(1000-AU234*DD234))</f>
        <v>0</v>
      </c>
      <c r="AI234">
        <f>(AJ234 - AK234 - DI234*1E3/(8.314*(DK234+273.15)) * AM234/DH234 * AL234) * DH234/(100*CV234) * (1000 - DE234)/1000</f>
        <v>0</v>
      </c>
      <c r="AJ234">
        <v>1433.870745627167</v>
      </c>
      <c r="AK234">
        <v>1386.751636363637</v>
      </c>
      <c r="AL234">
        <v>3.412429847388236</v>
      </c>
      <c r="AM234">
        <v>66.38384787954378</v>
      </c>
      <c r="AN234">
        <f>(AP234 - AO234 + DI234*1E3/(8.314*(DK234+273.15)) * AR234/DH234 * AQ234) * DH234/(100*CV234) * 1000/(1000 - AP234)</f>
        <v>0</v>
      </c>
      <c r="AO234">
        <v>10.7838685518305</v>
      </c>
      <c r="AP234">
        <v>18.00359294117646</v>
      </c>
      <c r="AQ234">
        <v>-4.062669679068729E-05</v>
      </c>
      <c r="AR234">
        <v>80.44866334591464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MAX(0,($B$13+$C$13*DP234)/(1+$D$13*DP234)*DI234/(DK234+273)*$E$13)</f>
        <v>0</v>
      </c>
      <c r="AX234" t="s">
        <v>417</v>
      </c>
      <c r="AY234" t="s">
        <v>417</v>
      </c>
      <c r="AZ234">
        <v>0</v>
      </c>
      <c r="BA234">
        <v>0</v>
      </c>
      <c r="BB234">
        <f>1-AZ234/BA234</f>
        <v>0</v>
      </c>
      <c r="BC234">
        <v>0</v>
      </c>
      <c r="BD234" t="s">
        <v>417</v>
      </c>
      <c r="BE234" t="s">
        <v>417</v>
      </c>
      <c r="BF234">
        <v>0</v>
      </c>
      <c r="BG234">
        <v>0</v>
      </c>
      <c r="BH234">
        <f>1-BF234/BG234</f>
        <v>0</v>
      </c>
      <c r="BI234">
        <v>0.5</v>
      </c>
      <c r="BJ234">
        <f>CS234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417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1238</v>
      </c>
      <c r="CA234">
        <v>300</v>
      </c>
      <c r="CB234">
        <v>300</v>
      </c>
      <c r="CC234">
        <v>300</v>
      </c>
      <c r="CD234">
        <v>10440.5</v>
      </c>
      <c r="CE234">
        <v>1411.69</v>
      </c>
      <c r="CF234">
        <v>-0.00735121</v>
      </c>
      <c r="CG234">
        <v>-0.77</v>
      </c>
      <c r="CH234" t="s">
        <v>417</v>
      </c>
      <c r="CI234" t="s">
        <v>417</v>
      </c>
      <c r="CJ234" t="s">
        <v>417</v>
      </c>
      <c r="CK234" t="s">
        <v>417</v>
      </c>
      <c r="CL234" t="s">
        <v>417</v>
      </c>
      <c r="CM234" t="s">
        <v>417</v>
      </c>
      <c r="CN234" t="s">
        <v>417</v>
      </c>
      <c r="CO234" t="s">
        <v>417</v>
      </c>
      <c r="CP234" t="s">
        <v>417</v>
      </c>
      <c r="CQ234" t="s">
        <v>417</v>
      </c>
      <c r="CR234">
        <f>$B$11*DQ234+$C$11*DR234+$F$11*EC234*(1-EF234)</f>
        <v>0</v>
      </c>
      <c r="CS234">
        <f>CR234*CT234</f>
        <v>0</v>
      </c>
      <c r="CT234">
        <f>($B$11*$D$9+$C$11*$D$9+$F$11*((EP234+EH234)/MAX(EP234+EH234+EQ234, 0.1)*$I$9+EQ234/MAX(EP234+EH234+EQ234, 0.1)*$J$9))/($B$11+$C$11+$F$11)</f>
        <v>0</v>
      </c>
      <c r="CU234">
        <f>($B$11*$K$9+$C$11*$K$9+$F$11*((EP234+EH234)/MAX(EP234+EH234+EQ234, 0.1)*$P$9+EQ234/MAX(EP234+EH234+EQ234, 0.1)*$Q$9))/($B$11+$C$11+$F$11)</f>
        <v>0</v>
      </c>
      <c r="CV234">
        <v>6</v>
      </c>
      <c r="CW234">
        <v>0.5</v>
      </c>
      <c r="CX234" t="s">
        <v>418</v>
      </c>
      <c r="CY234">
        <v>2</v>
      </c>
      <c r="CZ234" t="b">
        <v>1</v>
      </c>
      <c r="DA234">
        <v>1651857719.1</v>
      </c>
      <c r="DB234">
        <v>1360.103333333333</v>
      </c>
      <c r="DC234">
        <v>1424.396666666667</v>
      </c>
      <c r="DD234">
        <v>18.0024</v>
      </c>
      <c r="DE234">
        <v>10.85113333333333</v>
      </c>
      <c r="DF234">
        <v>1363.05</v>
      </c>
      <c r="DG234">
        <v>18.00196666666666</v>
      </c>
      <c r="DH234">
        <v>500.047</v>
      </c>
      <c r="DI234">
        <v>90.0817</v>
      </c>
      <c r="DJ234">
        <v>0.09996149999999999</v>
      </c>
      <c r="DK234">
        <v>25.73046666666667</v>
      </c>
      <c r="DL234">
        <v>25.0223</v>
      </c>
      <c r="DM234">
        <v>999.9</v>
      </c>
      <c r="DN234">
        <v>0</v>
      </c>
      <c r="DO234">
        <v>0</v>
      </c>
      <c r="DP234">
        <v>10008.33333333333</v>
      </c>
      <c r="DQ234">
        <v>0</v>
      </c>
      <c r="DR234">
        <v>3.224906666666667</v>
      </c>
      <c r="DS234">
        <v>-64.29599999999999</v>
      </c>
      <c r="DT234">
        <v>1385.036666666667</v>
      </c>
      <c r="DU234">
        <v>1440.026666666667</v>
      </c>
      <c r="DV234">
        <v>7.151286666666667</v>
      </c>
      <c r="DW234">
        <v>1424.396666666667</v>
      </c>
      <c r="DX234">
        <v>10.85113333333333</v>
      </c>
      <c r="DY234">
        <v>1.62169</v>
      </c>
      <c r="DZ234">
        <v>0.977488</v>
      </c>
      <c r="EA234">
        <v>14.16646666666667</v>
      </c>
      <c r="EB234">
        <v>6.585076666666667</v>
      </c>
      <c r="EC234">
        <v>1500.096666666667</v>
      </c>
      <c r="ED234">
        <v>0.9729953333333333</v>
      </c>
      <c r="EE234">
        <v>0.0270047</v>
      </c>
      <c r="EF234">
        <v>0</v>
      </c>
      <c r="EG234">
        <v>936.3786666666666</v>
      </c>
      <c r="EH234">
        <v>5.00097</v>
      </c>
      <c r="EI234">
        <v>13923.76666666667</v>
      </c>
      <c r="EJ234">
        <v>12492.4</v>
      </c>
      <c r="EK234">
        <v>37.5</v>
      </c>
      <c r="EL234">
        <v>39</v>
      </c>
      <c r="EM234">
        <v>37.875</v>
      </c>
      <c r="EN234">
        <v>38.75</v>
      </c>
      <c r="EO234">
        <v>38.375</v>
      </c>
      <c r="EP234">
        <v>1454.723333333333</v>
      </c>
      <c r="EQ234">
        <v>40.37333333333333</v>
      </c>
      <c r="ER234">
        <v>0</v>
      </c>
      <c r="ES234">
        <v>718.8000001907349</v>
      </c>
      <c r="ET234">
        <v>0</v>
      </c>
      <c r="EU234">
        <v>939.11124</v>
      </c>
      <c r="EV234">
        <v>-26.36399996116834</v>
      </c>
      <c r="EW234">
        <v>-378.0538455728809</v>
      </c>
      <c r="EX234">
        <v>13964.784</v>
      </c>
      <c r="EY234">
        <v>15</v>
      </c>
      <c r="EZ234">
        <v>1651857041.1</v>
      </c>
      <c r="FA234" t="s">
        <v>419</v>
      </c>
      <c r="FB234">
        <v>1651857019.6</v>
      </c>
      <c r="FC234">
        <v>1651857041.1</v>
      </c>
      <c r="FD234">
        <v>1</v>
      </c>
      <c r="FE234">
        <v>0.545</v>
      </c>
      <c r="FF234">
        <v>-0.002</v>
      </c>
      <c r="FG234">
        <v>-1.271</v>
      </c>
      <c r="FH234">
        <v>-0.09</v>
      </c>
      <c r="FI234">
        <v>400</v>
      </c>
      <c r="FJ234">
        <v>10</v>
      </c>
      <c r="FK234">
        <v>0.1</v>
      </c>
      <c r="FL234">
        <v>0.02</v>
      </c>
      <c r="FM234">
        <v>-63.49181951219512</v>
      </c>
      <c r="FN234">
        <v>-3.928559581881749</v>
      </c>
      <c r="FO234">
        <v>0.4279395108950885</v>
      </c>
      <c r="FP234">
        <v>-1</v>
      </c>
      <c r="FQ234">
        <v>7.400708048780488</v>
      </c>
      <c r="FR234">
        <v>-1.653975888501722</v>
      </c>
      <c r="FS234">
        <v>0.1635255679452069</v>
      </c>
      <c r="FT234">
        <v>-1</v>
      </c>
      <c r="FU234">
        <v>0</v>
      </c>
      <c r="FV234">
        <v>0</v>
      </c>
      <c r="FW234">
        <v>0</v>
      </c>
      <c r="FX234">
        <v>-1</v>
      </c>
      <c r="FY234">
        <v>0</v>
      </c>
      <c r="FZ234">
        <v>0</v>
      </c>
      <c r="GA234" t="s">
        <v>432</v>
      </c>
      <c r="GB234">
        <v>2.98003</v>
      </c>
      <c r="GC234">
        <v>2.70619</v>
      </c>
      <c r="GD234">
        <v>0.208026</v>
      </c>
      <c r="GE234">
        <v>0.211532</v>
      </c>
      <c r="GF234">
        <v>0.086573</v>
      </c>
      <c r="GG234">
        <v>0.0589469</v>
      </c>
      <c r="GH234">
        <v>24988.6</v>
      </c>
      <c r="GI234">
        <v>24932.3</v>
      </c>
      <c r="GJ234">
        <v>29342.9</v>
      </c>
      <c r="GK234">
        <v>29256.5</v>
      </c>
      <c r="GL234">
        <v>35496.1</v>
      </c>
      <c r="GM234">
        <v>36668.2</v>
      </c>
      <c r="GN234">
        <v>41304.8</v>
      </c>
      <c r="GO234">
        <v>41753.6</v>
      </c>
      <c r="GP234">
        <v>1.9536</v>
      </c>
      <c r="GQ234">
        <v>1.84095</v>
      </c>
      <c r="GR234">
        <v>-0.0331402</v>
      </c>
      <c r="GS234">
        <v>0</v>
      </c>
      <c r="GT234">
        <v>25.5627</v>
      </c>
      <c r="GU234">
        <v>999.9</v>
      </c>
      <c r="GV234">
        <v>38.3</v>
      </c>
      <c r="GW234">
        <v>34</v>
      </c>
      <c r="GX234">
        <v>22.72</v>
      </c>
      <c r="GY234">
        <v>62.5776</v>
      </c>
      <c r="GZ234">
        <v>35.3926</v>
      </c>
      <c r="HA234">
        <v>1</v>
      </c>
      <c r="HB234">
        <v>0.136405</v>
      </c>
      <c r="HC234">
        <v>2.64388</v>
      </c>
      <c r="HD234">
        <v>20.3135</v>
      </c>
      <c r="HE234">
        <v>5.21759</v>
      </c>
      <c r="HF234">
        <v>12.0099</v>
      </c>
      <c r="HG234">
        <v>4.989</v>
      </c>
      <c r="HH234">
        <v>3.28858</v>
      </c>
      <c r="HI234">
        <v>856.7</v>
      </c>
      <c r="HJ234">
        <v>8527</v>
      </c>
      <c r="HK234">
        <v>5139.4</v>
      </c>
      <c r="HL234">
        <v>22.9</v>
      </c>
      <c r="HM234">
        <v>1.8675</v>
      </c>
      <c r="HN234">
        <v>1.86646</v>
      </c>
      <c r="HO234">
        <v>1.866</v>
      </c>
      <c r="HP234">
        <v>1.86586</v>
      </c>
      <c r="HQ234">
        <v>1.8677</v>
      </c>
      <c r="HR234">
        <v>1.87023</v>
      </c>
      <c r="HS234">
        <v>1.8689</v>
      </c>
      <c r="HT234">
        <v>1.87027</v>
      </c>
      <c r="HU234">
        <v>0</v>
      </c>
      <c r="HV234">
        <v>0</v>
      </c>
      <c r="HW234">
        <v>0</v>
      </c>
      <c r="HX234">
        <v>0</v>
      </c>
      <c r="HY234" t="s">
        <v>421</v>
      </c>
      <c r="HZ234" t="s">
        <v>422</v>
      </c>
      <c r="IA234" t="s">
        <v>423</v>
      </c>
      <c r="IB234" t="s">
        <v>423</v>
      </c>
      <c r="IC234" t="s">
        <v>423</v>
      </c>
      <c r="ID234" t="s">
        <v>423</v>
      </c>
      <c r="IE234">
        <v>0</v>
      </c>
      <c r="IF234">
        <v>100</v>
      </c>
      <c r="IG234">
        <v>100</v>
      </c>
      <c r="IH234">
        <v>-2.96</v>
      </c>
      <c r="II234">
        <v>0.0005</v>
      </c>
      <c r="IJ234">
        <v>-0.4995723906072</v>
      </c>
      <c r="IK234">
        <v>-0.002077099775823331</v>
      </c>
      <c r="IL234">
        <v>4.593143279902166E-07</v>
      </c>
      <c r="IM234">
        <v>-1.865383991892071E-10</v>
      </c>
      <c r="IN234">
        <v>-0.07605349583632376</v>
      </c>
      <c r="IO234">
        <v>-0.01129461987421345</v>
      </c>
      <c r="IP234">
        <v>0.00116580895745559</v>
      </c>
      <c r="IQ234">
        <v>-1.679085872906199E-05</v>
      </c>
      <c r="IR234">
        <v>2</v>
      </c>
      <c r="IS234">
        <v>2290</v>
      </c>
      <c r="IT234">
        <v>0</v>
      </c>
      <c r="IU234">
        <v>32</v>
      </c>
      <c r="IV234">
        <v>11.7</v>
      </c>
      <c r="IW234">
        <v>11.3</v>
      </c>
      <c r="IX234">
        <v>2.7832</v>
      </c>
      <c r="IY234">
        <v>2.20093</v>
      </c>
      <c r="IZ234">
        <v>1.39648</v>
      </c>
      <c r="JA234">
        <v>2.35962</v>
      </c>
      <c r="JB234">
        <v>1.49536</v>
      </c>
      <c r="JC234">
        <v>2.30957</v>
      </c>
      <c r="JD234">
        <v>38.5014</v>
      </c>
      <c r="JE234">
        <v>24.035</v>
      </c>
      <c r="JF234">
        <v>18</v>
      </c>
      <c r="JG234">
        <v>513.58</v>
      </c>
      <c r="JH234">
        <v>426.611</v>
      </c>
      <c r="JI234">
        <v>22.1613</v>
      </c>
      <c r="JJ234">
        <v>29.0761</v>
      </c>
      <c r="JK234">
        <v>30.0002</v>
      </c>
      <c r="JL234">
        <v>29.0772</v>
      </c>
      <c r="JM234">
        <v>29.0193</v>
      </c>
      <c r="JN234">
        <v>55.6984</v>
      </c>
      <c r="JO234">
        <v>48.0969</v>
      </c>
      <c r="JP234">
        <v>0</v>
      </c>
      <c r="JQ234">
        <v>22.1481</v>
      </c>
      <c r="JR234">
        <v>1444.55</v>
      </c>
      <c r="JS234">
        <v>11.057</v>
      </c>
      <c r="JT234">
        <v>100.305</v>
      </c>
      <c r="JU234">
        <v>100.216</v>
      </c>
    </row>
    <row r="235" spans="1:281">
      <c r="A235">
        <v>219</v>
      </c>
      <c r="B235">
        <v>1651857722.1</v>
      </c>
      <c r="C235">
        <v>721.5</v>
      </c>
      <c r="D235" t="s">
        <v>865</v>
      </c>
      <c r="E235" t="s">
        <v>866</v>
      </c>
      <c r="F235">
        <v>2</v>
      </c>
      <c r="G235" t="s">
        <v>413</v>
      </c>
      <c r="H235" t="s">
        <v>414</v>
      </c>
      <c r="I235">
        <v>1651857720.725</v>
      </c>
      <c r="J235">
        <f>(K235)/1000</f>
        <v>0</v>
      </c>
      <c r="K235">
        <f>IF(CZ235, AN235, AH235)</f>
        <v>0</v>
      </c>
      <c r="L235">
        <f>IF(CZ235, AI235, AG235)</f>
        <v>0</v>
      </c>
      <c r="M235">
        <f>DB235 - IF(AU235&gt;1, L235*CV235*100.0/(AW235*DP235), 0)</f>
        <v>0</v>
      </c>
      <c r="N235">
        <f>((T235-J235/2)*M235-L235)/(T235+J235/2)</f>
        <v>0</v>
      </c>
      <c r="O235">
        <f>N235*(DI235+DJ235)/1000.0</f>
        <v>0</v>
      </c>
      <c r="P235">
        <f>(DB235 - IF(AU235&gt;1, L235*CV235*100.0/(AW235*DP235), 0))*(DI235+DJ235)/1000.0</f>
        <v>0</v>
      </c>
      <c r="Q235">
        <f>2.0/((1/S235-1/R235)+SIGN(S235)*SQRT((1/S235-1/R235)*(1/S235-1/R235) + 4*CW235/((CW235+1)*(CW235+1))*(2*1/S235*1/R235-1/R235*1/R235)))</f>
        <v>0</v>
      </c>
      <c r="R235">
        <f>IF(LEFT(CX235,1)&lt;&gt;"0",IF(LEFT(CX235,1)="1",3.0,CY235),$D$5+$E$5*(DP235*DI235/($K$5*1000))+$F$5*(DP235*DI235/($K$5*1000))*MAX(MIN(CV235,$J$5),$I$5)*MAX(MIN(CV235,$J$5),$I$5)+$G$5*MAX(MIN(CV235,$J$5),$I$5)*(DP235*DI235/($K$5*1000))+$H$5*(DP235*DI235/($K$5*1000))*(DP235*DI235/($K$5*1000)))</f>
        <v>0</v>
      </c>
      <c r="S235">
        <f>J235*(1000-(1000*0.61365*exp(17.502*W235/(240.97+W235))/(DI235+DJ235)+DD235)/2)/(1000*0.61365*exp(17.502*W235/(240.97+W235))/(DI235+DJ235)-DD235)</f>
        <v>0</v>
      </c>
      <c r="T235">
        <f>1/((CW235+1)/(Q235/1.6)+1/(R235/1.37)) + CW235/((CW235+1)/(Q235/1.6) + CW235/(R235/1.37))</f>
        <v>0</v>
      </c>
      <c r="U235">
        <f>(CR235*CU235)</f>
        <v>0</v>
      </c>
      <c r="V235">
        <f>(DK235+(U235+2*0.95*5.67E-8*(((DK235+$B$7)+273)^4-(DK235+273)^4)-44100*J235)/(1.84*29.3*R235+8*0.95*5.67E-8*(DK235+273)^3))</f>
        <v>0</v>
      </c>
      <c r="W235">
        <f>($C$7*DL235+$D$7*DM235+$E$7*V235)</f>
        <v>0</v>
      </c>
      <c r="X235">
        <f>0.61365*exp(17.502*W235/(240.97+W235))</f>
        <v>0</v>
      </c>
      <c r="Y235">
        <f>(Z235/AA235*100)</f>
        <v>0</v>
      </c>
      <c r="Z235">
        <f>DD235*(DI235+DJ235)/1000</f>
        <v>0</v>
      </c>
      <c r="AA235">
        <f>0.61365*exp(17.502*DK235/(240.97+DK235))</f>
        <v>0</v>
      </c>
      <c r="AB235">
        <f>(X235-DD235*(DI235+DJ235)/1000)</f>
        <v>0</v>
      </c>
      <c r="AC235">
        <f>(-J235*44100)</f>
        <v>0</v>
      </c>
      <c r="AD235">
        <f>2*29.3*R235*0.92*(DK235-W235)</f>
        <v>0</v>
      </c>
      <c r="AE235">
        <f>2*0.95*5.67E-8*(((DK235+$B$7)+273)^4-(W235+273)^4)</f>
        <v>0</v>
      </c>
      <c r="AF235">
        <f>U235+AE235+AC235+AD235</f>
        <v>0</v>
      </c>
      <c r="AG235">
        <f>DH235*AU235*(DC235-DB235*(1000-AU235*DE235)/(1000-AU235*DD235))/(100*CV235)</f>
        <v>0</v>
      </c>
      <c r="AH235">
        <f>1000*DH235*AU235*(DD235-DE235)/(100*CV235*(1000-AU235*DD235))</f>
        <v>0</v>
      </c>
      <c r="AI235">
        <f>(AJ235 - AK235 - DI235*1E3/(8.314*(DK235+273.15)) * AM235/DH235 * AL235) * DH235/(100*CV235) * (1000 - DE235)/1000</f>
        <v>0</v>
      </c>
      <c r="AJ235">
        <v>1440.791786905563</v>
      </c>
      <c r="AK235">
        <v>1393.640666666666</v>
      </c>
      <c r="AL235">
        <v>3.434008729855442</v>
      </c>
      <c r="AM235">
        <v>66.38384787954378</v>
      </c>
      <c r="AN235">
        <f>(AP235 - AO235 + DI235*1E3/(8.314*(DK235+273.15)) * AR235/DH235 * AQ235) * DH235/(100*CV235) * 1000/(1000 - AP235)</f>
        <v>0</v>
      </c>
      <c r="AO235">
        <v>10.82869255979543</v>
      </c>
      <c r="AP235">
        <v>17.99895058823529</v>
      </c>
      <c r="AQ235">
        <v>0.0001412199566835394</v>
      </c>
      <c r="AR235">
        <v>80.44866334591464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MAX(0,($B$13+$C$13*DP235)/(1+$D$13*DP235)*DI235/(DK235+273)*$E$13)</f>
        <v>0</v>
      </c>
      <c r="AX235" t="s">
        <v>417</v>
      </c>
      <c r="AY235" t="s">
        <v>417</v>
      </c>
      <c r="AZ235">
        <v>0</v>
      </c>
      <c r="BA235">
        <v>0</v>
      </c>
      <c r="BB235">
        <f>1-AZ235/BA235</f>
        <v>0</v>
      </c>
      <c r="BC235">
        <v>0</v>
      </c>
      <c r="BD235" t="s">
        <v>417</v>
      </c>
      <c r="BE235" t="s">
        <v>417</v>
      </c>
      <c r="BF235">
        <v>0</v>
      </c>
      <c r="BG235">
        <v>0</v>
      </c>
      <c r="BH235">
        <f>1-BF235/BG235</f>
        <v>0</v>
      </c>
      <c r="BI235">
        <v>0.5</v>
      </c>
      <c r="BJ235">
        <f>CS235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417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1238</v>
      </c>
      <c r="CA235">
        <v>300</v>
      </c>
      <c r="CB235">
        <v>300</v>
      </c>
      <c r="CC235">
        <v>300</v>
      </c>
      <c r="CD235">
        <v>10440.5</v>
      </c>
      <c r="CE235">
        <v>1411.69</v>
      </c>
      <c r="CF235">
        <v>-0.00735121</v>
      </c>
      <c r="CG235">
        <v>-0.77</v>
      </c>
      <c r="CH235" t="s">
        <v>417</v>
      </c>
      <c r="CI235" t="s">
        <v>417</v>
      </c>
      <c r="CJ235" t="s">
        <v>417</v>
      </c>
      <c r="CK235" t="s">
        <v>417</v>
      </c>
      <c r="CL235" t="s">
        <v>417</v>
      </c>
      <c r="CM235" t="s">
        <v>417</v>
      </c>
      <c r="CN235" t="s">
        <v>417</v>
      </c>
      <c r="CO235" t="s">
        <v>417</v>
      </c>
      <c r="CP235" t="s">
        <v>417</v>
      </c>
      <c r="CQ235" t="s">
        <v>417</v>
      </c>
      <c r="CR235">
        <f>$B$11*DQ235+$C$11*DR235+$F$11*EC235*(1-EF235)</f>
        <v>0</v>
      </c>
      <c r="CS235">
        <f>CR235*CT235</f>
        <v>0</v>
      </c>
      <c r="CT235">
        <f>($B$11*$D$9+$C$11*$D$9+$F$11*((EP235+EH235)/MAX(EP235+EH235+EQ235, 0.1)*$I$9+EQ235/MAX(EP235+EH235+EQ235, 0.1)*$J$9))/($B$11+$C$11+$F$11)</f>
        <v>0</v>
      </c>
      <c r="CU235">
        <f>($B$11*$K$9+$C$11*$K$9+$F$11*((EP235+EH235)/MAX(EP235+EH235+EQ235, 0.1)*$P$9+EQ235/MAX(EP235+EH235+EQ235, 0.1)*$Q$9))/($B$11+$C$11+$F$11)</f>
        <v>0</v>
      </c>
      <c r="CV235">
        <v>6</v>
      </c>
      <c r="CW235">
        <v>0.5</v>
      </c>
      <c r="CX235" t="s">
        <v>418</v>
      </c>
      <c r="CY235">
        <v>2</v>
      </c>
      <c r="CZ235" t="b">
        <v>1</v>
      </c>
      <c r="DA235">
        <v>1651857720.725</v>
      </c>
      <c r="DB235">
        <v>1365.5925</v>
      </c>
      <c r="DC235">
        <v>1429.695</v>
      </c>
      <c r="DD235">
        <v>18.000125</v>
      </c>
      <c r="DE235">
        <v>10.8789</v>
      </c>
      <c r="DF235">
        <v>1368.55</v>
      </c>
      <c r="DG235">
        <v>17.9997</v>
      </c>
      <c r="DH235">
        <v>500.05875</v>
      </c>
      <c r="DI235">
        <v>90.08097500000001</v>
      </c>
      <c r="DJ235">
        <v>0.100042075</v>
      </c>
      <c r="DK235">
        <v>25.728275</v>
      </c>
      <c r="DL235">
        <v>25.01975</v>
      </c>
      <c r="DM235">
        <v>999.9</v>
      </c>
      <c r="DN235">
        <v>0</v>
      </c>
      <c r="DO235">
        <v>0</v>
      </c>
      <c r="DP235">
        <v>9998.9</v>
      </c>
      <c r="DQ235">
        <v>0</v>
      </c>
      <c r="DR235">
        <v>3.23193</v>
      </c>
      <c r="DS235">
        <v>-64.10357500000001</v>
      </c>
      <c r="DT235">
        <v>1390.6225</v>
      </c>
      <c r="DU235">
        <v>1445.4175</v>
      </c>
      <c r="DV235">
        <v>7.121252500000001</v>
      </c>
      <c r="DW235">
        <v>1429.695</v>
      </c>
      <c r="DX235">
        <v>10.8789</v>
      </c>
      <c r="DY235">
        <v>1.6214725</v>
      </c>
      <c r="DZ235">
        <v>0.9799815000000001</v>
      </c>
      <c r="EA235">
        <v>14.164375</v>
      </c>
      <c r="EB235">
        <v>6.622094999999999</v>
      </c>
      <c r="EC235">
        <v>1499.955</v>
      </c>
      <c r="ED235">
        <v>0.9730082499999999</v>
      </c>
      <c r="EE235">
        <v>0.02699174999999999</v>
      </c>
      <c r="EF235">
        <v>0</v>
      </c>
      <c r="EG235">
        <v>935.6080000000001</v>
      </c>
      <c r="EH235">
        <v>5.00097</v>
      </c>
      <c r="EI235">
        <v>13913.675</v>
      </c>
      <c r="EJ235">
        <v>12491.25</v>
      </c>
      <c r="EK235">
        <v>37.5</v>
      </c>
      <c r="EL235">
        <v>39</v>
      </c>
      <c r="EM235">
        <v>37.875</v>
      </c>
      <c r="EN235">
        <v>38.75</v>
      </c>
      <c r="EO235">
        <v>38.375</v>
      </c>
      <c r="EP235">
        <v>1454.605</v>
      </c>
      <c r="EQ235">
        <v>40.35</v>
      </c>
      <c r="ER235">
        <v>0</v>
      </c>
      <c r="ES235">
        <v>721.2000000476837</v>
      </c>
      <c r="ET235">
        <v>0</v>
      </c>
      <c r="EU235">
        <v>938.09492</v>
      </c>
      <c r="EV235">
        <v>-25.82038466912722</v>
      </c>
      <c r="EW235">
        <v>-377.6307697999947</v>
      </c>
      <c r="EX235">
        <v>13949.644</v>
      </c>
      <c r="EY235">
        <v>15</v>
      </c>
      <c r="EZ235">
        <v>1651857041.1</v>
      </c>
      <c r="FA235" t="s">
        <v>419</v>
      </c>
      <c r="FB235">
        <v>1651857019.6</v>
      </c>
      <c r="FC235">
        <v>1651857041.1</v>
      </c>
      <c r="FD235">
        <v>1</v>
      </c>
      <c r="FE235">
        <v>0.545</v>
      </c>
      <c r="FF235">
        <v>-0.002</v>
      </c>
      <c r="FG235">
        <v>-1.271</v>
      </c>
      <c r="FH235">
        <v>-0.09</v>
      </c>
      <c r="FI235">
        <v>400</v>
      </c>
      <c r="FJ235">
        <v>10</v>
      </c>
      <c r="FK235">
        <v>0.1</v>
      </c>
      <c r="FL235">
        <v>0.02</v>
      </c>
      <c r="FM235">
        <v>-63.52765121951219</v>
      </c>
      <c r="FN235">
        <v>-4.403629965156832</v>
      </c>
      <c r="FO235">
        <v>0.4503197569218149</v>
      </c>
      <c r="FP235">
        <v>-1</v>
      </c>
      <c r="FQ235">
        <v>7.375068292682927</v>
      </c>
      <c r="FR235">
        <v>-1.641185853658549</v>
      </c>
      <c r="FS235">
        <v>0.1623521823435682</v>
      </c>
      <c r="FT235">
        <v>-1</v>
      </c>
      <c r="FU235">
        <v>0</v>
      </c>
      <c r="FV235">
        <v>0</v>
      </c>
      <c r="FW235">
        <v>0</v>
      </c>
      <c r="FX235">
        <v>-1</v>
      </c>
      <c r="FY235">
        <v>0</v>
      </c>
      <c r="FZ235">
        <v>0</v>
      </c>
      <c r="GA235" t="s">
        <v>432</v>
      </c>
      <c r="GB235">
        <v>2.97999</v>
      </c>
      <c r="GC235">
        <v>2.70626</v>
      </c>
      <c r="GD235">
        <v>0.208655</v>
      </c>
      <c r="GE235">
        <v>0.212113</v>
      </c>
      <c r="GF235">
        <v>0.0865465</v>
      </c>
      <c r="GG235">
        <v>0.0591394</v>
      </c>
      <c r="GH235">
        <v>24969.1</v>
      </c>
      <c r="GI235">
        <v>24914</v>
      </c>
      <c r="GJ235">
        <v>29343.4</v>
      </c>
      <c r="GK235">
        <v>29256.6</v>
      </c>
      <c r="GL235">
        <v>35497.7</v>
      </c>
      <c r="GM235">
        <v>36660.6</v>
      </c>
      <c r="GN235">
        <v>41305.4</v>
      </c>
      <c r="GO235">
        <v>41753.5</v>
      </c>
      <c r="GP235">
        <v>1.95373</v>
      </c>
      <c r="GQ235">
        <v>1.84107</v>
      </c>
      <c r="GR235">
        <v>-0.0331327</v>
      </c>
      <c r="GS235">
        <v>0</v>
      </c>
      <c r="GT235">
        <v>25.5627</v>
      </c>
      <c r="GU235">
        <v>999.9</v>
      </c>
      <c r="GV235">
        <v>38.3</v>
      </c>
      <c r="GW235">
        <v>34</v>
      </c>
      <c r="GX235">
        <v>22.7168</v>
      </c>
      <c r="GY235">
        <v>62.4376</v>
      </c>
      <c r="GZ235">
        <v>35.2524</v>
      </c>
      <c r="HA235">
        <v>1</v>
      </c>
      <c r="HB235">
        <v>0.136654</v>
      </c>
      <c r="HC235">
        <v>2.66038</v>
      </c>
      <c r="HD235">
        <v>20.313</v>
      </c>
      <c r="HE235">
        <v>5.21744</v>
      </c>
      <c r="HF235">
        <v>12.0099</v>
      </c>
      <c r="HG235">
        <v>4.98905</v>
      </c>
      <c r="HH235">
        <v>3.28858</v>
      </c>
      <c r="HI235">
        <v>856.7</v>
      </c>
      <c r="HJ235">
        <v>8527</v>
      </c>
      <c r="HK235">
        <v>5139.4</v>
      </c>
      <c r="HL235">
        <v>22.9</v>
      </c>
      <c r="HM235">
        <v>1.8675</v>
      </c>
      <c r="HN235">
        <v>1.86646</v>
      </c>
      <c r="HO235">
        <v>1.866</v>
      </c>
      <c r="HP235">
        <v>1.86586</v>
      </c>
      <c r="HQ235">
        <v>1.86771</v>
      </c>
      <c r="HR235">
        <v>1.87024</v>
      </c>
      <c r="HS235">
        <v>1.8689</v>
      </c>
      <c r="HT235">
        <v>1.87027</v>
      </c>
      <c r="HU235">
        <v>0</v>
      </c>
      <c r="HV235">
        <v>0</v>
      </c>
      <c r="HW235">
        <v>0</v>
      </c>
      <c r="HX235">
        <v>0</v>
      </c>
      <c r="HY235" t="s">
        <v>421</v>
      </c>
      <c r="HZ235" t="s">
        <v>422</v>
      </c>
      <c r="IA235" t="s">
        <v>423</v>
      </c>
      <c r="IB235" t="s">
        <v>423</v>
      </c>
      <c r="IC235" t="s">
        <v>423</v>
      </c>
      <c r="ID235" t="s">
        <v>423</v>
      </c>
      <c r="IE235">
        <v>0</v>
      </c>
      <c r="IF235">
        <v>100</v>
      </c>
      <c r="IG235">
        <v>100</v>
      </c>
      <c r="IH235">
        <v>-2.97</v>
      </c>
      <c r="II235">
        <v>0.0003</v>
      </c>
      <c r="IJ235">
        <v>-0.4995723906072</v>
      </c>
      <c r="IK235">
        <v>-0.002077099775823331</v>
      </c>
      <c r="IL235">
        <v>4.593143279902166E-07</v>
      </c>
      <c r="IM235">
        <v>-1.865383991892071E-10</v>
      </c>
      <c r="IN235">
        <v>-0.07605349583632376</v>
      </c>
      <c r="IO235">
        <v>-0.01129461987421345</v>
      </c>
      <c r="IP235">
        <v>0.00116580895745559</v>
      </c>
      <c r="IQ235">
        <v>-1.679085872906199E-05</v>
      </c>
      <c r="IR235">
        <v>2</v>
      </c>
      <c r="IS235">
        <v>2290</v>
      </c>
      <c r="IT235">
        <v>0</v>
      </c>
      <c r="IU235">
        <v>32</v>
      </c>
      <c r="IV235">
        <v>11.7</v>
      </c>
      <c r="IW235">
        <v>11.3</v>
      </c>
      <c r="IX235">
        <v>2.79419</v>
      </c>
      <c r="IY235">
        <v>2.19849</v>
      </c>
      <c r="IZ235">
        <v>1.39648</v>
      </c>
      <c r="JA235">
        <v>2.35962</v>
      </c>
      <c r="JB235">
        <v>1.49536</v>
      </c>
      <c r="JC235">
        <v>2.3645</v>
      </c>
      <c r="JD235">
        <v>38.5014</v>
      </c>
      <c r="JE235">
        <v>24.0437</v>
      </c>
      <c r="JF235">
        <v>18</v>
      </c>
      <c r="JG235">
        <v>513.651</v>
      </c>
      <c r="JH235">
        <v>426.685</v>
      </c>
      <c r="JI235">
        <v>22.1523</v>
      </c>
      <c r="JJ235">
        <v>29.0761</v>
      </c>
      <c r="JK235">
        <v>30.0001</v>
      </c>
      <c r="JL235">
        <v>29.0759</v>
      </c>
      <c r="JM235">
        <v>29.0193</v>
      </c>
      <c r="JN235">
        <v>55.9095</v>
      </c>
      <c r="JO235">
        <v>47.8079</v>
      </c>
      <c r="JP235">
        <v>0</v>
      </c>
      <c r="JQ235">
        <v>22.1481</v>
      </c>
      <c r="JR235">
        <v>1451.23</v>
      </c>
      <c r="JS235">
        <v>11.1134</v>
      </c>
      <c r="JT235">
        <v>100.306</v>
      </c>
      <c r="JU235">
        <v>100.216</v>
      </c>
    </row>
    <row r="236" spans="1:281">
      <c r="A236">
        <v>220</v>
      </c>
      <c r="B236">
        <v>1651857724.1</v>
      </c>
      <c r="C236">
        <v>723.5</v>
      </c>
      <c r="D236" t="s">
        <v>867</v>
      </c>
      <c r="E236" t="s">
        <v>868</v>
      </c>
      <c r="F236">
        <v>2</v>
      </c>
      <c r="G236" t="s">
        <v>413</v>
      </c>
      <c r="H236" t="s">
        <v>414</v>
      </c>
      <c r="I236">
        <v>1651857723.1</v>
      </c>
      <c r="J236">
        <f>(K236)/1000</f>
        <v>0</v>
      </c>
      <c r="K236">
        <f>IF(CZ236, AN236, AH236)</f>
        <v>0</v>
      </c>
      <c r="L236">
        <f>IF(CZ236, AI236, AG236)</f>
        <v>0</v>
      </c>
      <c r="M236">
        <f>DB236 - IF(AU236&gt;1, L236*CV236*100.0/(AW236*DP236), 0)</f>
        <v>0</v>
      </c>
      <c r="N236">
        <f>((T236-J236/2)*M236-L236)/(T236+J236/2)</f>
        <v>0</v>
      </c>
      <c r="O236">
        <f>N236*(DI236+DJ236)/1000.0</f>
        <v>0</v>
      </c>
      <c r="P236">
        <f>(DB236 - IF(AU236&gt;1, L236*CV236*100.0/(AW236*DP236), 0))*(DI236+DJ236)/1000.0</f>
        <v>0</v>
      </c>
      <c r="Q236">
        <f>2.0/((1/S236-1/R236)+SIGN(S236)*SQRT((1/S236-1/R236)*(1/S236-1/R236) + 4*CW236/((CW236+1)*(CW236+1))*(2*1/S236*1/R236-1/R236*1/R236)))</f>
        <v>0</v>
      </c>
      <c r="R236">
        <f>IF(LEFT(CX236,1)&lt;&gt;"0",IF(LEFT(CX236,1)="1",3.0,CY236),$D$5+$E$5*(DP236*DI236/($K$5*1000))+$F$5*(DP236*DI236/($K$5*1000))*MAX(MIN(CV236,$J$5),$I$5)*MAX(MIN(CV236,$J$5),$I$5)+$G$5*MAX(MIN(CV236,$J$5),$I$5)*(DP236*DI236/($K$5*1000))+$H$5*(DP236*DI236/($K$5*1000))*(DP236*DI236/($K$5*1000)))</f>
        <v>0</v>
      </c>
      <c r="S236">
        <f>J236*(1000-(1000*0.61365*exp(17.502*W236/(240.97+W236))/(DI236+DJ236)+DD236)/2)/(1000*0.61365*exp(17.502*W236/(240.97+W236))/(DI236+DJ236)-DD236)</f>
        <v>0</v>
      </c>
      <c r="T236">
        <f>1/((CW236+1)/(Q236/1.6)+1/(R236/1.37)) + CW236/((CW236+1)/(Q236/1.6) + CW236/(R236/1.37))</f>
        <v>0</v>
      </c>
      <c r="U236">
        <f>(CR236*CU236)</f>
        <v>0</v>
      </c>
      <c r="V236">
        <f>(DK236+(U236+2*0.95*5.67E-8*(((DK236+$B$7)+273)^4-(DK236+273)^4)-44100*J236)/(1.84*29.3*R236+8*0.95*5.67E-8*(DK236+273)^3))</f>
        <v>0</v>
      </c>
      <c r="W236">
        <f>($C$7*DL236+$D$7*DM236+$E$7*V236)</f>
        <v>0</v>
      </c>
      <c r="X236">
        <f>0.61365*exp(17.502*W236/(240.97+W236))</f>
        <v>0</v>
      </c>
      <c r="Y236">
        <f>(Z236/AA236*100)</f>
        <v>0</v>
      </c>
      <c r="Z236">
        <f>DD236*(DI236+DJ236)/1000</f>
        <v>0</v>
      </c>
      <c r="AA236">
        <f>0.61365*exp(17.502*DK236/(240.97+DK236))</f>
        <v>0</v>
      </c>
      <c r="AB236">
        <f>(X236-DD236*(DI236+DJ236)/1000)</f>
        <v>0</v>
      </c>
      <c r="AC236">
        <f>(-J236*44100)</f>
        <v>0</v>
      </c>
      <c r="AD236">
        <f>2*29.3*R236*0.92*(DK236-W236)</f>
        <v>0</v>
      </c>
      <c r="AE236">
        <f>2*0.95*5.67E-8*(((DK236+$B$7)+273)^4-(W236+273)^4)</f>
        <v>0</v>
      </c>
      <c r="AF236">
        <f>U236+AE236+AC236+AD236</f>
        <v>0</v>
      </c>
      <c r="AG236">
        <f>DH236*AU236*(DC236-DB236*(1000-AU236*DE236)/(1000-AU236*DD236))/(100*CV236)</f>
        <v>0</v>
      </c>
      <c r="AH236">
        <f>1000*DH236*AU236*(DD236-DE236)/(100*CV236*(1000-AU236*DD236))</f>
        <v>0</v>
      </c>
      <c r="AI236">
        <f>(AJ236 - AK236 - DI236*1E3/(8.314*(DK236+273.15)) * AM236/DH236 * AL236) * DH236/(100*CV236) * (1000 - DE236)/1000</f>
        <v>0</v>
      </c>
      <c r="AJ236">
        <v>1447.397090438197</v>
      </c>
      <c r="AK236">
        <v>1400.486848484848</v>
      </c>
      <c r="AL236">
        <v>3.430779347338181</v>
      </c>
      <c r="AM236">
        <v>66.38384787954378</v>
      </c>
      <c r="AN236">
        <f>(AP236 - AO236 + DI236*1E3/(8.314*(DK236+273.15)) * AR236/DH236 * AQ236) * DH236/(100*CV236) * 1000/(1000 - AP236)</f>
        <v>0</v>
      </c>
      <c r="AO236">
        <v>10.85756193202201</v>
      </c>
      <c r="AP236">
        <v>17.98692117647058</v>
      </c>
      <c r="AQ236">
        <v>0.0001576806292663889</v>
      </c>
      <c r="AR236">
        <v>80.44866334591464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MAX(0,($B$13+$C$13*DP236)/(1+$D$13*DP236)*DI236/(DK236+273)*$E$13)</f>
        <v>0</v>
      </c>
      <c r="AX236" t="s">
        <v>417</v>
      </c>
      <c r="AY236" t="s">
        <v>417</v>
      </c>
      <c r="AZ236">
        <v>0</v>
      </c>
      <c r="BA236">
        <v>0</v>
      </c>
      <c r="BB236">
        <f>1-AZ236/BA236</f>
        <v>0</v>
      </c>
      <c r="BC236">
        <v>0</v>
      </c>
      <c r="BD236" t="s">
        <v>417</v>
      </c>
      <c r="BE236" t="s">
        <v>417</v>
      </c>
      <c r="BF236">
        <v>0</v>
      </c>
      <c r="BG236">
        <v>0</v>
      </c>
      <c r="BH236">
        <f>1-BF236/BG236</f>
        <v>0</v>
      </c>
      <c r="BI236">
        <v>0.5</v>
      </c>
      <c r="BJ236">
        <f>CS236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417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1238</v>
      </c>
      <c r="CA236">
        <v>300</v>
      </c>
      <c r="CB236">
        <v>300</v>
      </c>
      <c r="CC236">
        <v>300</v>
      </c>
      <c r="CD236">
        <v>10440.5</v>
      </c>
      <c r="CE236">
        <v>1411.69</v>
      </c>
      <c r="CF236">
        <v>-0.00735121</v>
      </c>
      <c r="CG236">
        <v>-0.77</v>
      </c>
      <c r="CH236" t="s">
        <v>417</v>
      </c>
      <c r="CI236" t="s">
        <v>417</v>
      </c>
      <c r="CJ236" t="s">
        <v>417</v>
      </c>
      <c r="CK236" t="s">
        <v>417</v>
      </c>
      <c r="CL236" t="s">
        <v>417</v>
      </c>
      <c r="CM236" t="s">
        <v>417</v>
      </c>
      <c r="CN236" t="s">
        <v>417</v>
      </c>
      <c r="CO236" t="s">
        <v>417</v>
      </c>
      <c r="CP236" t="s">
        <v>417</v>
      </c>
      <c r="CQ236" t="s">
        <v>417</v>
      </c>
      <c r="CR236">
        <f>$B$11*DQ236+$C$11*DR236+$F$11*EC236*(1-EF236)</f>
        <v>0</v>
      </c>
      <c r="CS236">
        <f>CR236*CT236</f>
        <v>0</v>
      </c>
      <c r="CT236">
        <f>($B$11*$D$9+$C$11*$D$9+$F$11*((EP236+EH236)/MAX(EP236+EH236+EQ236, 0.1)*$I$9+EQ236/MAX(EP236+EH236+EQ236, 0.1)*$J$9))/($B$11+$C$11+$F$11)</f>
        <v>0</v>
      </c>
      <c r="CU236">
        <f>($B$11*$K$9+$C$11*$K$9+$F$11*((EP236+EH236)/MAX(EP236+EH236+EQ236, 0.1)*$P$9+EQ236/MAX(EP236+EH236+EQ236, 0.1)*$Q$9))/($B$11+$C$11+$F$11)</f>
        <v>0</v>
      </c>
      <c r="CV236">
        <v>6</v>
      </c>
      <c r="CW236">
        <v>0.5</v>
      </c>
      <c r="CX236" t="s">
        <v>418</v>
      </c>
      <c r="CY236">
        <v>2</v>
      </c>
      <c r="CZ236" t="b">
        <v>1</v>
      </c>
      <c r="DA236">
        <v>1651857723.1</v>
      </c>
      <c r="DB236">
        <v>1373.623333333333</v>
      </c>
      <c r="DC236">
        <v>1437.403333333333</v>
      </c>
      <c r="DD236">
        <v>17.99003333333333</v>
      </c>
      <c r="DE236">
        <v>10.9402</v>
      </c>
      <c r="DF236">
        <v>1376.596666666667</v>
      </c>
      <c r="DG236">
        <v>17.98976666666667</v>
      </c>
      <c r="DH236">
        <v>500.0226666666667</v>
      </c>
      <c r="DI236">
        <v>90.07906666666666</v>
      </c>
      <c r="DJ236">
        <v>0.1000543333333333</v>
      </c>
      <c r="DK236">
        <v>25.72543333333333</v>
      </c>
      <c r="DL236">
        <v>25.0204</v>
      </c>
      <c r="DM236">
        <v>999.9</v>
      </c>
      <c r="DN236">
        <v>0</v>
      </c>
      <c r="DO236">
        <v>0</v>
      </c>
      <c r="DP236">
        <v>9995.209999999999</v>
      </c>
      <c r="DQ236">
        <v>0</v>
      </c>
      <c r="DR236">
        <v>3.23193</v>
      </c>
      <c r="DS236">
        <v>-63.77976666666666</v>
      </c>
      <c r="DT236">
        <v>1398.786666666667</v>
      </c>
      <c r="DU236">
        <v>1453.3</v>
      </c>
      <c r="DV236">
        <v>7.049853333333334</v>
      </c>
      <c r="DW236">
        <v>1437.403333333333</v>
      </c>
      <c r="DX236">
        <v>10.9402</v>
      </c>
      <c r="DY236">
        <v>1.620523333333334</v>
      </c>
      <c r="DZ236">
        <v>0.9854823333333332</v>
      </c>
      <c r="EA236">
        <v>14.1554</v>
      </c>
      <c r="EB236">
        <v>6.70349</v>
      </c>
      <c r="EC236">
        <v>1500.1</v>
      </c>
      <c r="ED236">
        <v>0.9729966666666666</v>
      </c>
      <c r="EE236">
        <v>0.02700326666666666</v>
      </c>
      <c r="EF236">
        <v>0</v>
      </c>
      <c r="EG236">
        <v>935.1263333333333</v>
      </c>
      <c r="EH236">
        <v>5.00097</v>
      </c>
      <c r="EI236">
        <v>13900.73333333333</v>
      </c>
      <c r="EJ236">
        <v>12492.43333333333</v>
      </c>
      <c r="EK236">
        <v>37.5</v>
      </c>
      <c r="EL236">
        <v>39</v>
      </c>
      <c r="EM236">
        <v>37.875</v>
      </c>
      <c r="EN236">
        <v>38.75</v>
      </c>
      <c r="EO236">
        <v>38.375</v>
      </c>
      <c r="EP236">
        <v>1454.73</v>
      </c>
      <c r="EQ236">
        <v>40.37</v>
      </c>
      <c r="ER236">
        <v>0</v>
      </c>
      <c r="ES236">
        <v>723</v>
      </c>
      <c r="ET236">
        <v>0</v>
      </c>
      <c r="EU236">
        <v>937.4931153846154</v>
      </c>
      <c r="EV236">
        <v>-24.81870086551235</v>
      </c>
      <c r="EW236">
        <v>-379.1863247340339</v>
      </c>
      <c r="EX236">
        <v>13940.36153846154</v>
      </c>
      <c r="EY236">
        <v>15</v>
      </c>
      <c r="EZ236">
        <v>1651857041.1</v>
      </c>
      <c r="FA236" t="s">
        <v>419</v>
      </c>
      <c r="FB236">
        <v>1651857019.6</v>
      </c>
      <c r="FC236">
        <v>1651857041.1</v>
      </c>
      <c r="FD236">
        <v>1</v>
      </c>
      <c r="FE236">
        <v>0.545</v>
      </c>
      <c r="FF236">
        <v>-0.002</v>
      </c>
      <c r="FG236">
        <v>-1.271</v>
      </c>
      <c r="FH236">
        <v>-0.09</v>
      </c>
      <c r="FI236">
        <v>400</v>
      </c>
      <c r="FJ236">
        <v>10</v>
      </c>
      <c r="FK236">
        <v>0.1</v>
      </c>
      <c r="FL236">
        <v>0.02</v>
      </c>
      <c r="FM236">
        <v>-63.66205853658537</v>
      </c>
      <c r="FN236">
        <v>-3.481227177700283</v>
      </c>
      <c r="FO236">
        <v>0.3929919356062118</v>
      </c>
      <c r="FP236">
        <v>-1</v>
      </c>
      <c r="FQ236">
        <v>7.297032439024391</v>
      </c>
      <c r="FR236">
        <v>-1.619331637630667</v>
      </c>
      <c r="FS236">
        <v>0.1603041047019541</v>
      </c>
      <c r="FT236">
        <v>-1</v>
      </c>
      <c r="FU236">
        <v>0</v>
      </c>
      <c r="FV236">
        <v>0</v>
      </c>
      <c r="FW236">
        <v>0</v>
      </c>
      <c r="FX236">
        <v>-1</v>
      </c>
      <c r="FY236">
        <v>0</v>
      </c>
      <c r="FZ236">
        <v>0</v>
      </c>
      <c r="GA236" t="s">
        <v>432</v>
      </c>
      <c r="GB236">
        <v>2.98003</v>
      </c>
      <c r="GC236">
        <v>2.70615</v>
      </c>
      <c r="GD236">
        <v>0.209277</v>
      </c>
      <c r="GE236">
        <v>0.212717</v>
      </c>
      <c r="GF236">
        <v>0.08651540000000001</v>
      </c>
      <c r="GG236">
        <v>0.0593685</v>
      </c>
      <c r="GH236">
        <v>24949.6</v>
      </c>
      <c r="GI236">
        <v>24894.9</v>
      </c>
      <c r="GJ236">
        <v>29343.5</v>
      </c>
      <c r="GK236">
        <v>29256.6</v>
      </c>
      <c r="GL236">
        <v>35499.1</v>
      </c>
      <c r="GM236">
        <v>36651.8</v>
      </c>
      <c r="GN236">
        <v>41305.6</v>
      </c>
      <c r="GO236">
        <v>41753.6</v>
      </c>
      <c r="GP236">
        <v>1.95357</v>
      </c>
      <c r="GQ236">
        <v>1.84098</v>
      </c>
      <c r="GR236">
        <v>-0.0330061</v>
      </c>
      <c r="GS236">
        <v>0</v>
      </c>
      <c r="GT236">
        <v>25.5627</v>
      </c>
      <c r="GU236">
        <v>999.9</v>
      </c>
      <c r="GV236">
        <v>38.3</v>
      </c>
      <c r="GW236">
        <v>34</v>
      </c>
      <c r="GX236">
        <v>22.7176</v>
      </c>
      <c r="GY236">
        <v>62.6276</v>
      </c>
      <c r="GZ236">
        <v>35.0321</v>
      </c>
      <c r="HA236">
        <v>1</v>
      </c>
      <c r="HB236">
        <v>0.136593</v>
      </c>
      <c r="HC236">
        <v>2.64209</v>
      </c>
      <c r="HD236">
        <v>20.3133</v>
      </c>
      <c r="HE236">
        <v>5.21804</v>
      </c>
      <c r="HF236">
        <v>12.0099</v>
      </c>
      <c r="HG236">
        <v>4.98905</v>
      </c>
      <c r="HH236">
        <v>3.28865</v>
      </c>
      <c r="HI236">
        <v>856.7</v>
      </c>
      <c r="HJ236">
        <v>8527</v>
      </c>
      <c r="HK236">
        <v>5139.4</v>
      </c>
      <c r="HL236">
        <v>22.9</v>
      </c>
      <c r="HM236">
        <v>1.8675</v>
      </c>
      <c r="HN236">
        <v>1.86646</v>
      </c>
      <c r="HO236">
        <v>1.866</v>
      </c>
      <c r="HP236">
        <v>1.86587</v>
      </c>
      <c r="HQ236">
        <v>1.86773</v>
      </c>
      <c r="HR236">
        <v>1.87025</v>
      </c>
      <c r="HS236">
        <v>1.8689</v>
      </c>
      <c r="HT236">
        <v>1.87027</v>
      </c>
      <c r="HU236">
        <v>0</v>
      </c>
      <c r="HV236">
        <v>0</v>
      </c>
      <c r="HW236">
        <v>0</v>
      </c>
      <c r="HX236">
        <v>0</v>
      </c>
      <c r="HY236" t="s">
        <v>421</v>
      </c>
      <c r="HZ236" t="s">
        <v>422</v>
      </c>
      <c r="IA236" t="s">
        <v>423</v>
      </c>
      <c r="IB236" t="s">
        <v>423</v>
      </c>
      <c r="IC236" t="s">
        <v>423</v>
      </c>
      <c r="ID236" t="s">
        <v>423</v>
      </c>
      <c r="IE236">
        <v>0</v>
      </c>
      <c r="IF236">
        <v>100</v>
      </c>
      <c r="IG236">
        <v>100</v>
      </c>
      <c r="IH236">
        <v>-2.98</v>
      </c>
      <c r="II236">
        <v>0.0002</v>
      </c>
      <c r="IJ236">
        <v>-0.4995723906072</v>
      </c>
      <c r="IK236">
        <v>-0.002077099775823331</v>
      </c>
      <c r="IL236">
        <v>4.593143279902166E-07</v>
      </c>
      <c r="IM236">
        <v>-1.865383991892071E-10</v>
      </c>
      <c r="IN236">
        <v>-0.07605349583632376</v>
      </c>
      <c r="IO236">
        <v>-0.01129461987421345</v>
      </c>
      <c r="IP236">
        <v>0.00116580895745559</v>
      </c>
      <c r="IQ236">
        <v>-1.679085872906199E-05</v>
      </c>
      <c r="IR236">
        <v>2</v>
      </c>
      <c r="IS236">
        <v>2290</v>
      </c>
      <c r="IT236">
        <v>0</v>
      </c>
      <c r="IU236">
        <v>32</v>
      </c>
      <c r="IV236">
        <v>11.7</v>
      </c>
      <c r="IW236">
        <v>11.4</v>
      </c>
      <c r="IX236">
        <v>2.80396</v>
      </c>
      <c r="IY236">
        <v>2.19971</v>
      </c>
      <c r="IZ236">
        <v>1.39648</v>
      </c>
      <c r="JA236">
        <v>2.36084</v>
      </c>
      <c r="JB236">
        <v>1.49536</v>
      </c>
      <c r="JC236">
        <v>2.29614</v>
      </c>
      <c r="JD236">
        <v>38.5014</v>
      </c>
      <c r="JE236">
        <v>24.035</v>
      </c>
      <c r="JF236">
        <v>18</v>
      </c>
      <c r="JG236">
        <v>513.545</v>
      </c>
      <c r="JH236">
        <v>426.625</v>
      </c>
      <c r="JI236">
        <v>22.1431</v>
      </c>
      <c r="JJ236">
        <v>29.0761</v>
      </c>
      <c r="JK236">
        <v>30</v>
      </c>
      <c r="JL236">
        <v>29.0751</v>
      </c>
      <c r="JM236">
        <v>29.0193</v>
      </c>
      <c r="JN236">
        <v>56.1103</v>
      </c>
      <c r="JO236">
        <v>47.8079</v>
      </c>
      <c r="JP236">
        <v>0</v>
      </c>
      <c r="JQ236">
        <v>22.1278</v>
      </c>
      <c r="JR236">
        <v>1457.91</v>
      </c>
      <c r="JS236">
        <v>11.1698</v>
      </c>
      <c r="JT236">
        <v>100.307</v>
      </c>
      <c r="JU236">
        <v>100.216</v>
      </c>
    </row>
    <row r="237" spans="1:281">
      <c r="A237">
        <v>221</v>
      </c>
      <c r="B237">
        <v>1651857726.1</v>
      </c>
      <c r="C237">
        <v>725.5</v>
      </c>
      <c r="D237" t="s">
        <v>869</v>
      </c>
      <c r="E237" t="s">
        <v>870</v>
      </c>
      <c r="F237">
        <v>2</v>
      </c>
      <c r="G237" t="s">
        <v>413</v>
      </c>
      <c r="H237" t="s">
        <v>414</v>
      </c>
      <c r="I237">
        <v>1651857724.725</v>
      </c>
      <c r="J237">
        <f>(K237)/1000</f>
        <v>0</v>
      </c>
      <c r="K237">
        <f>IF(CZ237, AN237, AH237)</f>
        <v>0</v>
      </c>
      <c r="L237">
        <f>IF(CZ237, AI237, AG237)</f>
        <v>0</v>
      </c>
      <c r="M237">
        <f>DB237 - IF(AU237&gt;1, L237*CV237*100.0/(AW237*DP237), 0)</f>
        <v>0</v>
      </c>
      <c r="N237">
        <f>((T237-J237/2)*M237-L237)/(T237+J237/2)</f>
        <v>0</v>
      </c>
      <c r="O237">
        <f>N237*(DI237+DJ237)/1000.0</f>
        <v>0</v>
      </c>
      <c r="P237">
        <f>(DB237 - IF(AU237&gt;1, L237*CV237*100.0/(AW237*DP237), 0))*(DI237+DJ237)/1000.0</f>
        <v>0</v>
      </c>
      <c r="Q237">
        <f>2.0/((1/S237-1/R237)+SIGN(S237)*SQRT((1/S237-1/R237)*(1/S237-1/R237) + 4*CW237/((CW237+1)*(CW237+1))*(2*1/S237*1/R237-1/R237*1/R237)))</f>
        <v>0</v>
      </c>
      <c r="R237">
        <f>IF(LEFT(CX237,1)&lt;&gt;"0",IF(LEFT(CX237,1)="1",3.0,CY237),$D$5+$E$5*(DP237*DI237/($K$5*1000))+$F$5*(DP237*DI237/($K$5*1000))*MAX(MIN(CV237,$J$5),$I$5)*MAX(MIN(CV237,$J$5),$I$5)+$G$5*MAX(MIN(CV237,$J$5),$I$5)*(DP237*DI237/($K$5*1000))+$H$5*(DP237*DI237/($K$5*1000))*(DP237*DI237/($K$5*1000)))</f>
        <v>0</v>
      </c>
      <c r="S237">
        <f>J237*(1000-(1000*0.61365*exp(17.502*W237/(240.97+W237))/(DI237+DJ237)+DD237)/2)/(1000*0.61365*exp(17.502*W237/(240.97+W237))/(DI237+DJ237)-DD237)</f>
        <v>0</v>
      </c>
      <c r="T237">
        <f>1/((CW237+1)/(Q237/1.6)+1/(R237/1.37)) + CW237/((CW237+1)/(Q237/1.6) + CW237/(R237/1.37))</f>
        <v>0</v>
      </c>
      <c r="U237">
        <f>(CR237*CU237)</f>
        <v>0</v>
      </c>
      <c r="V237">
        <f>(DK237+(U237+2*0.95*5.67E-8*(((DK237+$B$7)+273)^4-(DK237+273)^4)-44100*J237)/(1.84*29.3*R237+8*0.95*5.67E-8*(DK237+273)^3))</f>
        <v>0</v>
      </c>
      <c r="W237">
        <f>($C$7*DL237+$D$7*DM237+$E$7*V237)</f>
        <v>0</v>
      </c>
      <c r="X237">
        <f>0.61365*exp(17.502*W237/(240.97+W237))</f>
        <v>0</v>
      </c>
      <c r="Y237">
        <f>(Z237/AA237*100)</f>
        <v>0</v>
      </c>
      <c r="Z237">
        <f>DD237*(DI237+DJ237)/1000</f>
        <v>0</v>
      </c>
      <c r="AA237">
        <f>0.61365*exp(17.502*DK237/(240.97+DK237))</f>
        <v>0</v>
      </c>
      <c r="AB237">
        <f>(X237-DD237*(DI237+DJ237)/1000)</f>
        <v>0</v>
      </c>
      <c r="AC237">
        <f>(-J237*44100)</f>
        <v>0</v>
      </c>
      <c r="AD237">
        <f>2*29.3*R237*0.92*(DK237-W237)</f>
        <v>0</v>
      </c>
      <c r="AE237">
        <f>2*0.95*5.67E-8*(((DK237+$B$7)+273)^4-(W237+273)^4)</f>
        <v>0</v>
      </c>
      <c r="AF237">
        <f>U237+AE237+AC237+AD237</f>
        <v>0</v>
      </c>
      <c r="AG237">
        <f>DH237*AU237*(DC237-DB237*(1000-AU237*DE237)/(1000-AU237*DD237))/(100*CV237)</f>
        <v>0</v>
      </c>
      <c r="AH237">
        <f>1000*DH237*AU237*(DD237-DE237)/(100*CV237*(1000-AU237*DD237))</f>
        <v>0</v>
      </c>
      <c r="AI237">
        <f>(AJ237 - AK237 - DI237*1E3/(8.314*(DK237+273.15)) * AM237/DH237 * AL237) * DH237/(100*CV237) * (1000 - DE237)/1000</f>
        <v>0</v>
      </c>
      <c r="AJ237">
        <v>1454.113749897587</v>
      </c>
      <c r="AK237">
        <v>1407.134242424242</v>
      </c>
      <c r="AL237">
        <v>3.358581954300514</v>
      </c>
      <c r="AM237">
        <v>66.38384787954378</v>
      </c>
      <c r="AN237">
        <f>(AP237 - AO237 + DI237*1E3/(8.314*(DK237+273.15)) * AR237/DH237 * AQ237) * DH237/(100*CV237) * 1000/(1000 - AP237)</f>
        <v>0</v>
      </c>
      <c r="AO237">
        <v>10.89905046096236</v>
      </c>
      <c r="AP237">
        <v>17.97988470588234</v>
      </c>
      <c r="AQ237">
        <v>-0.0001034523278487861</v>
      </c>
      <c r="AR237">
        <v>80.44866334591464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MAX(0,($B$13+$C$13*DP237)/(1+$D$13*DP237)*DI237/(DK237+273)*$E$13)</f>
        <v>0</v>
      </c>
      <c r="AX237" t="s">
        <v>417</v>
      </c>
      <c r="AY237" t="s">
        <v>417</v>
      </c>
      <c r="AZ237">
        <v>0</v>
      </c>
      <c r="BA237">
        <v>0</v>
      </c>
      <c r="BB237">
        <f>1-AZ237/BA237</f>
        <v>0</v>
      </c>
      <c r="BC237">
        <v>0</v>
      </c>
      <c r="BD237" t="s">
        <v>417</v>
      </c>
      <c r="BE237" t="s">
        <v>417</v>
      </c>
      <c r="BF237">
        <v>0</v>
      </c>
      <c r="BG237">
        <v>0</v>
      </c>
      <c r="BH237">
        <f>1-BF237/BG237</f>
        <v>0</v>
      </c>
      <c r="BI237">
        <v>0.5</v>
      </c>
      <c r="BJ237">
        <f>CS237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417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1238</v>
      </c>
      <c r="CA237">
        <v>300</v>
      </c>
      <c r="CB237">
        <v>300</v>
      </c>
      <c r="CC237">
        <v>300</v>
      </c>
      <c r="CD237">
        <v>10440.5</v>
      </c>
      <c r="CE237">
        <v>1411.69</v>
      </c>
      <c r="CF237">
        <v>-0.00735121</v>
      </c>
      <c r="CG237">
        <v>-0.77</v>
      </c>
      <c r="CH237" t="s">
        <v>417</v>
      </c>
      <c r="CI237" t="s">
        <v>417</v>
      </c>
      <c r="CJ237" t="s">
        <v>417</v>
      </c>
      <c r="CK237" t="s">
        <v>417</v>
      </c>
      <c r="CL237" t="s">
        <v>417</v>
      </c>
      <c r="CM237" t="s">
        <v>417</v>
      </c>
      <c r="CN237" t="s">
        <v>417</v>
      </c>
      <c r="CO237" t="s">
        <v>417</v>
      </c>
      <c r="CP237" t="s">
        <v>417</v>
      </c>
      <c r="CQ237" t="s">
        <v>417</v>
      </c>
      <c r="CR237">
        <f>$B$11*DQ237+$C$11*DR237+$F$11*EC237*(1-EF237)</f>
        <v>0</v>
      </c>
      <c r="CS237">
        <f>CR237*CT237</f>
        <v>0</v>
      </c>
      <c r="CT237">
        <f>($B$11*$D$9+$C$11*$D$9+$F$11*((EP237+EH237)/MAX(EP237+EH237+EQ237, 0.1)*$I$9+EQ237/MAX(EP237+EH237+EQ237, 0.1)*$J$9))/($B$11+$C$11+$F$11)</f>
        <v>0</v>
      </c>
      <c r="CU237">
        <f>($B$11*$K$9+$C$11*$K$9+$F$11*((EP237+EH237)/MAX(EP237+EH237+EQ237, 0.1)*$P$9+EQ237/MAX(EP237+EH237+EQ237, 0.1)*$Q$9))/($B$11+$C$11+$F$11)</f>
        <v>0</v>
      </c>
      <c r="CV237">
        <v>6</v>
      </c>
      <c r="CW237">
        <v>0.5</v>
      </c>
      <c r="CX237" t="s">
        <v>418</v>
      </c>
      <c r="CY237">
        <v>2</v>
      </c>
      <c r="CZ237" t="b">
        <v>1</v>
      </c>
      <c r="DA237">
        <v>1651857724.725</v>
      </c>
      <c r="DB237">
        <v>1378.9725</v>
      </c>
      <c r="DC237">
        <v>1442.9325</v>
      </c>
      <c r="DD237">
        <v>17.984175</v>
      </c>
      <c r="DE237">
        <v>10.9869</v>
      </c>
      <c r="DF237">
        <v>1381.955</v>
      </c>
      <c r="DG237">
        <v>17.98395</v>
      </c>
      <c r="DH237">
        <v>500.0495</v>
      </c>
      <c r="DI237">
        <v>90.07832499999999</v>
      </c>
      <c r="DJ237">
        <v>0.099979625</v>
      </c>
      <c r="DK237">
        <v>25.724575</v>
      </c>
      <c r="DL237">
        <v>25.0203</v>
      </c>
      <c r="DM237">
        <v>999.9</v>
      </c>
      <c r="DN237">
        <v>0</v>
      </c>
      <c r="DO237">
        <v>0</v>
      </c>
      <c r="DP237">
        <v>10001.87</v>
      </c>
      <c r="DQ237">
        <v>0</v>
      </c>
      <c r="DR237">
        <v>3.23193</v>
      </c>
      <c r="DS237">
        <v>-63.95905</v>
      </c>
      <c r="DT237">
        <v>1404.225</v>
      </c>
      <c r="DU237">
        <v>1458.9575</v>
      </c>
      <c r="DV237">
        <v>6.9972825</v>
      </c>
      <c r="DW237">
        <v>1442.9325</v>
      </c>
      <c r="DX237">
        <v>10.9869</v>
      </c>
      <c r="DY237">
        <v>1.6199825</v>
      </c>
      <c r="DZ237">
        <v>0.9896815</v>
      </c>
      <c r="EA237">
        <v>14.15025</v>
      </c>
      <c r="EB237">
        <v>6.76533</v>
      </c>
      <c r="EC237">
        <v>1499.9425</v>
      </c>
      <c r="ED237">
        <v>0.973008</v>
      </c>
      <c r="EE237">
        <v>0.026991925</v>
      </c>
      <c r="EF237">
        <v>0</v>
      </c>
      <c r="EG237">
        <v>934.3440000000001</v>
      </c>
      <c r="EH237">
        <v>5.00097</v>
      </c>
      <c r="EI237">
        <v>13889.6</v>
      </c>
      <c r="EJ237">
        <v>12491.2</v>
      </c>
      <c r="EK237">
        <v>37.5</v>
      </c>
      <c r="EL237">
        <v>39</v>
      </c>
      <c r="EM237">
        <v>37.875</v>
      </c>
      <c r="EN237">
        <v>38.75</v>
      </c>
      <c r="EO237">
        <v>38.375</v>
      </c>
      <c r="EP237">
        <v>1454.5925</v>
      </c>
      <c r="EQ237">
        <v>40.35</v>
      </c>
      <c r="ER237">
        <v>0</v>
      </c>
      <c r="ES237">
        <v>724.8000001907349</v>
      </c>
      <c r="ET237">
        <v>0</v>
      </c>
      <c r="EU237">
        <v>936.6276000000001</v>
      </c>
      <c r="EV237">
        <v>-23.57161535861367</v>
      </c>
      <c r="EW237">
        <v>-377.1615377904018</v>
      </c>
      <c r="EX237">
        <v>13927.22</v>
      </c>
      <c r="EY237">
        <v>15</v>
      </c>
      <c r="EZ237">
        <v>1651857041.1</v>
      </c>
      <c r="FA237" t="s">
        <v>419</v>
      </c>
      <c r="FB237">
        <v>1651857019.6</v>
      </c>
      <c r="FC237">
        <v>1651857041.1</v>
      </c>
      <c r="FD237">
        <v>1</v>
      </c>
      <c r="FE237">
        <v>0.545</v>
      </c>
      <c r="FF237">
        <v>-0.002</v>
      </c>
      <c r="FG237">
        <v>-1.271</v>
      </c>
      <c r="FH237">
        <v>-0.09</v>
      </c>
      <c r="FI237">
        <v>400</v>
      </c>
      <c r="FJ237">
        <v>10</v>
      </c>
      <c r="FK237">
        <v>0.1</v>
      </c>
      <c r="FL237">
        <v>0.02</v>
      </c>
      <c r="FM237">
        <v>-63.70232195121951</v>
      </c>
      <c r="FN237">
        <v>-3.230343554007073</v>
      </c>
      <c r="FO237">
        <v>0.377707481674994</v>
      </c>
      <c r="FP237">
        <v>-1</v>
      </c>
      <c r="FQ237">
        <v>7.269880975609755</v>
      </c>
      <c r="FR237">
        <v>-1.614730662020907</v>
      </c>
      <c r="FS237">
        <v>0.1598495471099099</v>
      </c>
      <c r="FT237">
        <v>-1</v>
      </c>
      <c r="FU237">
        <v>0</v>
      </c>
      <c r="FV237">
        <v>0</v>
      </c>
      <c r="FW237">
        <v>0</v>
      </c>
      <c r="FX237">
        <v>-1</v>
      </c>
      <c r="FY237">
        <v>0</v>
      </c>
      <c r="FZ237">
        <v>0</v>
      </c>
      <c r="GA237" t="s">
        <v>432</v>
      </c>
      <c r="GB237">
        <v>2.98001</v>
      </c>
      <c r="GC237">
        <v>2.706</v>
      </c>
      <c r="GD237">
        <v>0.209889</v>
      </c>
      <c r="GE237">
        <v>0.213327</v>
      </c>
      <c r="GF237">
        <v>0.08649370000000001</v>
      </c>
      <c r="GG237">
        <v>0.0595736</v>
      </c>
      <c r="GH237">
        <v>24930.2</v>
      </c>
      <c r="GI237">
        <v>24875.5</v>
      </c>
      <c r="GJ237">
        <v>29343.4</v>
      </c>
      <c r="GK237">
        <v>29256.5</v>
      </c>
      <c r="GL237">
        <v>35499.8</v>
      </c>
      <c r="GM237">
        <v>36643.6</v>
      </c>
      <c r="GN237">
        <v>41305.5</v>
      </c>
      <c r="GO237">
        <v>41753.5</v>
      </c>
      <c r="GP237">
        <v>1.9537</v>
      </c>
      <c r="GQ237">
        <v>1.84107</v>
      </c>
      <c r="GR237">
        <v>-0.033088</v>
      </c>
      <c r="GS237">
        <v>0</v>
      </c>
      <c r="GT237">
        <v>25.5627</v>
      </c>
      <c r="GU237">
        <v>999.9</v>
      </c>
      <c r="GV237">
        <v>38.3</v>
      </c>
      <c r="GW237">
        <v>34</v>
      </c>
      <c r="GX237">
        <v>22.7182</v>
      </c>
      <c r="GY237">
        <v>62.4876</v>
      </c>
      <c r="GZ237">
        <v>35.4006</v>
      </c>
      <c r="HA237">
        <v>1</v>
      </c>
      <c r="HB237">
        <v>0.136321</v>
      </c>
      <c r="HC237">
        <v>2.65785</v>
      </c>
      <c r="HD237">
        <v>20.3133</v>
      </c>
      <c r="HE237">
        <v>5.21819</v>
      </c>
      <c r="HF237">
        <v>12.0099</v>
      </c>
      <c r="HG237">
        <v>4.989</v>
      </c>
      <c r="HH237">
        <v>3.28865</v>
      </c>
      <c r="HI237">
        <v>856.7</v>
      </c>
      <c r="HJ237">
        <v>8527</v>
      </c>
      <c r="HK237">
        <v>5139.4</v>
      </c>
      <c r="HL237">
        <v>22.9</v>
      </c>
      <c r="HM237">
        <v>1.86751</v>
      </c>
      <c r="HN237">
        <v>1.86646</v>
      </c>
      <c r="HO237">
        <v>1.866</v>
      </c>
      <c r="HP237">
        <v>1.86586</v>
      </c>
      <c r="HQ237">
        <v>1.86772</v>
      </c>
      <c r="HR237">
        <v>1.87025</v>
      </c>
      <c r="HS237">
        <v>1.8689</v>
      </c>
      <c r="HT237">
        <v>1.87027</v>
      </c>
      <c r="HU237">
        <v>0</v>
      </c>
      <c r="HV237">
        <v>0</v>
      </c>
      <c r="HW237">
        <v>0</v>
      </c>
      <c r="HX237">
        <v>0</v>
      </c>
      <c r="HY237" t="s">
        <v>421</v>
      </c>
      <c r="HZ237" t="s">
        <v>422</v>
      </c>
      <c r="IA237" t="s">
        <v>423</v>
      </c>
      <c r="IB237" t="s">
        <v>423</v>
      </c>
      <c r="IC237" t="s">
        <v>423</v>
      </c>
      <c r="ID237" t="s">
        <v>423</v>
      </c>
      <c r="IE237">
        <v>0</v>
      </c>
      <c r="IF237">
        <v>100</v>
      </c>
      <c r="IG237">
        <v>100</v>
      </c>
      <c r="IH237">
        <v>-2.99</v>
      </c>
      <c r="II237">
        <v>0.0001</v>
      </c>
      <c r="IJ237">
        <v>-0.4995723906072</v>
      </c>
      <c r="IK237">
        <v>-0.002077099775823331</v>
      </c>
      <c r="IL237">
        <v>4.593143279902166E-07</v>
      </c>
      <c r="IM237">
        <v>-1.865383991892071E-10</v>
      </c>
      <c r="IN237">
        <v>-0.07605349583632376</v>
      </c>
      <c r="IO237">
        <v>-0.01129461987421345</v>
      </c>
      <c r="IP237">
        <v>0.00116580895745559</v>
      </c>
      <c r="IQ237">
        <v>-1.679085872906199E-05</v>
      </c>
      <c r="IR237">
        <v>2</v>
      </c>
      <c r="IS237">
        <v>2290</v>
      </c>
      <c r="IT237">
        <v>0</v>
      </c>
      <c r="IU237">
        <v>32</v>
      </c>
      <c r="IV237">
        <v>11.8</v>
      </c>
      <c r="IW237">
        <v>11.4</v>
      </c>
      <c r="IX237">
        <v>2.81494</v>
      </c>
      <c r="IY237">
        <v>2.19604</v>
      </c>
      <c r="IZ237">
        <v>1.39648</v>
      </c>
      <c r="JA237">
        <v>2.35962</v>
      </c>
      <c r="JB237">
        <v>1.49536</v>
      </c>
      <c r="JC237">
        <v>2.34741</v>
      </c>
      <c r="JD237">
        <v>38.5014</v>
      </c>
      <c r="JE237">
        <v>24.035</v>
      </c>
      <c r="JF237">
        <v>18</v>
      </c>
      <c r="JG237">
        <v>513.628</v>
      </c>
      <c r="JH237">
        <v>426.684</v>
      </c>
      <c r="JI237">
        <v>22.1357</v>
      </c>
      <c r="JJ237">
        <v>29.0761</v>
      </c>
      <c r="JK237">
        <v>30</v>
      </c>
      <c r="JL237">
        <v>29.0751</v>
      </c>
      <c r="JM237">
        <v>29.019</v>
      </c>
      <c r="JN237">
        <v>56.3204</v>
      </c>
      <c r="JO237">
        <v>47.4798</v>
      </c>
      <c r="JP237">
        <v>0</v>
      </c>
      <c r="JQ237">
        <v>22.1278</v>
      </c>
      <c r="JR237">
        <v>1464.59</v>
      </c>
      <c r="JS237">
        <v>11.2275</v>
      </c>
      <c r="JT237">
        <v>100.307</v>
      </c>
      <c r="JU237">
        <v>100.216</v>
      </c>
    </row>
    <row r="238" spans="1:281">
      <c r="A238">
        <v>222</v>
      </c>
      <c r="B238">
        <v>1651857728.1</v>
      </c>
      <c r="C238">
        <v>727.5</v>
      </c>
      <c r="D238" t="s">
        <v>871</v>
      </c>
      <c r="E238" t="s">
        <v>872</v>
      </c>
      <c r="F238">
        <v>2</v>
      </c>
      <c r="G238" t="s">
        <v>413</v>
      </c>
      <c r="H238" t="s">
        <v>414</v>
      </c>
      <c r="I238">
        <v>1651857727.1</v>
      </c>
      <c r="J238">
        <f>(K238)/1000</f>
        <v>0</v>
      </c>
      <c r="K238">
        <f>IF(CZ238, AN238, AH238)</f>
        <v>0</v>
      </c>
      <c r="L238">
        <f>IF(CZ238, AI238, AG238)</f>
        <v>0</v>
      </c>
      <c r="M238">
        <f>DB238 - IF(AU238&gt;1, L238*CV238*100.0/(AW238*DP238), 0)</f>
        <v>0</v>
      </c>
      <c r="N238">
        <f>((T238-J238/2)*M238-L238)/(T238+J238/2)</f>
        <v>0</v>
      </c>
      <c r="O238">
        <f>N238*(DI238+DJ238)/1000.0</f>
        <v>0</v>
      </c>
      <c r="P238">
        <f>(DB238 - IF(AU238&gt;1, L238*CV238*100.0/(AW238*DP238), 0))*(DI238+DJ238)/1000.0</f>
        <v>0</v>
      </c>
      <c r="Q238">
        <f>2.0/((1/S238-1/R238)+SIGN(S238)*SQRT((1/S238-1/R238)*(1/S238-1/R238) + 4*CW238/((CW238+1)*(CW238+1))*(2*1/S238*1/R238-1/R238*1/R238)))</f>
        <v>0</v>
      </c>
      <c r="R238">
        <f>IF(LEFT(CX238,1)&lt;&gt;"0",IF(LEFT(CX238,1)="1",3.0,CY238),$D$5+$E$5*(DP238*DI238/($K$5*1000))+$F$5*(DP238*DI238/($K$5*1000))*MAX(MIN(CV238,$J$5),$I$5)*MAX(MIN(CV238,$J$5),$I$5)+$G$5*MAX(MIN(CV238,$J$5),$I$5)*(DP238*DI238/($K$5*1000))+$H$5*(DP238*DI238/($K$5*1000))*(DP238*DI238/($K$5*1000)))</f>
        <v>0</v>
      </c>
      <c r="S238">
        <f>J238*(1000-(1000*0.61365*exp(17.502*W238/(240.97+W238))/(DI238+DJ238)+DD238)/2)/(1000*0.61365*exp(17.502*W238/(240.97+W238))/(DI238+DJ238)-DD238)</f>
        <v>0</v>
      </c>
      <c r="T238">
        <f>1/((CW238+1)/(Q238/1.6)+1/(R238/1.37)) + CW238/((CW238+1)/(Q238/1.6) + CW238/(R238/1.37))</f>
        <v>0</v>
      </c>
      <c r="U238">
        <f>(CR238*CU238)</f>
        <v>0</v>
      </c>
      <c r="V238">
        <f>(DK238+(U238+2*0.95*5.67E-8*(((DK238+$B$7)+273)^4-(DK238+273)^4)-44100*J238)/(1.84*29.3*R238+8*0.95*5.67E-8*(DK238+273)^3))</f>
        <v>0</v>
      </c>
      <c r="W238">
        <f>($C$7*DL238+$D$7*DM238+$E$7*V238)</f>
        <v>0</v>
      </c>
      <c r="X238">
        <f>0.61365*exp(17.502*W238/(240.97+W238))</f>
        <v>0</v>
      </c>
      <c r="Y238">
        <f>(Z238/AA238*100)</f>
        <v>0</v>
      </c>
      <c r="Z238">
        <f>DD238*(DI238+DJ238)/1000</f>
        <v>0</v>
      </c>
      <c r="AA238">
        <f>0.61365*exp(17.502*DK238/(240.97+DK238))</f>
        <v>0</v>
      </c>
      <c r="AB238">
        <f>(X238-DD238*(DI238+DJ238)/1000)</f>
        <v>0</v>
      </c>
      <c r="AC238">
        <f>(-J238*44100)</f>
        <v>0</v>
      </c>
      <c r="AD238">
        <f>2*29.3*R238*0.92*(DK238-W238)</f>
        <v>0</v>
      </c>
      <c r="AE238">
        <f>2*0.95*5.67E-8*(((DK238+$B$7)+273)^4-(W238+273)^4)</f>
        <v>0</v>
      </c>
      <c r="AF238">
        <f>U238+AE238+AC238+AD238</f>
        <v>0</v>
      </c>
      <c r="AG238">
        <f>DH238*AU238*(DC238-DB238*(1000-AU238*DE238)/(1000-AU238*DD238))/(100*CV238)</f>
        <v>0</v>
      </c>
      <c r="AH238">
        <f>1000*DH238*AU238*(DD238-DE238)/(100*CV238*(1000-AU238*DD238))</f>
        <v>0</v>
      </c>
      <c r="AI238">
        <f>(AJ238 - AK238 - DI238*1E3/(8.314*(DK238+273.15)) * AM238/DH238 * AL238) * DH238/(100*CV238) * (1000 - DE238)/1000</f>
        <v>0</v>
      </c>
      <c r="AJ238">
        <v>1461.092156722409</v>
      </c>
      <c r="AK238">
        <v>1413.995696969696</v>
      </c>
      <c r="AL238">
        <v>3.392263008844484</v>
      </c>
      <c r="AM238">
        <v>66.38384787954378</v>
      </c>
      <c r="AN238">
        <f>(AP238 - AO238 + DI238*1E3/(8.314*(DK238+273.15)) * AR238/DH238 * AQ238) * DH238/(100*CV238) * 1000/(1000 - AP238)</f>
        <v>0</v>
      </c>
      <c r="AO238">
        <v>10.95524084594213</v>
      </c>
      <c r="AP238">
        <v>17.97751235294117</v>
      </c>
      <c r="AQ238">
        <v>-0.005260386805469114</v>
      </c>
      <c r="AR238">
        <v>80.44866334591464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MAX(0,($B$13+$C$13*DP238)/(1+$D$13*DP238)*DI238/(DK238+273)*$E$13)</f>
        <v>0</v>
      </c>
      <c r="AX238" t="s">
        <v>417</v>
      </c>
      <c r="AY238" t="s">
        <v>417</v>
      </c>
      <c r="AZ238">
        <v>0</v>
      </c>
      <c r="BA238">
        <v>0</v>
      </c>
      <c r="BB238">
        <f>1-AZ238/BA238</f>
        <v>0</v>
      </c>
      <c r="BC238">
        <v>0</v>
      </c>
      <c r="BD238" t="s">
        <v>417</v>
      </c>
      <c r="BE238" t="s">
        <v>417</v>
      </c>
      <c r="BF238">
        <v>0</v>
      </c>
      <c r="BG238">
        <v>0</v>
      </c>
      <c r="BH238">
        <f>1-BF238/BG238</f>
        <v>0</v>
      </c>
      <c r="BI238">
        <v>0.5</v>
      </c>
      <c r="BJ238">
        <f>CS238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417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1238</v>
      </c>
      <c r="CA238">
        <v>300</v>
      </c>
      <c r="CB238">
        <v>300</v>
      </c>
      <c r="CC238">
        <v>300</v>
      </c>
      <c r="CD238">
        <v>10440.5</v>
      </c>
      <c r="CE238">
        <v>1411.69</v>
      </c>
      <c r="CF238">
        <v>-0.00735121</v>
      </c>
      <c r="CG238">
        <v>-0.77</v>
      </c>
      <c r="CH238" t="s">
        <v>417</v>
      </c>
      <c r="CI238" t="s">
        <v>417</v>
      </c>
      <c r="CJ238" t="s">
        <v>417</v>
      </c>
      <c r="CK238" t="s">
        <v>417</v>
      </c>
      <c r="CL238" t="s">
        <v>417</v>
      </c>
      <c r="CM238" t="s">
        <v>417</v>
      </c>
      <c r="CN238" t="s">
        <v>417</v>
      </c>
      <c r="CO238" t="s">
        <v>417</v>
      </c>
      <c r="CP238" t="s">
        <v>417</v>
      </c>
      <c r="CQ238" t="s">
        <v>417</v>
      </c>
      <c r="CR238">
        <f>$B$11*DQ238+$C$11*DR238+$F$11*EC238*(1-EF238)</f>
        <v>0</v>
      </c>
      <c r="CS238">
        <f>CR238*CT238</f>
        <v>0</v>
      </c>
      <c r="CT238">
        <f>($B$11*$D$9+$C$11*$D$9+$F$11*((EP238+EH238)/MAX(EP238+EH238+EQ238, 0.1)*$I$9+EQ238/MAX(EP238+EH238+EQ238, 0.1)*$J$9))/($B$11+$C$11+$F$11)</f>
        <v>0</v>
      </c>
      <c r="CU238">
        <f>($B$11*$K$9+$C$11*$K$9+$F$11*((EP238+EH238)/MAX(EP238+EH238+EQ238, 0.1)*$P$9+EQ238/MAX(EP238+EH238+EQ238, 0.1)*$Q$9))/($B$11+$C$11+$F$11)</f>
        <v>0</v>
      </c>
      <c r="CV238">
        <v>6</v>
      </c>
      <c r="CW238">
        <v>0.5</v>
      </c>
      <c r="CX238" t="s">
        <v>418</v>
      </c>
      <c r="CY238">
        <v>2</v>
      </c>
      <c r="CZ238" t="b">
        <v>1</v>
      </c>
      <c r="DA238">
        <v>1651857727.1</v>
      </c>
      <c r="DB238">
        <v>1386.89</v>
      </c>
      <c r="DC238">
        <v>1450.906666666667</v>
      </c>
      <c r="DD238">
        <v>17.97846666666667</v>
      </c>
      <c r="DE238">
        <v>11.04293333333333</v>
      </c>
      <c r="DF238">
        <v>1389.89</v>
      </c>
      <c r="DG238">
        <v>17.97836666666666</v>
      </c>
      <c r="DH238">
        <v>500.0723333333333</v>
      </c>
      <c r="DI238">
        <v>90.07740000000001</v>
      </c>
      <c r="DJ238">
        <v>0.09987893333333332</v>
      </c>
      <c r="DK238">
        <v>25.72383333333334</v>
      </c>
      <c r="DL238">
        <v>25.01766666666667</v>
      </c>
      <c r="DM238">
        <v>999.9</v>
      </c>
      <c r="DN238">
        <v>0</v>
      </c>
      <c r="DO238">
        <v>0</v>
      </c>
      <c r="DP238">
        <v>9998.540000000001</v>
      </c>
      <c r="DQ238">
        <v>0</v>
      </c>
      <c r="DR238">
        <v>3.23193</v>
      </c>
      <c r="DS238">
        <v>-64.01916666666666</v>
      </c>
      <c r="DT238">
        <v>1412.28</v>
      </c>
      <c r="DU238">
        <v>1467.106666666667</v>
      </c>
      <c r="DV238">
        <v>6.935596666666666</v>
      </c>
      <c r="DW238">
        <v>1450.906666666667</v>
      </c>
      <c r="DX238">
        <v>11.04293333333333</v>
      </c>
      <c r="DY238">
        <v>1.619453333333333</v>
      </c>
      <c r="DZ238">
        <v>0.9947149999999999</v>
      </c>
      <c r="EA238">
        <v>14.14516666666667</v>
      </c>
      <c r="EB238">
        <v>6.839193333333333</v>
      </c>
      <c r="EC238">
        <v>1499.983333333333</v>
      </c>
      <c r="ED238">
        <v>0.973002</v>
      </c>
      <c r="EE238">
        <v>0.02699806666666666</v>
      </c>
      <c r="EF238">
        <v>0</v>
      </c>
      <c r="EG238">
        <v>933.2109999999999</v>
      </c>
      <c r="EH238">
        <v>5.00097</v>
      </c>
      <c r="EI238">
        <v>13875.53333333333</v>
      </c>
      <c r="EJ238">
        <v>12491.43333333333</v>
      </c>
      <c r="EK238">
        <v>37.5</v>
      </c>
      <c r="EL238">
        <v>39</v>
      </c>
      <c r="EM238">
        <v>37.875</v>
      </c>
      <c r="EN238">
        <v>38.75</v>
      </c>
      <c r="EO238">
        <v>38.375</v>
      </c>
      <c r="EP238">
        <v>1454.623333333333</v>
      </c>
      <c r="EQ238">
        <v>40.36000000000001</v>
      </c>
      <c r="ER238">
        <v>0</v>
      </c>
      <c r="ES238">
        <v>727.2000000476837</v>
      </c>
      <c r="ET238">
        <v>0</v>
      </c>
      <c r="EU238">
        <v>935.6317600000001</v>
      </c>
      <c r="EV238">
        <v>-23.53792311932483</v>
      </c>
      <c r="EW238">
        <v>-371.9076928215358</v>
      </c>
      <c r="EX238">
        <v>13912.464</v>
      </c>
      <c r="EY238">
        <v>15</v>
      </c>
      <c r="EZ238">
        <v>1651857041.1</v>
      </c>
      <c r="FA238" t="s">
        <v>419</v>
      </c>
      <c r="FB238">
        <v>1651857019.6</v>
      </c>
      <c r="FC238">
        <v>1651857041.1</v>
      </c>
      <c r="FD238">
        <v>1</v>
      </c>
      <c r="FE238">
        <v>0.545</v>
      </c>
      <c r="FF238">
        <v>-0.002</v>
      </c>
      <c r="FG238">
        <v>-1.271</v>
      </c>
      <c r="FH238">
        <v>-0.09</v>
      </c>
      <c r="FI238">
        <v>400</v>
      </c>
      <c r="FJ238">
        <v>10</v>
      </c>
      <c r="FK238">
        <v>0.1</v>
      </c>
      <c r="FL238">
        <v>0.02</v>
      </c>
      <c r="FM238">
        <v>-63.83593170731709</v>
      </c>
      <c r="FN238">
        <v>-2.240435540069635</v>
      </c>
      <c r="FO238">
        <v>0.3032331642836499</v>
      </c>
      <c r="FP238">
        <v>-1</v>
      </c>
      <c r="FQ238">
        <v>7.188695365853658</v>
      </c>
      <c r="FR238">
        <v>-1.604266411149809</v>
      </c>
      <c r="FS238">
        <v>0.1588154359257336</v>
      </c>
      <c r="FT238">
        <v>-1</v>
      </c>
      <c r="FU238">
        <v>0</v>
      </c>
      <c r="FV238">
        <v>0</v>
      </c>
      <c r="FW238">
        <v>0</v>
      </c>
      <c r="FX238">
        <v>-1</v>
      </c>
      <c r="FY238">
        <v>0</v>
      </c>
      <c r="FZ238">
        <v>0</v>
      </c>
      <c r="GA238" t="s">
        <v>432</v>
      </c>
      <c r="GB238">
        <v>2.98004</v>
      </c>
      <c r="GC238">
        <v>2.70599</v>
      </c>
      <c r="GD238">
        <v>0.210511</v>
      </c>
      <c r="GE238">
        <v>0.213915</v>
      </c>
      <c r="GF238">
        <v>0.08647630000000001</v>
      </c>
      <c r="GG238">
        <v>0.0597888</v>
      </c>
      <c r="GH238">
        <v>24910.4</v>
      </c>
      <c r="GI238">
        <v>24857</v>
      </c>
      <c r="GJ238">
        <v>29343.2</v>
      </c>
      <c r="GK238">
        <v>29256.6</v>
      </c>
      <c r="GL238">
        <v>35500.2</v>
      </c>
      <c r="GM238">
        <v>36635.3</v>
      </c>
      <c r="GN238">
        <v>41305.1</v>
      </c>
      <c r="GO238">
        <v>41753.6</v>
      </c>
      <c r="GP238">
        <v>1.95357</v>
      </c>
      <c r="GQ238">
        <v>1.84137</v>
      </c>
      <c r="GR238">
        <v>-0.0334047</v>
      </c>
      <c r="GS238">
        <v>0</v>
      </c>
      <c r="GT238">
        <v>25.5627</v>
      </c>
      <c r="GU238">
        <v>999.9</v>
      </c>
      <c r="GV238">
        <v>38.3</v>
      </c>
      <c r="GW238">
        <v>34</v>
      </c>
      <c r="GX238">
        <v>22.718</v>
      </c>
      <c r="GY238">
        <v>62.2876</v>
      </c>
      <c r="GZ238">
        <v>35.0321</v>
      </c>
      <c r="HA238">
        <v>1</v>
      </c>
      <c r="HB238">
        <v>0.136446</v>
      </c>
      <c r="HC238">
        <v>2.64306</v>
      </c>
      <c r="HD238">
        <v>20.3135</v>
      </c>
      <c r="HE238">
        <v>5.21774</v>
      </c>
      <c r="HF238">
        <v>12.0099</v>
      </c>
      <c r="HG238">
        <v>4.9888</v>
      </c>
      <c r="HH238">
        <v>3.28855</v>
      </c>
      <c r="HI238">
        <v>856.7</v>
      </c>
      <c r="HJ238">
        <v>8527</v>
      </c>
      <c r="HK238">
        <v>5139.4</v>
      </c>
      <c r="HL238">
        <v>22.9</v>
      </c>
      <c r="HM238">
        <v>1.86752</v>
      </c>
      <c r="HN238">
        <v>1.86646</v>
      </c>
      <c r="HO238">
        <v>1.866</v>
      </c>
      <c r="HP238">
        <v>1.86584</v>
      </c>
      <c r="HQ238">
        <v>1.86772</v>
      </c>
      <c r="HR238">
        <v>1.87026</v>
      </c>
      <c r="HS238">
        <v>1.8689</v>
      </c>
      <c r="HT238">
        <v>1.87027</v>
      </c>
      <c r="HU238">
        <v>0</v>
      </c>
      <c r="HV238">
        <v>0</v>
      </c>
      <c r="HW238">
        <v>0</v>
      </c>
      <c r="HX238">
        <v>0</v>
      </c>
      <c r="HY238" t="s">
        <v>421</v>
      </c>
      <c r="HZ238" t="s">
        <v>422</v>
      </c>
      <c r="IA238" t="s">
        <v>423</v>
      </c>
      <c r="IB238" t="s">
        <v>423</v>
      </c>
      <c r="IC238" t="s">
        <v>423</v>
      </c>
      <c r="ID238" t="s">
        <v>423</v>
      </c>
      <c r="IE238">
        <v>0</v>
      </c>
      <c r="IF238">
        <v>100</v>
      </c>
      <c r="IG238">
        <v>100</v>
      </c>
      <c r="IH238">
        <v>-3.01</v>
      </c>
      <c r="II238">
        <v>0</v>
      </c>
      <c r="IJ238">
        <v>-0.4995723906072</v>
      </c>
      <c r="IK238">
        <v>-0.002077099775823331</v>
      </c>
      <c r="IL238">
        <v>4.593143279902166E-07</v>
      </c>
      <c r="IM238">
        <v>-1.865383991892071E-10</v>
      </c>
      <c r="IN238">
        <v>-0.07605349583632376</v>
      </c>
      <c r="IO238">
        <v>-0.01129461987421345</v>
      </c>
      <c r="IP238">
        <v>0.00116580895745559</v>
      </c>
      <c r="IQ238">
        <v>-1.679085872906199E-05</v>
      </c>
      <c r="IR238">
        <v>2</v>
      </c>
      <c r="IS238">
        <v>2290</v>
      </c>
      <c r="IT238">
        <v>0</v>
      </c>
      <c r="IU238">
        <v>32</v>
      </c>
      <c r="IV238">
        <v>11.8</v>
      </c>
      <c r="IW238">
        <v>11.4</v>
      </c>
      <c r="IX238">
        <v>2.82593</v>
      </c>
      <c r="IY238">
        <v>2.19482</v>
      </c>
      <c r="IZ238">
        <v>1.39648</v>
      </c>
      <c r="JA238">
        <v>2.35962</v>
      </c>
      <c r="JB238">
        <v>1.49536</v>
      </c>
      <c r="JC238">
        <v>2.34009</v>
      </c>
      <c r="JD238">
        <v>38.5014</v>
      </c>
      <c r="JE238">
        <v>24.0437</v>
      </c>
      <c r="JF238">
        <v>18</v>
      </c>
      <c r="JG238">
        <v>513.546</v>
      </c>
      <c r="JH238">
        <v>426.855</v>
      </c>
      <c r="JI238">
        <v>22.1266</v>
      </c>
      <c r="JJ238">
        <v>29.0751</v>
      </c>
      <c r="JK238">
        <v>30.0002</v>
      </c>
      <c r="JL238">
        <v>29.0751</v>
      </c>
      <c r="JM238">
        <v>29.0178</v>
      </c>
      <c r="JN238">
        <v>56.5348</v>
      </c>
      <c r="JO238">
        <v>47.2079</v>
      </c>
      <c r="JP238">
        <v>0</v>
      </c>
      <c r="JQ238">
        <v>22.1088</v>
      </c>
      <c r="JR238">
        <v>1471.28</v>
      </c>
      <c r="JS238">
        <v>11.2799</v>
      </c>
      <c r="JT238">
        <v>100.306</v>
      </c>
      <c r="JU238">
        <v>100.216</v>
      </c>
    </row>
    <row r="239" spans="1:281">
      <c r="A239">
        <v>223</v>
      </c>
      <c r="B239">
        <v>1651857730.1</v>
      </c>
      <c r="C239">
        <v>729.5</v>
      </c>
      <c r="D239" t="s">
        <v>873</v>
      </c>
      <c r="E239" t="s">
        <v>874</v>
      </c>
      <c r="F239">
        <v>2</v>
      </c>
      <c r="G239" t="s">
        <v>413</v>
      </c>
      <c r="H239" t="s">
        <v>414</v>
      </c>
      <c r="I239">
        <v>1651857728.725</v>
      </c>
      <c r="J239">
        <f>(K239)/1000</f>
        <v>0</v>
      </c>
      <c r="K239">
        <f>IF(CZ239, AN239, AH239)</f>
        <v>0</v>
      </c>
      <c r="L239">
        <f>IF(CZ239, AI239, AG239)</f>
        <v>0</v>
      </c>
      <c r="M239">
        <f>DB239 - IF(AU239&gt;1, L239*CV239*100.0/(AW239*DP239), 0)</f>
        <v>0</v>
      </c>
      <c r="N239">
        <f>((T239-J239/2)*M239-L239)/(T239+J239/2)</f>
        <v>0</v>
      </c>
      <c r="O239">
        <f>N239*(DI239+DJ239)/1000.0</f>
        <v>0</v>
      </c>
      <c r="P239">
        <f>(DB239 - IF(AU239&gt;1, L239*CV239*100.0/(AW239*DP239), 0))*(DI239+DJ239)/1000.0</f>
        <v>0</v>
      </c>
      <c r="Q239">
        <f>2.0/((1/S239-1/R239)+SIGN(S239)*SQRT((1/S239-1/R239)*(1/S239-1/R239) + 4*CW239/((CW239+1)*(CW239+1))*(2*1/S239*1/R239-1/R239*1/R239)))</f>
        <v>0</v>
      </c>
      <c r="R239">
        <f>IF(LEFT(CX239,1)&lt;&gt;"0",IF(LEFT(CX239,1)="1",3.0,CY239),$D$5+$E$5*(DP239*DI239/($K$5*1000))+$F$5*(DP239*DI239/($K$5*1000))*MAX(MIN(CV239,$J$5),$I$5)*MAX(MIN(CV239,$J$5),$I$5)+$G$5*MAX(MIN(CV239,$J$5),$I$5)*(DP239*DI239/($K$5*1000))+$H$5*(DP239*DI239/($K$5*1000))*(DP239*DI239/($K$5*1000)))</f>
        <v>0</v>
      </c>
      <c r="S239">
        <f>J239*(1000-(1000*0.61365*exp(17.502*W239/(240.97+W239))/(DI239+DJ239)+DD239)/2)/(1000*0.61365*exp(17.502*W239/(240.97+W239))/(DI239+DJ239)-DD239)</f>
        <v>0</v>
      </c>
      <c r="T239">
        <f>1/((CW239+1)/(Q239/1.6)+1/(R239/1.37)) + CW239/((CW239+1)/(Q239/1.6) + CW239/(R239/1.37))</f>
        <v>0</v>
      </c>
      <c r="U239">
        <f>(CR239*CU239)</f>
        <v>0</v>
      </c>
      <c r="V239">
        <f>(DK239+(U239+2*0.95*5.67E-8*(((DK239+$B$7)+273)^4-(DK239+273)^4)-44100*J239)/(1.84*29.3*R239+8*0.95*5.67E-8*(DK239+273)^3))</f>
        <v>0</v>
      </c>
      <c r="W239">
        <f>($C$7*DL239+$D$7*DM239+$E$7*V239)</f>
        <v>0</v>
      </c>
      <c r="X239">
        <f>0.61365*exp(17.502*W239/(240.97+W239))</f>
        <v>0</v>
      </c>
      <c r="Y239">
        <f>(Z239/AA239*100)</f>
        <v>0</v>
      </c>
      <c r="Z239">
        <f>DD239*(DI239+DJ239)/1000</f>
        <v>0</v>
      </c>
      <c r="AA239">
        <f>0.61365*exp(17.502*DK239/(240.97+DK239))</f>
        <v>0</v>
      </c>
      <c r="AB239">
        <f>(X239-DD239*(DI239+DJ239)/1000)</f>
        <v>0</v>
      </c>
      <c r="AC239">
        <f>(-J239*44100)</f>
        <v>0</v>
      </c>
      <c r="AD239">
        <f>2*29.3*R239*0.92*(DK239-W239)</f>
        <v>0</v>
      </c>
      <c r="AE239">
        <f>2*0.95*5.67E-8*(((DK239+$B$7)+273)^4-(W239+273)^4)</f>
        <v>0</v>
      </c>
      <c r="AF239">
        <f>U239+AE239+AC239+AD239</f>
        <v>0</v>
      </c>
      <c r="AG239">
        <f>DH239*AU239*(DC239-DB239*(1000-AU239*DE239)/(1000-AU239*DD239))/(100*CV239)</f>
        <v>0</v>
      </c>
      <c r="AH239">
        <f>1000*DH239*AU239*(DD239-DE239)/(100*CV239*(1000-AU239*DD239))</f>
        <v>0</v>
      </c>
      <c r="AI239">
        <f>(AJ239 - AK239 - DI239*1E3/(8.314*(DK239+273.15)) * AM239/DH239 * AL239) * DH239/(100*CV239) * (1000 - DE239)/1000</f>
        <v>0</v>
      </c>
      <c r="AJ239">
        <v>1467.888894639299</v>
      </c>
      <c r="AK239">
        <v>1420.822787878787</v>
      </c>
      <c r="AL239">
        <v>3.417634677186929</v>
      </c>
      <c r="AM239">
        <v>66.38384787954378</v>
      </c>
      <c r="AN239">
        <f>(AP239 - AO239 + DI239*1E3/(8.314*(DK239+273.15)) * AR239/DH239 * AQ239) * DH239/(100*CV239) * 1000/(1000 - AP239)</f>
        <v>0</v>
      </c>
      <c r="AO239">
        <v>11.00742520313521</v>
      </c>
      <c r="AP239">
        <v>17.97226352941178</v>
      </c>
      <c r="AQ239">
        <v>-0.001791975579468667</v>
      </c>
      <c r="AR239">
        <v>80.44866334591464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MAX(0,($B$13+$C$13*DP239)/(1+$D$13*DP239)*DI239/(DK239+273)*$E$13)</f>
        <v>0</v>
      </c>
      <c r="AX239" t="s">
        <v>417</v>
      </c>
      <c r="AY239" t="s">
        <v>417</v>
      </c>
      <c r="AZ239">
        <v>0</v>
      </c>
      <c r="BA239">
        <v>0</v>
      </c>
      <c r="BB239">
        <f>1-AZ239/BA239</f>
        <v>0</v>
      </c>
      <c r="BC239">
        <v>0</v>
      </c>
      <c r="BD239" t="s">
        <v>417</v>
      </c>
      <c r="BE239" t="s">
        <v>417</v>
      </c>
      <c r="BF239">
        <v>0</v>
      </c>
      <c r="BG239">
        <v>0</v>
      </c>
      <c r="BH239">
        <f>1-BF239/BG239</f>
        <v>0</v>
      </c>
      <c r="BI239">
        <v>0.5</v>
      </c>
      <c r="BJ239">
        <f>CS239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417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1238</v>
      </c>
      <c r="CA239">
        <v>300</v>
      </c>
      <c r="CB239">
        <v>300</v>
      </c>
      <c r="CC239">
        <v>300</v>
      </c>
      <c r="CD239">
        <v>10440.5</v>
      </c>
      <c r="CE239">
        <v>1411.69</v>
      </c>
      <c r="CF239">
        <v>-0.00735121</v>
      </c>
      <c r="CG239">
        <v>-0.77</v>
      </c>
      <c r="CH239" t="s">
        <v>417</v>
      </c>
      <c r="CI239" t="s">
        <v>417</v>
      </c>
      <c r="CJ239" t="s">
        <v>417</v>
      </c>
      <c r="CK239" t="s">
        <v>417</v>
      </c>
      <c r="CL239" t="s">
        <v>417</v>
      </c>
      <c r="CM239" t="s">
        <v>417</v>
      </c>
      <c r="CN239" t="s">
        <v>417</v>
      </c>
      <c r="CO239" t="s">
        <v>417</v>
      </c>
      <c r="CP239" t="s">
        <v>417</v>
      </c>
      <c r="CQ239" t="s">
        <v>417</v>
      </c>
      <c r="CR239">
        <f>$B$11*DQ239+$C$11*DR239+$F$11*EC239*(1-EF239)</f>
        <v>0</v>
      </c>
      <c r="CS239">
        <f>CR239*CT239</f>
        <v>0</v>
      </c>
      <c r="CT239">
        <f>($B$11*$D$9+$C$11*$D$9+$F$11*((EP239+EH239)/MAX(EP239+EH239+EQ239, 0.1)*$I$9+EQ239/MAX(EP239+EH239+EQ239, 0.1)*$J$9))/($B$11+$C$11+$F$11)</f>
        <v>0</v>
      </c>
      <c r="CU239">
        <f>($B$11*$K$9+$C$11*$K$9+$F$11*((EP239+EH239)/MAX(EP239+EH239+EQ239, 0.1)*$P$9+EQ239/MAX(EP239+EH239+EQ239, 0.1)*$Q$9))/($B$11+$C$11+$F$11)</f>
        <v>0</v>
      </c>
      <c r="CV239">
        <v>6</v>
      </c>
      <c r="CW239">
        <v>0.5</v>
      </c>
      <c r="CX239" t="s">
        <v>418</v>
      </c>
      <c r="CY239">
        <v>2</v>
      </c>
      <c r="CZ239" t="b">
        <v>1</v>
      </c>
      <c r="DA239">
        <v>1651857728.725</v>
      </c>
      <c r="DB239">
        <v>1392.3525</v>
      </c>
      <c r="DC239">
        <v>1456.2625</v>
      </c>
      <c r="DD239">
        <v>17.97405</v>
      </c>
      <c r="DE239">
        <v>11.0921</v>
      </c>
      <c r="DF239">
        <v>1395.365</v>
      </c>
      <c r="DG239">
        <v>17.973975</v>
      </c>
      <c r="DH239">
        <v>500.03275</v>
      </c>
      <c r="DI239">
        <v>90.07837499999999</v>
      </c>
      <c r="DJ239">
        <v>0.09994005</v>
      </c>
      <c r="DK239">
        <v>25.72265</v>
      </c>
      <c r="DL239">
        <v>25.01515</v>
      </c>
      <c r="DM239">
        <v>999.9</v>
      </c>
      <c r="DN239">
        <v>0</v>
      </c>
      <c r="DO239">
        <v>0</v>
      </c>
      <c r="DP239">
        <v>9986.405000000001</v>
      </c>
      <c r="DQ239">
        <v>0</v>
      </c>
      <c r="DR239">
        <v>3.23193</v>
      </c>
      <c r="DS239">
        <v>-63.9115</v>
      </c>
      <c r="DT239">
        <v>1417.8375</v>
      </c>
      <c r="DU239">
        <v>1472.6</v>
      </c>
      <c r="DV239">
        <v>6.8819875</v>
      </c>
      <c r="DW239">
        <v>1456.2625</v>
      </c>
      <c r="DX239">
        <v>11.0921</v>
      </c>
      <c r="DY239">
        <v>1.6190725</v>
      </c>
      <c r="DZ239">
        <v>0.9991544999999999</v>
      </c>
      <c r="EA239">
        <v>14.14155</v>
      </c>
      <c r="EB239">
        <v>6.9040475</v>
      </c>
      <c r="EC239">
        <v>1500.0175</v>
      </c>
      <c r="ED239">
        <v>0.9730095</v>
      </c>
      <c r="EE239">
        <v>0.0269904</v>
      </c>
      <c r="EF239">
        <v>0</v>
      </c>
      <c r="EG239">
        <v>932.5142499999999</v>
      </c>
      <c r="EH239">
        <v>5.00097</v>
      </c>
      <c r="EI239">
        <v>13866.225</v>
      </c>
      <c r="EJ239">
        <v>12491.775</v>
      </c>
      <c r="EK239">
        <v>37.5</v>
      </c>
      <c r="EL239">
        <v>39</v>
      </c>
      <c r="EM239">
        <v>37.875</v>
      </c>
      <c r="EN239">
        <v>38.75</v>
      </c>
      <c r="EO239">
        <v>38.375</v>
      </c>
      <c r="EP239">
        <v>1454.6675</v>
      </c>
      <c r="EQ239">
        <v>40.35</v>
      </c>
      <c r="ER239">
        <v>0</v>
      </c>
      <c r="ES239">
        <v>729</v>
      </c>
      <c r="ET239">
        <v>0</v>
      </c>
      <c r="EU239">
        <v>935.0291153846154</v>
      </c>
      <c r="EV239">
        <v>-23.76611966631073</v>
      </c>
      <c r="EW239">
        <v>-365.6034187478019</v>
      </c>
      <c r="EX239">
        <v>13903.07307692308</v>
      </c>
      <c r="EY239">
        <v>15</v>
      </c>
      <c r="EZ239">
        <v>1651857041.1</v>
      </c>
      <c r="FA239" t="s">
        <v>419</v>
      </c>
      <c r="FB239">
        <v>1651857019.6</v>
      </c>
      <c r="FC239">
        <v>1651857041.1</v>
      </c>
      <c r="FD239">
        <v>1</v>
      </c>
      <c r="FE239">
        <v>0.545</v>
      </c>
      <c r="FF239">
        <v>-0.002</v>
      </c>
      <c r="FG239">
        <v>-1.271</v>
      </c>
      <c r="FH239">
        <v>-0.09</v>
      </c>
      <c r="FI239">
        <v>400</v>
      </c>
      <c r="FJ239">
        <v>10</v>
      </c>
      <c r="FK239">
        <v>0.1</v>
      </c>
      <c r="FL239">
        <v>0.02</v>
      </c>
      <c r="FM239">
        <v>-63.87363658536587</v>
      </c>
      <c r="FN239">
        <v>-1.717534494773516</v>
      </c>
      <c r="FO239">
        <v>0.262331410908636</v>
      </c>
      <c r="FP239">
        <v>-1</v>
      </c>
      <c r="FQ239">
        <v>7.161428536585365</v>
      </c>
      <c r="FR239">
        <v>-1.606890940766554</v>
      </c>
      <c r="FS239">
        <v>0.1590783586722544</v>
      </c>
      <c r="FT239">
        <v>-1</v>
      </c>
      <c r="FU239">
        <v>0</v>
      </c>
      <c r="FV239">
        <v>0</v>
      </c>
      <c r="FW239">
        <v>0</v>
      </c>
      <c r="FX239">
        <v>-1</v>
      </c>
      <c r="FY239">
        <v>0</v>
      </c>
      <c r="FZ239">
        <v>0</v>
      </c>
      <c r="GA239" t="s">
        <v>432</v>
      </c>
      <c r="GB239">
        <v>2.98</v>
      </c>
      <c r="GC239">
        <v>2.70605</v>
      </c>
      <c r="GD239">
        <v>0.211135</v>
      </c>
      <c r="GE239">
        <v>0.214522</v>
      </c>
      <c r="GF239">
        <v>0.0864685</v>
      </c>
      <c r="GG239">
        <v>0.0600548</v>
      </c>
      <c r="GH239">
        <v>24890.5</v>
      </c>
      <c r="GI239">
        <v>24838</v>
      </c>
      <c r="GJ239">
        <v>29343</v>
      </c>
      <c r="GK239">
        <v>29256.8</v>
      </c>
      <c r="GL239">
        <v>35500.1</v>
      </c>
      <c r="GM239">
        <v>36625.1</v>
      </c>
      <c r="GN239">
        <v>41304.7</v>
      </c>
      <c r="GO239">
        <v>41753.8</v>
      </c>
      <c r="GP239">
        <v>1.9533</v>
      </c>
      <c r="GQ239">
        <v>1.84118</v>
      </c>
      <c r="GR239">
        <v>-0.0333525</v>
      </c>
      <c r="GS239">
        <v>0</v>
      </c>
      <c r="GT239">
        <v>25.5627</v>
      </c>
      <c r="GU239">
        <v>999.9</v>
      </c>
      <c r="GV239">
        <v>38.3</v>
      </c>
      <c r="GW239">
        <v>34</v>
      </c>
      <c r="GX239">
        <v>22.7194</v>
      </c>
      <c r="GY239">
        <v>62.6876</v>
      </c>
      <c r="GZ239">
        <v>35.2564</v>
      </c>
      <c r="HA239">
        <v>1</v>
      </c>
      <c r="HB239">
        <v>0.136552</v>
      </c>
      <c r="HC239">
        <v>2.65774</v>
      </c>
      <c r="HD239">
        <v>20.3133</v>
      </c>
      <c r="HE239">
        <v>5.21774</v>
      </c>
      <c r="HF239">
        <v>12.0099</v>
      </c>
      <c r="HG239">
        <v>4.98855</v>
      </c>
      <c r="HH239">
        <v>3.28855</v>
      </c>
      <c r="HI239">
        <v>856.9</v>
      </c>
      <c r="HJ239">
        <v>8528.9</v>
      </c>
      <c r="HK239">
        <v>5139.4</v>
      </c>
      <c r="HL239">
        <v>22.9</v>
      </c>
      <c r="HM239">
        <v>1.86752</v>
      </c>
      <c r="HN239">
        <v>1.86647</v>
      </c>
      <c r="HO239">
        <v>1.866</v>
      </c>
      <c r="HP239">
        <v>1.86586</v>
      </c>
      <c r="HQ239">
        <v>1.86772</v>
      </c>
      <c r="HR239">
        <v>1.87027</v>
      </c>
      <c r="HS239">
        <v>1.8689</v>
      </c>
      <c r="HT239">
        <v>1.87026</v>
      </c>
      <c r="HU239">
        <v>0</v>
      </c>
      <c r="HV239">
        <v>0</v>
      </c>
      <c r="HW239">
        <v>0</v>
      </c>
      <c r="HX239">
        <v>0</v>
      </c>
      <c r="HY239" t="s">
        <v>421</v>
      </c>
      <c r="HZ239" t="s">
        <v>422</v>
      </c>
      <c r="IA239" t="s">
        <v>423</v>
      </c>
      <c r="IB239" t="s">
        <v>423</v>
      </c>
      <c r="IC239" t="s">
        <v>423</v>
      </c>
      <c r="ID239" t="s">
        <v>423</v>
      </c>
      <c r="IE239">
        <v>0</v>
      </c>
      <c r="IF239">
        <v>100</v>
      </c>
      <c r="IG239">
        <v>100</v>
      </c>
      <c r="IH239">
        <v>-3.01</v>
      </c>
      <c r="II239">
        <v>0</v>
      </c>
      <c r="IJ239">
        <v>-0.4995723906072</v>
      </c>
      <c r="IK239">
        <v>-0.002077099775823331</v>
      </c>
      <c r="IL239">
        <v>4.593143279902166E-07</v>
      </c>
      <c r="IM239">
        <v>-1.865383991892071E-10</v>
      </c>
      <c r="IN239">
        <v>-0.07605349583632376</v>
      </c>
      <c r="IO239">
        <v>-0.01129461987421345</v>
      </c>
      <c r="IP239">
        <v>0.00116580895745559</v>
      </c>
      <c r="IQ239">
        <v>-1.679085872906199E-05</v>
      </c>
      <c r="IR239">
        <v>2</v>
      </c>
      <c r="IS239">
        <v>2290</v>
      </c>
      <c r="IT239">
        <v>0</v>
      </c>
      <c r="IU239">
        <v>32</v>
      </c>
      <c r="IV239">
        <v>11.8</v>
      </c>
      <c r="IW239">
        <v>11.5</v>
      </c>
      <c r="IX239">
        <v>2.83569</v>
      </c>
      <c r="IY239">
        <v>2.19849</v>
      </c>
      <c r="IZ239">
        <v>1.39648</v>
      </c>
      <c r="JA239">
        <v>2.35962</v>
      </c>
      <c r="JB239">
        <v>1.49536</v>
      </c>
      <c r="JC239">
        <v>2.29736</v>
      </c>
      <c r="JD239">
        <v>38.5014</v>
      </c>
      <c r="JE239">
        <v>24.035</v>
      </c>
      <c r="JF239">
        <v>18</v>
      </c>
      <c r="JG239">
        <v>513.365</v>
      </c>
      <c r="JH239">
        <v>426.728</v>
      </c>
      <c r="JI239">
        <v>22.1202</v>
      </c>
      <c r="JJ239">
        <v>29.0738</v>
      </c>
      <c r="JK239">
        <v>30.0001</v>
      </c>
      <c r="JL239">
        <v>29.0751</v>
      </c>
      <c r="JM239">
        <v>29.0169</v>
      </c>
      <c r="JN239">
        <v>56.7405</v>
      </c>
      <c r="JO239">
        <v>47.2079</v>
      </c>
      <c r="JP239">
        <v>0</v>
      </c>
      <c r="JQ239">
        <v>22.1088</v>
      </c>
      <c r="JR239">
        <v>1477.95</v>
      </c>
      <c r="JS239">
        <v>11.3355</v>
      </c>
      <c r="JT239">
        <v>100.305</v>
      </c>
      <c r="JU239">
        <v>100.217</v>
      </c>
    </row>
    <row r="240" spans="1:281">
      <c r="A240">
        <v>224</v>
      </c>
      <c r="B240">
        <v>1651857732.1</v>
      </c>
      <c r="C240">
        <v>731.5</v>
      </c>
      <c r="D240" t="s">
        <v>875</v>
      </c>
      <c r="E240" t="s">
        <v>876</v>
      </c>
      <c r="F240">
        <v>2</v>
      </c>
      <c r="G240" t="s">
        <v>413</v>
      </c>
      <c r="H240" t="s">
        <v>414</v>
      </c>
      <c r="I240">
        <v>1651857731.1</v>
      </c>
      <c r="J240">
        <f>(K240)/1000</f>
        <v>0</v>
      </c>
      <c r="K240">
        <f>IF(CZ240, AN240, AH240)</f>
        <v>0</v>
      </c>
      <c r="L240">
        <f>IF(CZ240, AI240, AG240)</f>
        <v>0</v>
      </c>
      <c r="M240">
        <f>DB240 - IF(AU240&gt;1, L240*CV240*100.0/(AW240*DP240), 0)</f>
        <v>0</v>
      </c>
      <c r="N240">
        <f>((T240-J240/2)*M240-L240)/(T240+J240/2)</f>
        <v>0</v>
      </c>
      <c r="O240">
        <f>N240*(DI240+DJ240)/1000.0</f>
        <v>0</v>
      </c>
      <c r="P240">
        <f>(DB240 - IF(AU240&gt;1, L240*CV240*100.0/(AW240*DP240), 0))*(DI240+DJ240)/1000.0</f>
        <v>0</v>
      </c>
      <c r="Q240">
        <f>2.0/((1/S240-1/R240)+SIGN(S240)*SQRT((1/S240-1/R240)*(1/S240-1/R240) + 4*CW240/((CW240+1)*(CW240+1))*(2*1/S240*1/R240-1/R240*1/R240)))</f>
        <v>0</v>
      </c>
      <c r="R240">
        <f>IF(LEFT(CX240,1)&lt;&gt;"0",IF(LEFT(CX240,1)="1",3.0,CY240),$D$5+$E$5*(DP240*DI240/($K$5*1000))+$F$5*(DP240*DI240/($K$5*1000))*MAX(MIN(CV240,$J$5),$I$5)*MAX(MIN(CV240,$J$5),$I$5)+$G$5*MAX(MIN(CV240,$J$5),$I$5)*(DP240*DI240/($K$5*1000))+$H$5*(DP240*DI240/($K$5*1000))*(DP240*DI240/($K$5*1000)))</f>
        <v>0</v>
      </c>
      <c r="S240">
        <f>J240*(1000-(1000*0.61365*exp(17.502*W240/(240.97+W240))/(DI240+DJ240)+DD240)/2)/(1000*0.61365*exp(17.502*W240/(240.97+W240))/(DI240+DJ240)-DD240)</f>
        <v>0</v>
      </c>
      <c r="T240">
        <f>1/((CW240+1)/(Q240/1.6)+1/(R240/1.37)) + CW240/((CW240+1)/(Q240/1.6) + CW240/(R240/1.37))</f>
        <v>0</v>
      </c>
      <c r="U240">
        <f>(CR240*CU240)</f>
        <v>0</v>
      </c>
      <c r="V240">
        <f>(DK240+(U240+2*0.95*5.67E-8*(((DK240+$B$7)+273)^4-(DK240+273)^4)-44100*J240)/(1.84*29.3*R240+8*0.95*5.67E-8*(DK240+273)^3))</f>
        <v>0</v>
      </c>
      <c r="W240">
        <f>($C$7*DL240+$D$7*DM240+$E$7*V240)</f>
        <v>0</v>
      </c>
      <c r="X240">
        <f>0.61365*exp(17.502*W240/(240.97+W240))</f>
        <v>0</v>
      </c>
      <c r="Y240">
        <f>(Z240/AA240*100)</f>
        <v>0</v>
      </c>
      <c r="Z240">
        <f>DD240*(DI240+DJ240)/1000</f>
        <v>0</v>
      </c>
      <c r="AA240">
        <f>0.61365*exp(17.502*DK240/(240.97+DK240))</f>
        <v>0</v>
      </c>
      <c r="AB240">
        <f>(X240-DD240*(DI240+DJ240)/1000)</f>
        <v>0</v>
      </c>
      <c r="AC240">
        <f>(-J240*44100)</f>
        <v>0</v>
      </c>
      <c r="AD240">
        <f>2*29.3*R240*0.92*(DK240-W240)</f>
        <v>0</v>
      </c>
      <c r="AE240">
        <f>2*0.95*5.67E-8*(((DK240+$B$7)+273)^4-(W240+273)^4)</f>
        <v>0</v>
      </c>
      <c r="AF240">
        <f>U240+AE240+AC240+AD240</f>
        <v>0</v>
      </c>
      <c r="AG240">
        <f>DH240*AU240*(DC240-DB240*(1000-AU240*DE240)/(1000-AU240*DD240))/(100*CV240)</f>
        <v>0</v>
      </c>
      <c r="AH240">
        <f>1000*DH240*AU240*(DD240-DE240)/(100*CV240*(1000-AU240*DD240))</f>
        <v>0</v>
      </c>
      <c r="AI240">
        <f>(AJ240 - AK240 - DI240*1E3/(8.314*(DK240+273.15)) * AM240/DH240 * AL240) * DH240/(100*CV240) * (1000 - DE240)/1000</f>
        <v>0</v>
      </c>
      <c r="AJ240">
        <v>1474.686294082192</v>
      </c>
      <c r="AK240">
        <v>1427.542848484848</v>
      </c>
      <c r="AL240">
        <v>3.380106678895693</v>
      </c>
      <c r="AM240">
        <v>66.38384787954378</v>
      </c>
      <c r="AN240">
        <f>(AP240 - AO240 + DI240*1E3/(8.314*(DK240+273.15)) * AR240/DH240 * AQ240) * DH240/(100*CV240) * 1000/(1000 - AP240)</f>
        <v>0</v>
      </c>
      <c r="AO240">
        <v>11.05747120130419</v>
      </c>
      <c r="AP240">
        <v>17.97126705882352</v>
      </c>
      <c r="AQ240">
        <v>-0.001057645763352889</v>
      </c>
      <c r="AR240">
        <v>80.44866334591464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MAX(0,($B$13+$C$13*DP240)/(1+$D$13*DP240)*DI240/(DK240+273)*$E$13)</f>
        <v>0</v>
      </c>
      <c r="AX240" t="s">
        <v>417</v>
      </c>
      <c r="AY240" t="s">
        <v>417</v>
      </c>
      <c r="AZ240">
        <v>0</v>
      </c>
      <c r="BA240">
        <v>0</v>
      </c>
      <c r="BB240">
        <f>1-AZ240/BA240</f>
        <v>0</v>
      </c>
      <c r="BC240">
        <v>0</v>
      </c>
      <c r="BD240" t="s">
        <v>417</v>
      </c>
      <c r="BE240" t="s">
        <v>417</v>
      </c>
      <c r="BF240">
        <v>0</v>
      </c>
      <c r="BG240">
        <v>0</v>
      </c>
      <c r="BH240">
        <f>1-BF240/BG240</f>
        <v>0</v>
      </c>
      <c r="BI240">
        <v>0.5</v>
      </c>
      <c r="BJ240">
        <f>CS240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417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1238</v>
      </c>
      <c r="CA240">
        <v>300</v>
      </c>
      <c r="CB240">
        <v>300</v>
      </c>
      <c r="CC240">
        <v>300</v>
      </c>
      <c r="CD240">
        <v>10440.5</v>
      </c>
      <c r="CE240">
        <v>1411.69</v>
      </c>
      <c r="CF240">
        <v>-0.00735121</v>
      </c>
      <c r="CG240">
        <v>-0.77</v>
      </c>
      <c r="CH240" t="s">
        <v>417</v>
      </c>
      <c r="CI240" t="s">
        <v>417</v>
      </c>
      <c r="CJ240" t="s">
        <v>417</v>
      </c>
      <c r="CK240" t="s">
        <v>417</v>
      </c>
      <c r="CL240" t="s">
        <v>417</v>
      </c>
      <c r="CM240" t="s">
        <v>417</v>
      </c>
      <c r="CN240" t="s">
        <v>417</v>
      </c>
      <c r="CO240" t="s">
        <v>417</v>
      </c>
      <c r="CP240" t="s">
        <v>417</v>
      </c>
      <c r="CQ240" t="s">
        <v>417</v>
      </c>
      <c r="CR240">
        <f>$B$11*DQ240+$C$11*DR240+$F$11*EC240*(1-EF240)</f>
        <v>0</v>
      </c>
      <c r="CS240">
        <f>CR240*CT240</f>
        <v>0</v>
      </c>
      <c r="CT240">
        <f>($B$11*$D$9+$C$11*$D$9+$F$11*((EP240+EH240)/MAX(EP240+EH240+EQ240, 0.1)*$I$9+EQ240/MAX(EP240+EH240+EQ240, 0.1)*$J$9))/($B$11+$C$11+$F$11)</f>
        <v>0</v>
      </c>
      <c r="CU240">
        <f>($B$11*$K$9+$C$11*$K$9+$F$11*((EP240+EH240)/MAX(EP240+EH240+EQ240, 0.1)*$P$9+EQ240/MAX(EP240+EH240+EQ240, 0.1)*$Q$9))/($B$11+$C$11+$F$11)</f>
        <v>0</v>
      </c>
      <c r="CV240">
        <v>6</v>
      </c>
      <c r="CW240">
        <v>0.5</v>
      </c>
      <c r="CX240" t="s">
        <v>418</v>
      </c>
      <c r="CY240">
        <v>2</v>
      </c>
      <c r="CZ240" t="b">
        <v>1</v>
      </c>
      <c r="DA240">
        <v>1651857731.1</v>
      </c>
      <c r="DB240">
        <v>1400.236666666667</v>
      </c>
      <c r="DC240">
        <v>1464.546666666667</v>
      </c>
      <c r="DD240">
        <v>17.9718</v>
      </c>
      <c r="DE240">
        <v>11.17126666666667</v>
      </c>
      <c r="DF240">
        <v>1403.266666666667</v>
      </c>
      <c r="DG240">
        <v>17.97176666666667</v>
      </c>
      <c r="DH240">
        <v>500.0676666666666</v>
      </c>
      <c r="DI240">
        <v>90.08016666666667</v>
      </c>
      <c r="DJ240">
        <v>0.1001173333333333</v>
      </c>
      <c r="DK240">
        <v>25.72003333333333</v>
      </c>
      <c r="DL240">
        <v>25.01676666666667</v>
      </c>
      <c r="DM240">
        <v>999.9</v>
      </c>
      <c r="DN240">
        <v>0</v>
      </c>
      <c r="DO240">
        <v>0</v>
      </c>
      <c r="DP240">
        <v>9962.083333333334</v>
      </c>
      <c r="DQ240">
        <v>0</v>
      </c>
      <c r="DR240">
        <v>3.23193</v>
      </c>
      <c r="DS240">
        <v>-64.30709999999999</v>
      </c>
      <c r="DT240">
        <v>1425.866666666667</v>
      </c>
      <c r="DU240">
        <v>1481.09</v>
      </c>
      <c r="DV240">
        <v>6.800536666666667</v>
      </c>
      <c r="DW240">
        <v>1464.546666666667</v>
      </c>
      <c r="DX240">
        <v>11.17126666666667</v>
      </c>
      <c r="DY240">
        <v>1.6189</v>
      </c>
      <c r="DZ240">
        <v>1.006306666666667</v>
      </c>
      <c r="EA240">
        <v>14.1399</v>
      </c>
      <c r="EB240">
        <v>7.008016666666667</v>
      </c>
      <c r="EC240">
        <v>1500.2</v>
      </c>
      <c r="ED240">
        <v>0.9729903333333333</v>
      </c>
      <c r="EE240">
        <v>0.02700966666666667</v>
      </c>
      <c r="EF240">
        <v>0</v>
      </c>
      <c r="EG240">
        <v>931.5236666666666</v>
      </c>
      <c r="EH240">
        <v>5.00097</v>
      </c>
      <c r="EI240">
        <v>13853.06666666667</v>
      </c>
      <c r="EJ240">
        <v>12493.23333333333</v>
      </c>
      <c r="EK240">
        <v>37.5</v>
      </c>
      <c r="EL240">
        <v>39</v>
      </c>
      <c r="EM240">
        <v>37.875</v>
      </c>
      <c r="EN240">
        <v>38.75</v>
      </c>
      <c r="EO240">
        <v>38.375</v>
      </c>
      <c r="EP240">
        <v>1454.816666666667</v>
      </c>
      <c r="EQ240">
        <v>40.38333333333333</v>
      </c>
      <c r="ER240">
        <v>0</v>
      </c>
      <c r="ES240">
        <v>730.8000001907349</v>
      </c>
      <c r="ET240">
        <v>0</v>
      </c>
      <c r="EU240">
        <v>934.1945199999999</v>
      </c>
      <c r="EV240">
        <v>-24.03615381942977</v>
      </c>
      <c r="EW240">
        <v>-355.8846147625976</v>
      </c>
      <c r="EX240">
        <v>13890.552</v>
      </c>
      <c r="EY240">
        <v>15</v>
      </c>
      <c r="EZ240">
        <v>1651857041.1</v>
      </c>
      <c r="FA240" t="s">
        <v>419</v>
      </c>
      <c r="FB240">
        <v>1651857019.6</v>
      </c>
      <c r="FC240">
        <v>1651857041.1</v>
      </c>
      <c r="FD240">
        <v>1</v>
      </c>
      <c r="FE240">
        <v>0.545</v>
      </c>
      <c r="FF240">
        <v>-0.002</v>
      </c>
      <c r="FG240">
        <v>-1.271</v>
      </c>
      <c r="FH240">
        <v>-0.09</v>
      </c>
      <c r="FI240">
        <v>400</v>
      </c>
      <c r="FJ240">
        <v>10</v>
      </c>
      <c r="FK240">
        <v>0.1</v>
      </c>
      <c r="FL240">
        <v>0.02</v>
      </c>
      <c r="FM240">
        <v>-63.96667560975609</v>
      </c>
      <c r="FN240">
        <v>-1.066200000000051</v>
      </c>
      <c r="FO240">
        <v>0.2219479490512187</v>
      </c>
      <c r="FP240">
        <v>-1</v>
      </c>
      <c r="FQ240">
        <v>7.076374146341463</v>
      </c>
      <c r="FR240">
        <v>-1.618937351916374</v>
      </c>
      <c r="FS240">
        <v>0.1603269630105108</v>
      </c>
      <c r="FT240">
        <v>-1</v>
      </c>
      <c r="FU240">
        <v>0</v>
      </c>
      <c r="FV240">
        <v>0</v>
      </c>
      <c r="FW240">
        <v>0</v>
      </c>
      <c r="FX240">
        <v>-1</v>
      </c>
      <c r="FY240">
        <v>0</v>
      </c>
      <c r="FZ240">
        <v>0</v>
      </c>
      <c r="GA240" t="s">
        <v>432</v>
      </c>
      <c r="GB240">
        <v>2.97999</v>
      </c>
      <c r="GC240">
        <v>2.70594</v>
      </c>
      <c r="GD240">
        <v>0.211747</v>
      </c>
      <c r="GE240">
        <v>0.215153</v>
      </c>
      <c r="GF240">
        <v>0.0864727</v>
      </c>
      <c r="GG240">
        <v>0.0602853</v>
      </c>
      <c r="GH240">
        <v>24871.2</v>
      </c>
      <c r="GI240">
        <v>24818</v>
      </c>
      <c r="GJ240">
        <v>29343.1</v>
      </c>
      <c r="GK240">
        <v>29256.9</v>
      </c>
      <c r="GL240">
        <v>35500</v>
      </c>
      <c r="GM240">
        <v>36616.2</v>
      </c>
      <c r="GN240">
        <v>41304.7</v>
      </c>
      <c r="GO240">
        <v>41753.9</v>
      </c>
      <c r="GP240">
        <v>1.95352</v>
      </c>
      <c r="GQ240">
        <v>1.84135</v>
      </c>
      <c r="GR240">
        <v>-0.0331886</v>
      </c>
      <c r="GS240">
        <v>0</v>
      </c>
      <c r="GT240">
        <v>25.563</v>
      </c>
      <c r="GU240">
        <v>999.9</v>
      </c>
      <c r="GV240">
        <v>38.3</v>
      </c>
      <c r="GW240">
        <v>34</v>
      </c>
      <c r="GX240">
        <v>22.7185</v>
      </c>
      <c r="GY240">
        <v>62.3676</v>
      </c>
      <c r="GZ240">
        <v>35.2484</v>
      </c>
      <c r="HA240">
        <v>1</v>
      </c>
      <c r="HB240">
        <v>0.136288</v>
      </c>
      <c r="HC240">
        <v>2.67337</v>
      </c>
      <c r="HD240">
        <v>20.3132</v>
      </c>
      <c r="HE240">
        <v>5.21774</v>
      </c>
      <c r="HF240">
        <v>12.0099</v>
      </c>
      <c r="HG240">
        <v>4.98865</v>
      </c>
      <c r="HH240">
        <v>3.28858</v>
      </c>
      <c r="HI240">
        <v>856.9</v>
      </c>
      <c r="HJ240">
        <v>8528.9</v>
      </c>
      <c r="HK240">
        <v>5139.4</v>
      </c>
      <c r="HL240">
        <v>22.9</v>
      </c>
      <c r="HM240">
        <v>1.86752</v>
      </c>
      <c r="HN240">
        <v>1.86647</v>
      </c>
      <c r="HO240">
        <v>1.866</v>
      </c>
      <c r="HP240">
        <v>1.86586</v>
      </c>
      <c r="HQ240">
        <v>1.86771</v>
      </c>
      <c r="HR240">
        <v>1.87027</v>
      </c>
      <c r="HS240">
        <v>1.8689</v>
      </c>
      <c r="HT240">
        <v>1.87026</v>
      </c>
      <c r="HU240">
        <v>0</v>
      </c>
      <c r="HV240">
        <v>0</v>
      </c>
      <c r="HW240">
        <v>0</v>
      </c>
      <c r="HX240">
        <v>0</v>
      </c>
      <c r="HY240" t="s">
        <v>421</v>
      </c>
      <c r="HZ240" t="s">
        <v>422</v>
      </c>
      <c r="IA240" t="s">
        <v>423</v>
      </c>
      <c r="IB240" t="s">
        <v>423</v>
      </c>
      <c r="IC240" t="s">
        <v>423</v>
      </c>
      <c r="ID240" t="s">
        <v>423</v>
      </c>
      <c r="IE240">
        <v>0</v>
      </c>
      <c r="IF240">
        <v>100</v>
      </c>
      <c r="IG240">
        <v>100</v>
      </c>
      <c r="IH240">
        <v>-3.03</v>
      </c>
      <c r="II240">
        <v>0.0001</v>
      </c>
      <c r="IJ240">
        <v>-0.4995723906072</v>
      </c>
      <c r="IK240">
        <v>-0.002077099775823331</v>
      </c>
      <c r="IL240">
        <v>4.593143279902166E-07</v>
      </c>
      <c r="IM240">
        <v>-1.865383991892071E-10</v>
      </c>
      <c r="IN240">
        <v>-0.07605349583632376</v>
      </c>
      <c r="IO240">
        <v>-0.01129461987421345</v>
      </c>
      <c r="IP240">
        <v>0.00116580895745559</v>
      </c>
      <c r="IQ240">
        <v>-1.679085872906199E-05</v>
      </c>
      <c r="IR240">
        <v>2</v>
      </c>
      <c r="IS240">
        <v>2290</v>
      </c>
      <c r="IT240">
        <v>0</v>
      </c>
      <c r="IU240">
        <v>32</v>
      </c>
      <c r="IV240">
        <v>11.9</v>
      </c>
      <c r="IW240">
        <v>11.5</v>
      </c>
      <c r="IX240">
        <v>2.84546</v>
      </c>
      <c r="IY240">
        <v>2.19604</v>
      </c>
      <c r="IZ240">
        <v>1.39648</v>
      </c>
      <c r="JA240">
        <v>2.35962</v>
      </c>
      <c r="JB240">
        <v>1.49536</v>
      </c>
      <c r="JC240">
        <v>2.36206</v>
      </c>
      <c r="JD240">
        <v>38.5014</v>
      </c>
      <c r="JE240">
        <v>24.0437</v>
      </c>
      <c r="JF240">
        <v>18</v>
      </c>
      <c r="JG240">
        <v>513.513</v>
      </c>
      <c r="JH240">
        <v>426.833</v>
      </c>
      <c r="JI240">
        <v>22.1127</v>
      </c>
      <c r="JJ240">
        <v>29.0736</v>
      </c>
      <c r="JK240">
        <v>30</v>
      </c>
      <c r="JL240">
        <v>29.0751</v>
      </c>
      <c r="JM240">
        <v>29.0169</v>
      </c>
      <c r="JN240">
        <v>56.9402</v>
      </c>
      <c r="JO240">
        <v>46.9187</v>
      </c>
      <c r="JP240">
        <v>0</v>
      </c>
      <c r="JQ240">
        <v>22.1088</v>
      </c>
      <c r="JR240">
        <v>1484.63</v>
      </c>
      <c r="JS240">
        <v>11.3845</v>
      </c>
      <c r="JT240">
        <v>100.305</v>
      </c>
      <c r="JU240">
        <v>100.217</v>
      </c>
    </row>
    <row r="241" spans="1:281">
      <c r="A241">
        <v>225</v>
      </c>
      <c r="B241">
        <v>1651857734.1</v>
      </c>
      <c r="C241">
        <v>733.5</v>
      </c>
      <c r="D241" t="s">
        <v>877</v>
      </c>
      <c r="E241" t="s">
        <v>878</v>
      </c>
      <c r="F241">
        <v>2</v>
      </c>
      <c r="G241" t="s">
        <v>413</v>
      </c>
      <c r="H241" t="s">
        <v>414</v>
      </c>
      <c r="I241">
        <v>1651857732.725</v>
      </c>
      <c r="J241">
        <f>(K241)/1000</f>
        <v>0</v>
      </c>
      <c r="K241">
        <f>IF(CZ241, AN241, AH241)</f>
        <v>0</v>
      </c>
      <c r="L241">
        <f>IF(CZ241, AI241, AG241)</f>
        <v>0</v>
      </c>
      <c r="M241">
        <f>DB241 - IF(AU241&gt;1, L241*CV241*100.0/(AW241*DP241), 0)</f>
        <v>0</v>
      </c>
      <c r="N241">
        <f>((T241-J241/2)*M241-L241)/(T241+J241/2)</f>
        <v>0</v>
      </c>
      <c r="O241">
        <f>N241*(DI241+DJ241)/1000.0</f>
        <v>0</v>
      </c>
      <c r="P241">
        <f>(DB241 - IF(AU241&gt;1, L241*CV241*100.0/(AW241*DP241), 0))*(DI241+DJ241)/1000.0</f>
        <v>0</v>
      </c>
      <c r="Q241">
        <f>2.0/((1/S241-1/R241)+SIGN(S241)*SQRT((1/S241-1/R241)*(1/S241-1/R241) + 4*CW241/((CW241+1)*(CW241+1))*(2*1/S241*1/R241-1/R241*1/R241)))</f>
        <v>0</v>
      </c>
      <c r="R241">
        <f>IF(LEFT(CX241,1)&lt;&gt;"0",IF(LEFT(CX241,1)="1",3.0,CY241),$D$5+$E$5*(DP241*DI241/($K$5*1000))+$F$5*(DP241*DI241/($K$5*1000))*MAX(MIN(CV241,$J$5),$I$5)*MAX(MIN(CV241,$J$5),$I$5)+$G$5*MAX(MIN(CV241,$J$5),$I$5)*(DP241*DI241/($K$5*1000))+$H$5*(DP241*DI241/($K$5*1000))*(DP241*DI241/($K$5*1000)))</f>
        <v>0</v>
      </c>
      <c r="S241">
        <f>J241*(1000-(1000*0.61365*exp(17.502*W241/(240.97+W241))/(DI241+DJ241)+DD241)/2)/(1000*0.61365*exp(17.502*W241/(240.97+W241))/(DI241+DJ241)-DD241)</f>
        <v>0</v>
      </c>
      <c r="T241">
        <f>1/((CW241+1)/(Q241/1.6)+1/(R241/1.37)) + CW241/((CW241+1)/(Q241/1.6) + CW241/(R241/1.37))</f>
        <v>0</v>
      </c>
      <c r="U241">
        <f>(CR241*CU241)</f>
        <v>0</v>
      </c>
      <c r="V241">
        <f>(DK241+(U241+2*0.95*5.67E-8*(((DK241+$B$7)+273)^4-(DK241+273)^4)-44100*J241)/(1.84*29.3*R241+8*0.95*5.67E-8*(DK241+273)^3))</f>
        <v>0</v>
      </c>
      <c r="W241">
        <f>($C$7*DL241+$D$7*DM241+$E$7*V241)</f>
        <v>0</v>
      </c>
      <c r="X241">
        <f>0.61365*exp(17.502*W241/(240.97+W241))</f>
        <v>0</v>
      </c>
      <c r="Y241">
        <f>(Z241/AA241*100)</f>
        <v>0</v>
      </c>
      <c r="Z241">
        <f>DD241*(DI241+DJ241)/1000</f>
        <v>0</v>
      </c>
      <c r="AA241">
        <f>0.61365*exp(17.502*DK241/(240.97+DK241))</f>
        <v>0</v>
      </c>
      <c r="AB241">
        <f>(X241-DD241*(DI241+DJ241)/1000)</f>
        <v>0</v>
      </c>
      <c r="AC241">
        <f>(-J241*44100)</f>
        <v>0</v>
      </c>
      <c r="AD241">
        <f>2*29.3*R241*0.92*(DK241-W241)</f>
        <v>0</v>
      </c>
      <c r="AE241">
        <f>2*0.95*5.67E-8*(((DK241+$B$7)+273)^4-(W241+273)^4)</f>
        <v>0</v>
      </c>
      <c r="AF241">
        <f>U241+AE241+AC241+AD241</f>
        <v>0</v>
      </c>
      <c r="AG241">
        <f>DH241*AU241*(DC241-DB241*(1000-AU241*DE241)/(1000-AU241*DD241))/(100*CV241)</f>
        <v>0</v>
      </c>
      <c r="AH241">
        <f>1000*DH241*AU241*(DD241-DE241)/(100*CV241*(1000-AU241*DD241))</f>
        <v>0</v>
      </c>
      <c r="AI241">
        <f>(AJ241 - AK241 - DI241*1E3/(8.314*(DK241+273.15)) * AM241/DH241 * AL241) * DH241/(100*CV241) * (1000 - DE241)/1000</f>
        <v>0</v>
      </c>
      <c r="AJ241">
        <v>1481.897802418533</v>
      </c>
      <c r="AK241">
        <v>1434.451454545454</v>
      </c>
      <c r="AL241">
        <v>3.418993108854731</v>
      </c>
      <c r="AM241">
        <v>66.38384787954378</v>
      </c>
      <c r="AN241">
        <f>(AP241 - AO241 + DI241*1E3/(8.314*(DK241+273.15)) * AR241/DH241 * AQ241) * DH241/(100*CV241) * 1000/(1000 - AP241)</f>
        <v>0</v>
      </c>
      <c r="AO241">
        <v>11.12194470284018</v>
      </c>
      <c r="AP241">
        <v>17.97607058823529</v>
      </c>
      <c r="AQ241">
        <v>-0.0008401126465508664</v>
      </c>
      <c r="AR241">
        <v>80.44866334591464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MAX(0,($B$13+$C$13*DP241)/(1+$D$13*DP241)*DI241/(DK241+273)*$E$13)</f>
        <v>0</v>
      </c>
      <c r="AX241" t="s">
        <v>417</v>
      </c>
      <c r="AY241" t="s">
        <v>417</v>
      </c>
      <c r="AZ241">
        <v>0</v>
      </c>
      <c r="BA241">
        <v>0</v>
      </c>
      <c r="BB241">
        <f>1-AZ241/BA241</f>
        <v>0</v>
      </c>
      <c r="BC241">
        <v>0</v>
      </c>
      <c r="BD241" t="s">
        <v>417</v>
      </c>
      <c r="BE241" t="s">
        <v>417</v>
      </c>
      <c r="BF241">
        <v>0</v>
      </c>
      <c r="BG241">
        <v>0</v>
      </c>
      <c r="BH241">
        <f>1-BF241/BG241</f>
        <v>0</v>
      </c>
      <c r="BI241">
        <v>0.5</v>
      </c>
      <c r="BJ241">
        <f>CS241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417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1238</v>
      </c>
      <c r="CA241">
        <v>300</v>
      </c>
      <c r="CB241">
        <v>300</v>
      </c>
      <c r="CC241">
        <v>300</v>
      </c>
      <c r="CD241">
        <v>10440.5</v>
      </c>
      <c r="CE241">
        <v>1411.69</v>
      </c>
      <c r="CF241">
        <v>-0.00735121</v>
      </c>
      <c r="CG241">
        <v>-0.77</v>
      </c>
      <c r="CH241" t="s">
        <v>417</v>
      </c>
      <c r="CI241" t="s">
        <v>417</v>
      </c>
      <c r="CJ241" t="s">
        <v>417</v>
      </c>
      <c r="CK241" t="s">
        <v>417</v>
      </c>
      <c r="CL241" t="s">
        <v>417</v>
      </c>
      <c r="CM241" t="s">
        <v>417</v>
      </c>
      <c r="CN241" t="s">
        <v>417</v>
      </c>
      <c r="CO241" t="s">
        <v>417</v>
      </c>
      <c r="CP241" t="s">
        <v>417</v>
      </c>
      <c r="CQ241" t="s">
        <v>417</v>
      </c>
      <c r="CR241">
        <f>$B$11*DQ241+$C$11*DR241+$F$11*EC241*(1-EF241)</f>
        <v>0</v>
      </c>
      <c r="CS241">
        <f>CR241*CT241</f>
        <v>0</v>
      </c>
      <c r="CT241">
        <f>($B$11*$D$9+$C$11*$D$9+$F$11*((EP241+EH241)/MAX(EP241+EH241+EQ241, 0.1)*$I$9+EQ241/MAX(EP241+EH241+EQ241, 0.1)*$J$9))/($B$11+$C$11+$F$11)</f>
        <v>0</v>
      </c>
      <c r="CU241">
        <f>($B$11*$K$9+$C$11*$K$9+$F$11*((EP241+EH241)/MAX(EP241+EH241+EQ241, 0.1)*$P$9+EQ241/MAX(EP241+EH241+EQ241, 0.1)*$Q$9))/($B$11+$C$11+$F$11)</f>
        <v>0</v>
      </c>
      <c r="CV241">
        <v>6</v>
      </c>
      <c r="CW241">
        <v>0.5</v>
      </c>
      <c r="CX241" t="s">
        <v>418</v>
      </c>
      <c r="CY241">
        <v>2</v>
      </c>
      <c r="CZ241" t="b">
        <v>1</v>
      </c>
      <c r="DA241">
        <v>1651857732.725</v>
      </c>
      <c r="DB241">
        <v>1405.6925</v>
      </c>
      <c r="DC241">
        <v>1469.96</v>
      </c>
      <c r="DD241">
        <v>17.97425</v>
      </c>
      <c r="DE241">
        <v>11.209825</v>
      </c>
      <c r="DF241">
        <v>1408.7275</v>
      </c>
      <c r="DG241">
        <v>17.974175</v>
      </c>
      <c r="DH241">
        <v>500.036</v>
      </c>
      <c r="DI241">
        <v>90.07857499999999</v>
      </c>
      <c r="DJ241">
        <v>0.099961625</v>
      </c>
      <c r="DK241">
        <v>25.7201</v>
      </c>
      <c r="DL241">
        <v>25.01905</v>
      </c>
      <c r="DM241">
        <v>999.9</v>
      </c>
      <c r="DN241">
        <v>0</v>
      </c>
      <c r="DO241">
        <v>0</v>
      </c>
      <c r="DP241">
        <v>9970.310000000001</v>
      </c>
      <c r="DQ241">
        <v>0</v>
      </c>
      <c r="DR241">
        <v>3.23193</v>
      </c>
      <c r="DS241">
        <v>-64.266025</v>
      </c>
      <c r="DT241">
        <v>1431.4225</v>
      </c>
      <c r="DU241">
        <v>1486.625</v>
      </c>
      <c r="DV241">
        <v>6.7644325</v>
      </c>
      <c r="DW241">
        <v>1469.96</v>
      </c>
      <c r="DX241">
        <v>11.209825</v>
      </c>
      <c r="DY241">
        <v>1.619095</v>
      </c>
      <c r="DZ241">
        <v>1.0097625</v>
      </c>
      <c r="EA241">
        <v>14.141775</v>
      </c>
      <c r="EB241">
        <v>7.058027500000001</v>
      </c>
      <c r="EC241">
        <v>1499.9475</v>
      </c>
      <c r="ED241">
        <v>0.97300325</v>
      </c>
      <c r="EE241">
        <v>0.026996825</v>
      </c>
      <c r="EF241">
        <v>0</v>
      </c>
      <c r="EG241">
        <v>930.928</v>
      </c>
      <c r="EH241">
        <v>5.00097</v>
      </c>
      <c r="EI241">
        <v>13841.45</v>
      </c>
      <c r="EJ241">
        <v>12491.175</v>
      </c>
      <c r="EK241">
        <v>37.5</v>
      </c>
      <c r="EL241">
        <v>39</v>
      </c>
      <c r="EM241">
        <v>37.875</v>
      </c>
      <c r="EN241">
        <v>38.75</v>
      </c>
      <c r="EO241">
        <v>38.375</v>
      </c>
      <c r="EP241">
        <v>1454.59</v>
      </c>
      <c r="EQ241">
        <v>40.3575</v>
      </c>
      <c r="ER241">
        <v>0</v>
      </c>
      <c r="ES241">
        <v>733.2000000476837</v>
      </c>
      <c r="ET241">
        <v>0</v>
      </c>
      <c r="EU241">
        <v>933.2489599999999</v>
      </c>
      <c r="EV241">
        <v>-23.97307696733561</v>
      </c>
      <c r="EW241">
        <v>-356.5846158534561</v>
      </c>
      <c r="EX241">
        <v>13875.992</v>
      </c>
      <c r="EY241">
        <v>15</v>
      </c>
      <c r="EZ241">
        <v>1651857041.1</v>
      </c>
      <c r="FA241" t="s">
        <v>419</v>
      </c>
      <c r="FB241">
        <v>1651857019.6</v>
      </c>
      <c r="FC241">
        <v>1651857041.1</v>
      </c>
      <c r="FD241">
        <v>1</v>
      </c>
      <c r="FE241">
        <v>0.545</v>
      </c>
      <c r="FF241">
        <v>-0.002</v>
      </c>
      <c r="FG241">
        <v>-1.271</v>
      </c>
      <c r="FH241">
        <v>-0.09</v>
      </c>
      <c r="FI241">
        <v>400</v>
      </c>
      <c r="FJ241">
        <v>10</v>
      </c>
      <c r="FK241">
        <v>0.1</v>
      </c>
      <c r="FL241">
        <v>0.02</v>
      </c>
      <c r="FM241">
        <v>-64.00359756097561</v>
      </c>
      <c r="FN241">
        <v>-1.044284320557411</v>
      </c>
      <c r="FO241">
        <v>0.2198583030242089</v>
      </c>
      <c r="FP241">
        <v>-1</v>
      </c>
      <c r="FQ241">
        <v>7.048188780487806</v>
      </c>
      <c r="FR241">
        <v>-1.617388432055756</v>
      </c>
      <c r="FS241">
        <v>0.1601691019683324</v>
      </c>
      <c r="FT241">
        <v>-1</v>
      </c>
      <c r="FU241">
        <v>0</v>
      </c>
      <c r="FV241">
        <v>0</v>
      </c>
      <c r="FW241">
        <v>0</v>
      </c>
      <c r="FX241">
        <v>-1</v>
      </c>
      <c r="FY241">
        <v>0</v>
      </c>
      <c r="FZ241">
        <v>0</v>
      </c>
      <c r="GA241" t="s">
        <v>432</v>
      </c>
      <c r="GB241">
        <v>2.97988</v>
      </c>
      <c r="GC241">
        <v>2.70591</v>
      </c>
      <c r="GD241">
        <v>0.212364</v>
      </c>
      <c r="GE241">
        <v>0.215722</v>
      </c>
      <c r="GF241">
        <v>0.0864716</v>
      </c>
      <c r="GG241">
        <v>0.0604902</v>
      </c>
      <c r="GH241">
        <v>24851.7</v>
      </c>
      <c r="GI241">
        <v>24800</v>
      </c>
      <c r="GJ241">
        <v>29343.1</v>
      </c>
      <c r="GK241">
        <v>29256.8</v>
      </c>
      <c r="GL241">
        <v>35500.1</v>
      </c>
      <c r="GM241">
        <v>36608.1</v>
      </c>
      <c r="GN241">
        <v>41304.8</v>
      </c>
      <c r="GO241">
        <v>41753.8</v>
      </c>
      <c r="GP241">
        <v>1.95335</v>
      </c>
      <c r="GQ241">
        <v>1.84188</v>
      </c>
      <c r="GR241">
        <v>-0.0333115</v>
      </c>
      <c r="GS241">
        <v>0</v>
      </c>
      <c r="GT241">
        <v>25.5641</v>
      </c>
      <c r="GU241">
        <v>999.9</v>
      </c>
      <c r="GV241">
        <v>38.3</v>
      </c>
      <c r="GW241">
        <v>34</v>
      </c>
      <c r="GX241">
        <v>22.7195</v>
      </c>
      <c r="GY241">
        <v>62.5276</v>
      </c>
      <c r="GZ241">
        <v>35.1683</v>
      </c>
      <c r="HA241">
        <v>1</v>
      </c>
      <c r="HB241">
        <v>0.136189</v>
      </c>
      <c r="HC241">
        <v>2.65595</v>
      </c>
      <c r="HD241">
        <v>20.3134</v>
      </c>
      <c r="HE241">
        <v>5.21759</v>
      </c>
      <c r="HF241">
        <v>12.0099</v>
      </c>
      <c r="HG241">
        <v>4.98875</v>
      </c>
      <c r="HH241">
        <v>3.28848</v>
      </c>
      <c r="HI241">
        <v>856.9</v>
      </c>
      <c r="HJ241">
        <v>8528.9</v>
      </c>
      <c r="HK241">
        <v>5139.4</v>
      </c>
      <c r="HL241">
        <v>22.9</v>
      </c>
      <c r="HM241">
        <v>1.86751</v>
      </c>
      <c r="HN241">
        <v>1.86647</v>
      </c>
      <c r="HO241">
        <v>1.866</v>
      </c>
      <c r="HP241">
        <v>1.86586</v>
      </c>
      <c r="HQ241">
        <v>1.86772</v>
      </c>
      <c r="HR241">
        <v>1.87027</v>
      </c>
      <c r="HS241">
        <v>1.8689</v>
      </c>
      <c r="HT241">
        <v>1.87026</v>
      </c>
      <c r="HU241">
        <v>0</v>
      </c>
      <c r="HV241">
        <v>0</v>
      </c>
      <c r="HW241">
        <v>0</v>
      </c>
      <c r="HX241">
        <v>0</v>
      </c>
      <c r="HY241" t="s">
        <v>421</v>
      </c>
      <c r="HZ241" t="s">
        <v>422</v>
      </c>
      <c r="IA241" t="s">
        <v>423</v>
      </c>
      <c r="IB241" t="s">
        <v>423</v>
      </c>
      <c r="IC241" t="s">
        <v>423</v>
      </c>
      <c r="ID241" t="s">
        <v>423</v>
      </c>
      <c r="IE241">
        <v>0</v>
      </c>
      <c r="IF241">
        <v>100</v>
      </c>
      <c r="IG241">
        <v>100</v>
      </c>
      <c r="IH241">
        <v>-3.05</v>
      </c>
      <c r="II241">
        <v>0.0001</v>
      </c>
      <c r="IJ241">
        <v>-0.4995723906072</v>
      </c>
      <c r="IK241">
        <v>-0.002077099775823331</v>
      </c>
      <c r="IL241">
        <v>4.593143279902166E-07</v>
      </c>
      <c r="IM241">
        <v>-1.865383991892071E-10</v>
      </c>
      <c r="IN241">
        <v>-0.07605349583632376</v>
      </c>
      <c r="IO241">
        <v>-0.01129461987421345</v>
      </c>
      <c r="IP241">
        <v>0.00116580895745559</v>
      </c>
      <c r="IQ241">
        <v>-1.679085872906199E-05</v>
      </c>
      <c r="IR241">
        <v>2</v>
      </c>
      <c r="IS241">
        <v>2290</v>
      </c>
      <c r="IT241">
        <v>0</v>
      </c>
      <c r="IU241">
        <v>32</v>
      </c>
      <c r="IV241">
        <v>11.9</v>
      </c>
      <c r="IW241">
        <v>11.6</v>
      </c>
      <c r="IX241">
        <v>2.85645</v>
      </c>
      <c r="IY241">
        <v>2.20093</v>
      </c>
      <c r="IZ241">
        <v>1.39648</v>
      </c>
      <c r="JA241">
        <v>2.3584</v>
      </c>
      <c r="JB241">
        <v>1.49536</v>
      </c>
      <c r="JC241">
        <v>2.28882</v>
      </c>
      <c r="JD241">
        <v>38.5259</v>
      </c>
      <c r="JE241">
        <v>24.035</v>
      </c>
      <c r="JF241">
        <v>18</v>
      </c>
      <c r="JG241">
        <v>513.398</v>
      </c>
      <c r="JH241">
        <v>427.147</v>
      </c>
      <c r="JI241">
        <v>22.1045</v>
      </c>
      <c r="JJ241">
        <v>29.0736</v>
      </c>
      <c r="JK241">
        <v>30.0001</v>
      </c>
      <c r="JL241">
        <v>29.0751</v>
      </c>
      <c r="JM241">
        <v>29.0169</v>
      </c>
      <c r="JN241">
        <v>57.156</v>
      </c>
      <c r="JO241">
        <v>46.9187</v>
      </c>
      <c r="JP241">
        <v>0</v>
      </c>
      <c r="JQ241">
        <v>22.0918</v>
      </c>
      <c r="JR241">
        <v>1491.31</v>
      </c>
      <c r="JS241">
        <v>11.4428</v>
      </c>
      <c r="JT241">
        <v>100.305</v>
      </c>
      <c r="JU241">
        <v>100.217</v>
      </c>
    </row>
    <row r="242" spans="1:281">
      <c r="A242">
        <v>226</v>
      </c>
      <c r="B242">
        <v>1651857736.1</v>
      </c>
      <c r="C242">
        <v>735.5</v>
      </c>
      <c r="D242" t="s">
        <v>879</v>
      </c>
      <c r="E242" t="s">
        <v>880</v>
      </c>
      <c r="F242">
        <v>2</v>
      </c>
      <c r="G242" t="s">
        <v>413</v>
      </c>
      <c r="H242" t="s">
        <v>414</v>
      </c>
      <c r="I242">
        <v>1651857735.1</v>
      </c>
      <c r="J242">
        <f>(K242)/1000</f>
        <v>0</v>
      </c>
      <c r="K242">
        <f>IF(CZ242, AN242, AH242)</f>
        <v>0</v>
      </c>
      <c r="L242">
        <f>IF(CZ242, AI242, AG242)</f>
        <v>0</v>
      </c>
      <c r="M242">
        <f>DB242 - IF(AU242&gt;1, L242*CV242*100.0/(AW242*DP242), 0)</f>
        <v>0</v>
      </c>
      <c r="N242">
        <f>((T242-J242/2)*M242-L242)/(T242+J242/2)</f>
        <v>0</v>
      </c>
      <c r="O242">
        <f>N242*(DI242+DJ242)/1000.0</f>
        <v>0</v>
      </c>
      <c r="P242">
        <f>(DB242 - IF(AU242&gt;1, L242*CV242*100.0/(AW242*DP242), 0))*(DI242+DJ242)/1000.0</f>
        <v>0</v>
      </c>
      <c r="Q242">
        <f>2.0/((1/S242-1/R242)+SIGN(S242)*SQRT((1/S242-1/R242)*(1/S242-1/R242) + 4*CW242/((CW242+1)*(CW242+1))*(2*1/S242*1/R242-1/R242*1/R242)))</f>
        <v>0</v>
      </c>
      <c r="R242">
        <f>IF(LEFT(CX242,1)&lt;&gt;"0",IF(LEFT(CX242,1)="1",3.0,CY242),$D$5+$E$5*(DP242*DI242/($K$5*1000))+$F$5*(DP242*DI242/($K$5*1000))*MAX(MIN(CV242,$J$5),$I$5)*MAX(MIN(CV242,$J$5),$I$5)+$G$5*MAX(MIN(CV242,$J$5),$I$5)*(DP242*DI242/($K$5*1000))+$H$5*(DP242*DI242/($K$5*1000))*(DP242*DI242/($K$5*1000)))</f>
        <v>0</v>
      </c>
      <c r="S242">
        <f>J242*(1000-(1000*0.61365*exp(17.502*W242/(240.97+W242))/(DI242+DJ242)+DD242)/2)/(1000*0.61365*exp(17.502*W242/(240.97+W242))/(DI242+DJ242)-DD242)</f>
        <v>0</v>
      </c>
      <c r="T242">
        <f>1/((CW242+1)/(Q242/1.6)+1/(R242/1.37)) + CW242/((CW242+1)/(Q242/1.6) + CW242/(R242/1.37))</f>
        <v>0</v>
      </c>
      <c r="U242">
        <f>(CR242*CU242)</f>
        <v>0</v>
      </c>
      <c r="V242">
        <f>(DK242+(U242+2*0.95*5.67E-8*(((DK242+$B$7)+273)^4-(DK242+273)^4)-44100*J242)/(1.84*29.3*R242+8*0.95*5.67E-8*(DK242+273)^3))</f>
        <v>0</v>
      </c>
      <c r="W242">
        <f>($C$7*DL242+$D$7*DM242+$E$7*V242)</f>
        <v>0</v>
      </c>
      <c r="X242">
        <f>0.61365*exp(17.502*W242/(240.97+W242))</f>
        <v>0</v>
      </c>
      <c r="Y242">
        <f>(Z242/AA242*100)</f>
        <v>0</v>
      </c>
      <c r="Z242">
        <f>DD242*(DI242+DJ242)/1000</f>
        <v>0</v>
      </c>
      <c r="AA242">
        <f>0.61365*exp(17.502*DK242/(240.97+DK242))</f>
        <v>0</v>
      </c>
      <c r="AB242">
        <f>(X242-DD242*(DI242+DJ242)/1000)</f>
        <v>0</v>
      </c>
      <c r="AC242">
        <f>(-J242*44100)</f>
        <v>0</v>
      </c>
      <c r="AD242">
        <f>2*29.3*R242*0.92*(DK242-W242)</f>
        <v>0</v>
      </c>
      <c r="AE242">
        <f>2*0.95*5.67E-8*(((DK242+$B$7)+273)^4-(W242+273)^4)</f>
        <v>0</v>
      </c>
      <c r="AF242">
        <f>U242+AE242+AC242+AD242</f>
        <v>0</v>
      </c>
      <c r="AG242">
        <f>DH242*AU242*(DC242-DB242*(1000-AU242*DE242)/(1000-AU242*DD242))/(100*CV242)</f>
        <v>0</v>
      </c>
      <c r="AH242">
        <f>1000*DH242*AU242*(DD242-DE242)/(100*CV242*(1000-AU242*DD242))</f>
        <v>0</v>
      </c>
      <c r="AI242">
        <f>(AJ242 - AK242 - DI242*1E3/(8.314*(DK242+273.15)) * AM242/DH242 * AL242) * DH242/(100*CV242) * (1000 - DE242)/1000</f>
        <v>0</v>
      </c>
      <c r="AJ242">
        <v>1488.624124639997</v>
      </c>
      <c r="AK242">
        <v>1441.322363636363</v>
      </c>
      <c r="AL242">
        <v>3.442906214024755</v>
      </c>
      <c r="AM242">
        <v>66.38384787954378</v>
      </c>
      <c r="AN242">
        <f>(AP242 - AO242 + DI242*1E3/(8.314*(DK242+273.15)) * AR242/DH242 * AQ242) * DH242/(100*CV242) * 1000/(1000 - AP242)</f>
        <v>0</v>
      </c>
      <c r="AO242">
        <v>11.181912616163</v>
      </c>
      <c r="AP242">
        <v>17.97415735294118</v>
      </c>
      <c r="AQ242">
        <v>5.888281448392411E-05</v>
      </c>
      <c r="AR242">
        <v>80.44866334591464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MAX(0,($B$13+$C$13*DP242)/(1+$D$13*DP242)*DI242/(DK242+273)*$E$13)</f>
        <v>0</v>
      </c>
      <c r="AX242" t="s">
        <v>417</v>
      </c>
      <c r="AY242" t="s">
        <v>417</v>
      </c>
      <c r="AZ242">
        <v>0</v>
      </c>
      <c r="BA242">
        <v>0</v>
      </c>
      <c r="BB242">
        <f>1-AZ242/BA242</f>
        <v>0</v>
      </c>
      <c r="BC242">
        <v>0</v>
      </c>
      <c r="BD242" t="s">
        <v>417</v>
      </c>
      <c r="BE242" t="s">
        <v>417</v>
      </c>
      <c r="BF242">
        <v>0</v>
      </c>
      <c r="BG242">
        <v>0</v>
      </c>
      <c r="BH242">
        <f>1-BF242/BG242</f>
        <v>0</v>
      </c>
      <c r="BI242">
        <v>0.5</v>
      </c>
      <c r="BJ242">
        <f>CS242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417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1238</v>
      </c>
      <c r="CA242">
        <v>300</v>
      </c>
      <c r="CB242">
        <v>300</v>
      </c>
      <c r="CC242">
        <v>300</v>
      </c>
      <c r="CD242">
        <v>10440.5</v>
      </c>
      <c r="CE242">
        <v>1411.69</v>
      </c>
      <c r="CF242">
        <v>-0.00735121</v>
      </c>
      <c r="CG242">
        <v>-0.77</v>
      </c>
      <c r="CH242" t="s">
        <v>417</v>
      </c>
      <c r="CI242" t="s">
        <v>417</v>
      </c>
      <c r="CJ242" t="s">
        <v>417</v>
      </c>
      <c r="CK242" t="s">
        <v>417</v>
      </c>
      <c r="CL242" t="s">
        <v>417</v>
      </c>
      <c r="CM242" t="s">
        <v>417</v>
      </c>
      <c r="CN242" t="s">
        <v>417</v>
      </c>
      <c r="CO242" t="s">
        <v>417</v>
      </c>
      <c r="CP242" t="s">
        <v>417</v>
      </c>
      <c r="CQ242" t="s">
        <v>417</v>
      </c>
      <c r="CR242">
        <f>$B$11*DQ242+$C$11*DR242+$F$11*EC242*(1-EF242)</f>
        <v>0</v>
      </c>
      <c r="CS242">
        <f>CR242*CT242</f>
        <v>0</v>
      </c>
      <c r="CT242">
        <f>($B$11*$D$9+$C$11*$D$9+$F$11*((EP242+EH242)/MAX(EP242+EH242+EQ242, 0.1)*$I$9+EQ242/MAX(EP242+EH242+EQ242, 0.1)*$J$9))/($B$11+$C$11+$F$11)</f>
        <v>0</v>
      </c>
      <c r="CU242">
        <f>($B$11*$K$9+$C$11*$K$9+$F$11*((EP242+EH242)/MAX(EP242+EH242+EQ242, 0.1)*$P$9+EQ242/MAX(EP242+EH242+EQ242, 0.1)*$Q$9))/($B$11+$C$11+$F$11)</f>
        <v>0</v>
      </c>
      <c r="CV242">
        <v>6</v>
      </c>
      <c r="CW242">
        <v>0.5</v>
      </c>
      <c r="CX242" t="s">
        <v>418</v>
      </c>
      <c r="CY242">
        <v>2</v>
      </c>
      <c r="CZ242" t="b">
        <v>1</v>
      </c>
      <c r="DA242">
        <v>1651857735.1</v>
      </c>
      <c r="DB242">
        <v>1413.726666666667</v>
      </c>
      <c r="DC242">
        <v>1477.603333333333</v>
      </c>
      <c r="DD242">
        <v>17.97353333333333</v>
      </c>
      <c r="DE242">
        <v>11.27453333333333</v>
      </c>
      <c r="DF242">
        <v>1416.78</v>
      </c>
      <c r="DG242">
        <v>17.9735</v>
      </c>
      <c r="DH242">
        <v>500.012</v>
      </c>
      <c r="DI242">
        <v>90.07496666666667</v>
      </c>
      <c r="DJ242">
        <v>0.09995559999999999</v>
      </c>
      <c r="DK242">
        <v>25.71916666666667</v>
      </c>
      <c r="DL242">
        <v>25.01933333333333</v>
      </c>
      <c r="DM242">
        <v>999.9</v>
      </c>
      <c r="DN242">
        <v>0</v>
      </c>
      <c r="DO242">
        <v>0</v>
      </c>
      <c r="DP242">
        <v>9987.706666666667</v>
      </c>
      <c r="DQ242">
        <v>0</v>
      </c>
      <c r="DR242">
        <v>3.23193</v>
      </c>
      <c r="DS242">
        <v>-63.87613333333334</v>
      </c>
      <c r="DT242">
        <v>1439.603333333333</v>
      </c>
      <c r="DU242">
        <v>1494.453333333333</v>
      </c>
      <c r="DV242">
        <v>6.69897</v>
      </c>
      <c r="DW242">
        <v>1477.603333333333</v>
      </c>
      <c r="DX242">
        <v>11.27453333333333</v>
      </c>
      <c r="DY242">
        <v>1.618963333333333</v>
      </c>
      <c r="DZ242">
        <v>1.015556666666667</v>
      </c>
      <c r="EA242">
        <v>14.1405</v>
      </c>
      <c r="EB242">
        <v>7.141466666666666</v>
      </c>
      <c r="EC242">
        <v>1499.86</v>
      </c>
      <c r="ED242">
        <v>0.973007</v>
      </c>
      <c r="EE242">
        <v>0.0269931</v>
      </c>
      <c r="EF242">
        <v>0</v>
      </c>
      <c r="EG242">
        <v>929.6253333333334</v>
      </c>
      <c r="EH242">
        <v>5.00097</v>
      </c>
      <c r="EI242">
        <v>13827.26666666667</v>
      </c>
      <c r="EJ242">
        <v>12490.5</v>
      </c>
      <c r="EK242">
        <v>37.5</v>
      </c>
      <c r="EL242">
        <v>39</v>
      </c>
      <c r="EM242">
        <v>37.875</v>
      </c>
      <c r="EN242">
        <v>38.75</v>
      </c>
      <c r="EO242">
        <v>38.375</v>
      </c>
      <c r="EP242">
        <v>1454.51</v>
      </c>
      <c r="EQ242">
        <v>40.35</v>
      </c>
      <c r="ER242">
        <v>0</v>
      </c>
      <c r="ES242">
        <v>735</v>
      </c>
      <c r="ET242">
        <v>0</v>
      </c>
      <c r="EU242">
        <v>932.6106538461538</v>
      </c>
      <c r="EV242">
        <v>-25.3426666694387</v>
      </c>
      <c r="EW242">
        <v>-357.5418802694607</v>
      </c>
      <c r="EX242">
        <v>13866.86538461538</v>
      </c>
      <c r="EY242">
        <v>15</v>
      </c>
      <c r="EZ242">
        <v>1651857041.1</v>
      </c>
      <c r="FA242" t="s">
        <v>419</v>
      </c>
      <c r="FB242">
        <v>1651857019.6</v>
      </c>
      <c r="FC242">
        <v>1651857041.1</v>
      </c>
      <c r="FD242">
        <v>1</v>
      </c>
      <c r="FE242">
        <v>0.545</v>
      </c>
      <c r="FF242">
        <v>-0.002</v>
      </c>
      <c r="FG242">
        <v>-1.271</v>
      </c>
      <c r="FH242">
        <v>-0.09</v>
      </c>
      <c r="FI242">
        <v>400</v>
      </c>
      <c r="FJ242">
        <v>10</v>
      </c>
      <c r="FK242">
        <v>0.1</v>
      </c>
      <c r="FL242">
        <v>0.02</v>
      </c>
      <c r="FM242">
        <v>-64.05368292682927</v>
      </c>
      <c r="FN242">
        <v>-0.02097909407660323</v>
      </c>
      <c r="FO242">
        <v>0.1784168521276524</v>
      </c>
      <c r="FP242">
        <v>-1</v>
      </c>
      <c r="FQ242">
        <v>6.966571951219513</v>
      </c>
      <c r="FR242">
        <v>-1.654391916376309</v>
      </c>
      <c r="FS242">
        <v>0.1637333856061323</v>
      </c>
      <c r="FT242">
        <v>-1</v>
      </c>
      <c r="FU242">
        <v>0</v>
      </c>
      <c r="FV242">
        <v>0</v>
      </c>
      <c r="FW242">
        <v>0</v>
      </c>
      <c r="FX242">
        <v>-1</v>
      </c>
      <c r="FY242">
        <v>0</v>
      </c>
      <c r="FZ242">
        <v>0</v>
      </c>
      <c r="GA242" t="s">
        <v>432</v>
      </c>
      <c r="GB242">
        <v>2.97988</v>
      </c>
      <c r="GC242">
        <v>2.70612</v>
      </c>
      <c r="GD242">
        <v>0.212974</v>
      </c>
      <c r="GE242">
        <v>0.216307</v>
      </c>
      <c r="GF242">
        <v>0.0864631</v>
      </c>
      <c r="GG242">
        <v>0.0607192</v>
      </c>
      <c r="GH242">
        <v>24832.5</v>
      </c>
      <c r="GI242">
        <v>24781.7</v>
      </c>
      <c r="GJ242">
        <v>29343.1</v>
      </c>
      <c r="GK242">
        <v>29257</v>
      </c>
      <c r="GL242">
        <v>35500.3</v>
      </c>
      <c r="GM242">
        <v>36599.3</v>
      </c>
      <c r="GN242">
        <v>41304.6</v>
      </c>
      <c r="GO242">
        <v>41754.1</v>
      </c>
      <c r="GP242">
        <v>1.95312</v>
      </c>
      <c r="GQ242">
        <v>1.8418</v>
      </c>
      <c r="GR242">
        <v>-0.033129</v>
      </c>
      <c r="GS242">
        <v>0</v>
      </c>
      <c r="GT242">
        <v>25.5649</v>
      </c>
      <c r="GU242">
        <v>999.9</v>
      </c>
      <c r="GV242">
        <v>38.3</v>
      </c>
      <c r="GW242">
        <v>34</v>
      </c>
      <c r="GX242">
        <v>22.7203</v>
      </c>
      <c r="GY242">
        <v>62.4476</v>
      </c>
      <c r="GZ242">
        <v>35.3806</v>
      </c>
      <c r="HA242">
        <v>1</v>
      </c>
      <c r="HB242">
        <v>0.136344</v>
      </c>
      <c r="HC242">
        <v>2.66635</v>
      </c>
      <c r="HD242">
        <v>20.3133</v>
      </c>
      <c r="HE242">
        <v>5.21729</v>
      </c>
      <c r="HF242">
        <v>12.0099</v>
      </c>
      <c r="HG242">
        <v>4.98875</v>
      </c>
      <c r="HH242">
        <v>3.28848</v>
      </c>
      <c r="HI242">
        <v>856.9</v>
      </c>
      <c r="HJ242">
        <v>8528.9</v>
      </c>
      <c r="HK242">
        <v>5139.4</v>
      </c>
      <c r="HL242">
        <v>22.9</v>
      </c>
      <c r="HM242">
        <v>1.8675</v>
      </c>
      <c r="HN242">
        <v>1.86647</v>
      </c>
      <c r="HO242">
        <v>1.866</v>
      </c>
      <c r="HP242">
        <v>1.86586</v>
      </c>
      <c r="HQ242">
        <v>1.86771</v>
      </c>
      <c r="HR242">
        <v>1.87027</v>
      </c>
      <c r="HS242">
        <v>1.8689</v>
      </c>
      <c r="HT242">
        <v>1.87027</v>
      </c>
      <c r="HU242">
        <v>0</v>
      </c>
      <c r="HV242">
        <v>0</v>
      </c>
      <c r="HW242">
        <v>0</v>
      </c>
      <c r="HX242">
        <v>0</v>
      </c>
      <c r="HY242" t="s">
        <v>421</v>
      </c>
      <c r="HZ242" t="s">
        <v>422</v>
      </c>
      <c r="IA242" t="s">
        <v>423</v>
      </c>
      <c r="IB242" t="s">
        <v>423</v>
      </c>
      <c r="IC242" t="s">
        <v>423</v>
      </c>
      <c r="ID242" t="s">
        <v>423</v>
      </c>
      <c r="IE242">
        <v>0</v>
      </c>
      <c r="IF242">
        <v>100</v>
      </c>
      <c r="IG242">
        <v>100</v>
      </c>
      <c r="IH242">
        <v>-3.06</v>
      </c>
      <c r="II242">
        <v>0</v>
      </c>
      <c r="IJ242">
        <v>-0.4995723906072</v>
      </c>
      <c r="IK242">
        <v>-0.002077099775823331</v>
      </c>
      <c r="IL242">
        <v>4.593143279902166E-07</v>
      </c>
      <c r="IM242">
        <v>-1.865383991892071E-10</v>
      </c>
      <c r="IN242">
        <v>-0.07605349583632376</v>
      </c>
      <c r="IO242">
        <v>-0.01129461987421345</v>
      </c>
      <c r="IP242">
        <v>0.00116580895745559</v>
      </c>
      <c r="IQ242">
        <v>-1.679085872906199E-05</v>
      </c>
      <c r="IR242">
        <v>2</v>
      </c>
      <c r="IS242">
        <v>2290</v>
      </c>
      <c r="IT242">
        <v>0</v>
      </c>
      <c r="IU242">
        <v>32</v>
      </c>
      <c r="IV242">
        <v>11.9</v>
      </c>
      <c r="IW242">
        <v>11.6</v>
      </c>
      <c r="IX242">
        <v>2.86621</v>
      </c>
      <c r="IY242">
        <v>2.1936</v>
      </c>
      <c r="IZ242">
        <v>1.39648</v>
      </c>
      <c r="JA242">
        <v>2.35962</v>
      </c>
      <c r="JB242">
        <v>1.49536</v>
      </c>
      <c r="JC242">
        <v>2.36694</v>
      </c>
      <c r="JD242">
        <v>38.5259</v>
      </c>
      <c r="JE242">
        <v>24.0437</v>
      </c>
      <c r="JF242">
        <v>18</v>
      </c>
      <c r="JG242">
        <v>513.247</v>
      </c>
      <c r="JH242">
        <v>427.102</v>
      </c>
      <c r="JI242">
        <v>22.0978</v>
      </c>
      <c r="JJ242">
        <v>29.0736</v>
      </c>
      <c r="JK242">
        <v>30.0002</v>
      </c>
      <c r="JL242">
        <v>29.0747</v>
      </c>
      <c r="JM242">
        <v>29.0169</v>
      </c>
      <c r="JN242">
        <v>57.3489</v>
      </c>
      <c r="JO242">
        <v>46.6109</v>
      </c>
      <c r="JP242">
        <v>0</v>
      </c>
      <c r="JQ242">
        <v>22.0918</v>
      </c>
      <c r="JR242">
        <v>1498</v>
      </c>
      <c r="JS242">
        <v>11.4903</v>
      </c>
      <c r="JT242">
        <v>100.305</v>
      </c>
      <c r="JU242">
        <v>100.217</v>
      </c>
    </row>
    <row r="243" spans="1:281">
      <c r="A243">
        <v>227</v>
      </c>
      <c r="B243">
        <v>1651857738.1</v>
      </c>
      <c r="C243">
        <v>737.5</v>
      </c>
      <c r="D243" t="s">
        <v>881</v>
      </c>
      <c r="E243" t="s">
        <v>882</v>
      </c>
      <c r="F243">
        <v>2</v>
      </c>
      <c r="G243" t="s">
        <v>413</v>
      </c>
      <c r="H243" t="s">
        <v>414</v>
      </c>
      <c r="I243">
        <v>1651857736.725</v>
      </c>
      <c r="J243">
        <f>(K243)/1000</f>
        <v>0</v>
      </c>
      <c r="K243">
        <f>IF(CZ243, AN243, AH243)</f>
        <v>0</v>
      </c>
      <c r="L243">
        <f>IF(CZ243, AI243, AG243)</f>
        <v>0</v>
      </c>
      <c r="M243">
        <f>DB243 - IF(AU243&gt;1, L243*CV243*100.0/(AW243*DP243), 0)</f>
        <v>0</v>
      </c>
      <c r="N243">
        <f>((T243-J243/2)*M243-L243)/(T243+J243/2)</f>
        <v>0</v>
      </c>
      <c r="O243">
        <f>N243*(DI243+DJ243)/1000.0</f>
        <v>0</v>
      </c>
      <c r="P243">
        <f>(DB243 - IF(AU243&gt;1, L243*CV243*100.0/(AW243*DP243), 0))*(DI243+DJ243)/1000.0</f>
        <v>0</v>
      </c>
      <c r="Q243">
        <f>2.0/((1/S243-1/R243)+SIGN(S243)*SQRT((1/S243-1/R243)*(1/S243-1/R243) + 4*CW243/((CW243+1)*(CW243+1))*(2*1/S243*1/R243-1/R243*1/R243)))</f>
        <v>0</v>
      </c>
      <c r="R243">
        <f>IF(LEFT(CX243,1)&lt;&gt;"0",IF(LEFT(CX243,1)="1",3.0,CY243),$D$5+$E$5*(DP243*DI243/($K$5*1000))+$F$5*(DP243*DI243/($K$5*1000))*MAX(MIN(CV243,$J$5),$I$5)*MAX(MIN(CV243,$J$5),$I$5)+$G$5*MAX(MIN(CV243,$J$5),$I$5)*(DP243*DI243/($K$5*1000))+$H$5*(DP243*DI243/($K$5*1000))*(DP243*DI243/($K$5*1000)))</f>
        <v>0</v>
      </c>
      <c r="S243">
        <f>J243*(1000-(1000*0.61365*exp(17.502*W243/(240.97+W243))/(DI243+DJ243)+DD243)/2)/(1000*0.61365*exp(17.502*W243/(240.97+W243))/(DI243+DJ243)-DD243)</f>
        <v>0</v>
      </c>
      <c r="T243">
        <f>1/((CW243+1)/(Q243/1.6)+1/(R243/1.37)) + CW243/((CW243+1)/(Q243/1.6) + CW243/(R243/1.37))</f>
        <v>0</v>
      </c>
      <c r="U243">
        <f>(CR243*CU243)</f>
        <v>0</v>
      </c>
      <c r="V243">
        <f>(DK243+(U243+2*0.95*5.67E-8*(((DK243+$B$7)+273)^4-(DK243+273)^4)-44100*J243)/(1.84*29.3*R243+8*0.95*5.67E-8*(DK243+273)^3))</f>
        <v>0</v>
      </c>
      <c r="W243">
        <f>($C$7*DL243+$D$7*DM243+$E$7*V243)</f>
        <v>0</v>
      </c>
      <c r="X243">
        <f>0.61365*exp(17.502*W243/(240.97+W243))</f>
        <v>0</v>
      </c>
      <c r="Y243">
        <f>(Z243/AA243*100)</f>
        <v>0</v>
      </c>
      <c r="Z243">
        <f>DD243*(DI243+DJ243)/1000</f>
        <v>0</v>
      </c>
      <c r="AA243">
        <f>0.61365*exp(17.502*DK243/(240.97+DK243))</f>
        <v>0</v>
      </c>
      <c r="AB243">
        <f>(X243-DD243*(DI243+DJ243)/1000)</f>
        <v>0</v>
      </c>
      <c r="AC243">
        <f>(-J243*44100)</f>
        <v>0</v>
      </c>
      <c r="AD243">
        <f>2*29.3*R243*0.92*(DK243-W243)</f>
        <v>0</v>
      </c>
      <c r="AE243">
        <f>2*0.95*5.67E-8*(((DK243+$B$7)+273)^4-(W243+273)^4)</f>
        <v>0</v>
      </c>
      <c r="AF243">
        <f>U243+AE243+AC243+AD243</f>
        <v>0</v>
      </c>
      <c r="AG243">
        <f>DH243*AU243*(DC243-DB243*(1000-AU243*DE243)/(1000-AU243*DD243))/(100*CV243)</f>
        <v>0</v>
      </c>
      <c r="AH243">
        <f>1000*DH243*AU243*(DD243-DE243)/(100*CV243*(1000-AU243*DD243))</f>
        <v>0</v>
      </c>
      <c r="AI243">
        <f>(AJ243 - AK243 - DI243*1E3/(8.314*(DK243+273.15)) * AM243/DH243 * AL243) * DH243/(100*CV243) * (1000 - DE243)/1000</f>
        <v>0</v>
      </c>
      <c r="AJ243">
        <v>1495.265814619375</v>
      </c>
      <c r="AK243">
        <v>1448.063272727273</v>
      </c>
      <c r="AL243">
        <v>3.394170112239181</v>
      </c>
      <c r="AM243">
        <v>66.38384787954378</v>
      </c>
      <c r="AN243">
        <f>(AP243 - AO243 + DI243*1E3/(8.314*(DK243+273.15)) * AR243/DH243 * AQ243) * DH243/(100*CV243) * 1000/(1000 - AP243)</f>
        <v>0</v>
      </c>
      <c r="AO243">
        <v>11.23197211635757</v>
      </c>
      <c r="AP243">
        <v>17.97041323529411</v>
      </c>
      <c r="AQ243">
        <v>0.0002479188124770226</v>
      </c>
      <c r="AR243">
        <v>80.44866334591464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MAX(0,($B$13+$C$13*DP243)/(1+$D$13*DP243)*DI243/(DK243+273)*$E$13)</f>
        <v>0</v>
      </c>
      <c r="AX243" t="s">
        <v>417</v>
      </c>
      <c r="AY243" t="s">
        <v>417</v>
      </c>
      <c r="AZ243">
        <v>0</v>
      </c>
      <c r="BA243">
        <v>0</v>
      </c>
      <c r="BB243">
        <f>1-AZ243/BA243</f>
        <v>0</v>
      </c>
      <c r="BC243">
        <v>0</v>
      </c>
      <c r="BD243" t="s">
        <v>417</v>
      </c>
      <c r="BE243" t="s">
        <v>417</v>
      </c>
      <c r="BF243">
        <v>0</v>
      </c>
      <c r="BG243">
        <v>0</v>
      </c>
      <c r="BH243">
        <f>1-BF243/BG243</f>
        <v>0</v>
      </c>
      <c r="BI243">
        <v>0.5</v>
      </c>
      <c r="BJ243">
        <f>CS243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417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1238</v>
      </c>
      <c r="CA243">
        <v>300</v>
      </c>
      <c r="CB243">
        <v>300</v>
      </c>
      <c r="CC243">
        <v>300</v>
      </c>
      <c r="CD243">
        <v>10440.5</v>
      </c>
      <c r="CE243">
        <v>1411.69</v>
      </c>
      <c r="CF243">
        <v>-0.00735121</v>
      </c>
      <c r="CG243">
        <v>-0.77</v>
      </c>
      <c r="CH243" t="s">
        <v>417</v>
      </c>
      <c r="CI243" t="s">
        <v>417</v>
      </c>
      <c r="CJ243" t="s">
        <v>417</v>
      </c>
      <c r="CK243" t="s">
        <v>417</v>
      </c>
      <c r="CL243" t="s">
        <v>417</v>
      </c>
      <c r="CM243" t="s">
        <v>417</v>
      </c>
      <c r="CN243" t="s">
        <v>417</v>
      </c>
      <c r="CO243" t="s">
        <v>417</v>
      </c>
      <c r="CP243" t="s">
        <v>417</v>
      </c>
      <c r="CQ243" t="s">
        <v>417</v>
      </c>
      <c r="CR243">
        <f>$B$11*DQ243+$C$11*DR243+$F$11*EC243*(1-EF243)</f>
        <v>0</v>
      </c>
      <c r="CS243">
        <f>CR243*CT243</f>
        <v>0</v>
      </c>
      <c r="CT243">
        <f>($B$11*$D$9+$C$11*$D$9+$F$11*((EP243+EH243)/MAX(EP243+EH243+EQ243, 0.1)*$I$9+EQ243/MAX(EP243+EH243+EQ243, 0.1)*$J$9))/($B$11+$C$11+$F$11)</f>
        <v>0</v>
      </c>
      <c r="CU243">
        <f>($B$11*$K$9+$C$11*$K$9+$F$11*((EP243+EH243)/MAX(EP243+EH243+EQ243, 0.1)*$P$9+EQ243/MAX(EP243+EH243+EQ243, 0.1)*$Q$9))/($B$11+$C$11+$F$11)</f>
        <v>0</v>
      </c>
      <c r="CV243">
        <v>6</v>
      </c>
      <c r="CW243">
        <v>0.5</v>
      </c>
      <c r="CX243" t="s">
        <v>418</v>
      </c>
      <c r="CY243">
        <v>2</v>
      </c>
      <c r="CZ243" t="b">
        <v>1</v>
      </c>
      <c r="DA243">
        <v>1651857736.725</v>
      </c>
      <c r="DB243">
        <v>1419.135</v>
      </c>
      <c r="DC243">
        <v>1483.24</v>
      </c>
      <c r="DD243">
        <v>17.971925</v>
      </c>
      <c r="DE243">
        <v>11.32175</v>
      </c>
      <c r="DF243">
        <v>1422.1975</v>
      </c>
      <c r="DG243">
        <v>17.971875</v>
      </c>
      <c r="DH243">
        <v>500.0365</v>
      </c>
      <c r="DI243">
        <v>90.07474999999999</v>
      </c>
      <c r="DJ243">
        <v>0.10004125</v>
      </c>
      <c r="DK243">
        <v>25.71645</v>
      </c>
      <c r="DL243">
        <v>25.02145</v>
      </c>
      <c r="DM243">
        <v>999.9</v>
      </c>
      <c r="DN243">
        <v>0</v>
      </c>
      <c r="DO243">
        <v>0</v>
      </c>
      <c r="DP243">
        <v>10000.29</v>
      </c>
      <c r="DQ243">
        <v>0</v>
      </c>
      <c r="DR243">
        <v>3.2263125</v>
      </c>
      <c r="DS243">
        <v>-64.10402500000001</v>
      </c>
      <c r="DT243">
        <v>1445.11</v>
      </c>
      <c r="DU243">
        <v>1500.225</v>
      </c>
      <c r="DV243">
        <v>6.6501575</v>
      </c>
      <c r="DW243">
        <v>1483.24</v>
      </c>
      <c r="DX243">
        <v>11.32175</v>
      </c>
      <c r="DY243">
        <v>1.618815</v>
      </c>
      <c r="DZ243">
        <v>1.019805</v>
      </c>
      <c r="EA243">
        <v>14.1391</v>
      </c>
      <c r="EB243">
        <v>7.2024275</v>
      </c>
      <c r="EC243">
        <v>1500.02</v>
      </c>
      <c r="ED243">
        <v>0.9729982500000001</v>
      </c>
      <c r="EE243">
        <v>0.0270018</v>
      </c>
      <c r="EF243">
        <v>0</v>
      </c>
      <c r="EG243">
        <v>929.149</v>
      </c>
      <c r="EH243">
        <v>5.00097</v>
      </c>
      <c r="EI243">
        <v>13818.825</v>
      </c>
      <c r="EJ243">
        <v>12491.775</v>
      </c>
      <c r="EK243">
        <v>37.5</v>
      </c>
      <c r="EL243">
        <v>39</v>
      </c>
      <c r="EM243">
        <v>37.875</v>
      </c>
      <c r="EN243">
        <v>38.75</v>
      </c>
      <c r="EO243">
        <v>38.375</v>
      </c>
      <c r="EP243">
        <v>1454.6525</v>
      </c>
      <c r="EQ243">
        <v>40.36750000000001</v>
      </c>
      <c r="ER243">
        <v>0</v>
      </c>
      <c r="ES243">
        <v>736.8000001907349</v>
      </c>
      <c r="ET243">
        <v>0</v>
      </c>
      <c r="EU243">
        <v>931.7333599999999</v>
      </c>
      <c r="EV243">
        <v>-25.2525384257638</v>
      </c>
      <c r="EW243">
        <v>-352.9076916801073</v>
      </c>
      <c r="EX243">
        <v>13854.544</v>
      </c>
      <c r="EY243">
        <v>15</v>
      </c>
      <c r="EZ243">
        <v>1651857041.1</v>
      </c>
      <c r="FA243" t="s">
        <v>419</v>
      </c>
      <c r="FB243">
        <v>1651857019.6</v>
      </c>
      <c r="FC243">
        <v>1651857041.1</v>
      </c>
      <c r="FD243">
        <v>1</v>
      </c>
      <c r="FE243">
        <v>0.545</v>
      </c>
      <c r="FF243">
        <v>-0.002</v>
      </c>
      <c r="FG243">
        <v>-1.271</v>
      </c>
      <c r="FH243">
        <v>-0.09</v>
      </c>
      <c r="FI243">
        <v>400</v>
      </c>
      <c r="FJ243">
        <v>10</v>
      </c>
      <c r="FK243">
        <v>0.1</v>
      </c>
      <c r="FL243">
        <v>0.02</v>
      </c>
      <c r="FM243">
        <v>-64.06267073170731</v>
      </c>
      <c r="FN243">
        <v>0.1726766550522091</v>
      </c>
      <c r="FO243">
        <v>0.1728628558952001</v>
      </c>
      <c r="FP243">
        <v>-1</v>
      </c>
      <c r="FQ243">
        <v>6.93993268292683</v>
      </c>
      <c r="FR243">
        <v>-1.68818947735191</v>
      </c>
      <c r="FS243">
        <v>0.166910642400239</v>
      </c>
      <c r="FT243">
        <v>-1</v>
      </c>
      <c r="FU243">
        <v>0</v>
      </c>
      <c r="FV243">
        <v>0</v>
      </c>
      <c r="FW243">
        <v>0</v>
      </c>
      <c r="FX243">
        <v>-1</v>
      </c>
      <c r="FY243">
        <v>0</v>
      </c>
      <c r="FZ243">
        <v>0</v>
      </c>
      <c r="GA243" t="s">
        <v>432</v>
      </c>
      <c r="GB243">
        <v>2.98013</v>
      </c>
      <c r="GC243">
        <v>2.70624</v>
      </c>
      <c r="GD243">
        <v>0.213586</v>
      </c>
      <c r="GE243">
        <v>0.21692</v>
      </c>
      <c r="GF243">
        <v>0.08646189999999999</v>
      </c>
      <c r="GG243">
        <v>0.0609264</v>
      </c>
      <c r="GH243">
        <v>24813.2</v>
      </c>
      <c r="GI243">
        <v>24762.2</v>
      </c>
      <c r="GJ243">
        <v>29343.2</v>
      </c>
      <c r="GK243">
        <v>29257</v>
      </c>
      <c r="GL243">
        <v>35500.3</v>
      </c>
      <c r="GM243">
        <v>36591.3</v>
      </c>
      <c r="GN243">
        <v>41304.5</v>
      </c>
      <c r="GO243">
        <v>41754.1</v>
      </c>
      <c r="GP243">
        <v>1.95322</v>
      </c>
      <c r="GQ243">
        <v>1.84162</v>
      </c>
      <c r="GR243">
        <v>-0.0330769</v>
      </c>
      <c r="GS243">
        <v>0</v>
      </c>
      <c r="GT243">
        <v>25.5649</v>
      </c>
      <c r="GU243">
        <v>999.9</v>
      </c>
      <c r="GV243">
        <v>38.3</v>
      </c>
      <c r="GW243">
        <v>34</v>
      </c>
      <c r="GX243">
        <v>22.7177</v>
      </c>
      <c r="GY243">
        <v>62.5476</v>
      </c>
      <c r="GZ243">
        <v>35.0321</v>
      </c>
      <c r="HA243">
        <v>1</v>
      </c>
      <c r="HB243">
        <v>0.136618</v>
      </c>
      <c r="HC243">
        <v>2.65194</v>
      </c>
      <c r="HD243">
        <v>20.3134</v>
      </c>
      <c r="HE243">
        <v>5.21669</v>
      </c>
      <c r="HF243">
        <v>12.0099</v>
      </c>
      <c r="HG243">
        <v>4.9887</v>
      </c>
      <c r="HH243">
        <v>3.2885</v>
      </c>
      <c r="HI243">
        <v>856.9</v>
      </c>
      <c r="HJ243">
        <v>8528.9</v>
      </c>
      <c r="HK243">
        <v>5139.4</v>
      </c>
      <c r="HL243">
        <v>22.9</v>
      </c>
      <c r="HM243">
        <v>1.86751</v>
      </c>
      <c r="HN243">
        <v>1.86647</v>
      </c>
      <c r="HO243">
        <v>1.866</v>
      </c>
      <c r="HP243">
        <v>1.86586</v>
      </c>
      <c r="HQ243">
        <v>1.86771</v>
      </c>
      <c r="HR243">
        <v>1.87026</v>
      </c>
      <c r="HS243">
        <v>1.8689</v>
      </c>
      <c r="HT243">
        <v>1.87027</v>
      </c>
      <c r="HU243">
        <v>0</v>
      </c>
      <c r="HV243">
        <v>0</v>
      </c>
      <c r="HW243">
        <v>0</v>
      </c>
      <c r="HX243">
        <v>0</v>
      </c>
      <c r="HY243" t="s">
        <v>421</v>
      </c>
      <c r="HZ243" t="s">
        <v>422</v>
      </c>
      <c r="IA243" t="s">
        <v>423</v>
      </c>
      <c r="IB243" t="s">
        <v>423</v>
      </c>
      <c r="IC243" t="s">
        <v>423</v>
      </c>
      <c r="ID243" t="s">
        <v>423</v>
      </c>
      <c r="IE243">
        <v>0</v>
      </c>
      <c r="IF243">
        <v>100</v>
      </c>
      <c r="IG243">
        <v>100</v>
      </c>
      <c r="IH243">
        <v>-3.07</v>
      </c>
      <c r="II243">
        <v>0</v>
      </c>
      <c r="IJ243">
        <v>-0.4995723906072</v>
      </c>
      <c r="IK243">
        <v>-0.002077099775823331</v>
      </c>
      <c r="IL243">
        <v>4.593143279902166E-07</v>
      </c>
      <c r="IM243">
        <v>-1.865383991892071E-10</v>
      </c>
      <c r="IN243">
        <v>-0.07605349583632376</v>
      </c>
      <c r="IO243">
        <v>-0.01129461987421345</v>
      </c>
      <c r="IP243">
        <v>0.00116580895745559</v>
      </c>
      <c r="IQ243">
        <v>-1.679085872906199E-05</v>
      </c>
      <c r="IR243">
        <v>2</v>
      </c>
      <c r="IS243">
        <v>2290</v>
      </c>
      <c r="IT243">
        <v>0</v>
      </c>
      <c r="IU243">
        <v>32</v>
      </c>
      <c r="IV243">
        <v>12</v>
      </c>
      <c r="IW243">
        <v>11.6</v>
      </c>
      <c r="IX243">
        <v>2.8772</v>
      </c>
      <c r="IY243">
        <v>2.19604</v>
      </c>
      <c r="IZ243">
        <v>1.39648</v>
      </c>
      <c r="JA243">
        <v>2.3584</v>
      </c>
      <c r="JB243">
        <v>1.49536</v>
      </c>
      <c r="JC243">
        <v>2.29858</v>
      </c>
      <c r="JD243">
        <v>38.5014</v>
      </c>
      <c r="JE243">
        <v>24.0437</v>
      </c>
      <c r="JF243">
        <v>18</v>
      </c>
      <c r="JG243">
        <v>513.302</v>
      </c>
      <c r="JH243">
        <v>426.997</v>
      </c>
      <c r="JI243">
        <v>22.0901</v>
      </c>
      <c r="JJ243">
        <v>29.0736</v>
      </c>
      <c r="JK243">
        <v>30.0002</v>
      </c>
      <c r="JL243">
        <v>29.0734</v>
      </c>
      <c r="JM243">
        <v>29.0169</v>
      </c>
      <c r="JN243">
        <v>57.561</v>
      </c>
      <c r="JO243">
        <v>46.3086</v>
      </c>
      <c r="JP243">
        <v>0</v>
      </c>
      <c r="JQ243">
        <v>22.0715</v>
      </c>
      <c r="JR243">
        <v>1504.67</v>
      </c>
      <c r="JS243">
        <v>11.5497</v>
      </c>
      <c r="JT243">
        <v>100.305</v>
      </c>
      <c r="JU243">
        <v>100.218</v>
      </c>
    </row>
    <row r="244" spans="1:281">
      <c r="A244">
        <v>228</v>
      </c>
      <c r="B244">
        <v>1651857740.1</v>
      </c>
      <c r="C244">
        <v>739.5</v>
      </c>
      <c r="D244" t="s">
        <v>883</v>
      </c>
      <c r="E244" t="s">
        <v>884</v>
      </c>
      <c r="F244">
        <v>2</v>
      </c>
      <c r="G244" t="s">
        <v>413</v>
      </c>
      <c r="H244" t="s">
        <v>414</v>
      </c>
      <c r="I244">
        <v>1651857739.1</v>
      </c>
      <c r="J244">
        <f>(K244)/1000</f>
        <v>0</v>
      </c>
      <c r="K244">
        <f>IF(CZ244, AN244, AH244)</f>
        <v>0</v>
      </c>
      <c r="L244">
        <f>IF(CZ244, AI244, AG244)</f>
        <v>0</v>
      </c>
      <c r="M244">
        <f>DB244 - IF(AU244&gt;1, L244*CV244*100.0/(AW244*DP244), 0)</f>
        <v>0</v>
      </c>
      <c r="N244">
        <f>((T244-J244/2)*M244-L244)/(T244+J244/2)</f>
        <v>0</v>
      </c>
      <c r="O244">
        <f>N244*(DI244+DJ244)/1000.0</f>
        <v>0</v>
      </c>
      <c r="P244">
        <f>(DB244 - IF(AU244&gt;1, L244*CV244*100.0/(AW244*DP244), 0))*(DI244+DJ244)/1000.0</f>
        <v>0</v>
      </c>
      <c r="Q244">
        <f>2.0/((1/S244-1/R244)+SIGN(S244)*SQRT((1/S244-1/R244)*(1/S244-1/R244) + 4*CW244/((CW244+1)*(CW244+1))*(2*1/S244*1/R244-1/R244*1/R244)))</f>
        <v>0</v>
      </c>
      <c r="R244">
        <f>IF(LEFT(CX244,1)&lt;&gt;"0",IF(LEFT(CX244,1)="1",3.0,CY244),$D$5+$E$5*(DP244*DI244/($K$5*1000))+$F$5*(DP244*DI244/($K$5*1000))*MAX(MIN(CV244,$J$5),$I$5)*MAX(MIN(CV244,$J$5),$I$5)+$G$5*MAX(MIN(CV244,$J$5),$I$5)*(DP244*DI244/($K$5*1000))+$H$5*(DP244*DI244/($K$5*1000))*(DP244*DI244/($K$5*1000)))</f>
        <v>0</v>
      </c>
      <c r="S244">
        <f>J244*(1000-(1000*0.61365*exp(17.502*W244/(240.97+W244))/(DI244+DJ244)+DD244)/2)/(1000*0.61365*exp(17.502*W244/(240.97+W244))/(DI244+DJ244)-DD244)</f>
        <v>0</v>
      </c>
      <c r="T244">
        <f>1/((CW244+1)/(Q244/1.6)+1/(R244/1.37)) + CW244/((CW244+1)/(Q244/1.6) + CW244/(R244/1.37))</f>
        <v>0</v>
      </c>
      <c r="U244">
        <f>(CR244*CU244)</f>
        <v>0</v>
      </c>
      <c r="V244">
        <f>(DK244+(U244+2*0.95*5.67E-8*(((DK244+$B$7)+273)^4-(DK244+273)^4)-44100*J244)/(1.84*29.3*R244+8*0.95*5.67E-8*(DK244+273)^3))</f>
        <v>0</v>
      </c>
      <c r="W244">
        <f>($C$7*DL244+$D$7*DM244+$E$7*V244)</f>
        <v>0</v>
      </c>
      <c r="X244">
        <f>0.61365*exp(17.502*W244/(240.97+W244))</f>
        <v>0</v>
      </c>
      <c r="Y244">
        <f>(Z244/AA244*100)</f>
        <v>0</v>
      </c>
      <c r="Z244">
        <f>DD244*(DI244+DJ244)/1000</f>
        <v>0</v>
      </c>
      <c r="AA244">
        <f>0.61365*exp(17.502*DK244/(240.97+DK244))</f>
        <v>0</v>
      </c>
      <c r="AB244">
        <f>(X244-DD244*(DI244+DJ244)/1000)</f>
        <v>0</v>
      </c>
      <c r="AC244">
        <f>(-J244*44100)</f>
        <v>0</v>
      </c>
      <c r="AD244">
        <f>2*29.3*R244*0.92*(DK244-W244)</f>
        <v>0</v>
      </c>
      <c r="AE244">
        <f>2*0.95*5.67E-8*(((DK244+$B$7)+273)^4-(W244+273)^4)</f>
        <v>0</v>
      </c>
      <c r="AF244">
        <f>U244+AE244+AC244+AD244</f>
        <v>0</v>
      </c>
      <c r="AG244">
        <f>DH244*AU244*(DC244-DB244*(1000-AU244*DE244)/(1000-AU244*DD244))/(100*CV244)</f>
        <v>0</v>
      </c>
      <c r="AH244">
        <f>1000*DH244*AU244*(DD244-DE244)/(100*CV244*(1000-AU244*DD244))</f>
        <v>0</v>
      </c>
      <c r="AI244">
        <f>(AJ244 - AK244 - DI244*1E3/(8.314*(DK244+273.15)) * AM244/DH244 * AL244) * DH244/(100*CV244) * (1000 - DE244)/1000</f>
        <v>0</v>
      </c>
      <c r="AJ244">
        <v>1502.365880431301</v>
      </c>
      <c r="AK244">
        <v>1454.91309090909</v>
      </c>
      <c r="AL244">
        <v>3.408073254430605</v>
      </c>
      <c r="AM244">
        <v>66.38384787954378</v>
      </c>
      <c r="AN244">
        <f>(AP244 - AO244 + DI244*1E3/(8.314*(DK244+273.15)) * AR244/DH244 * AQ244) * DH244/(100*CV244) * 1000/(1000 - AP244)</f>
        <v>0</v>
      </c>
      <c r="AO244">
        <v>11.29003040942623</v>
      </c>
      <c r="AP244">
        <v>17.97231</v>
      </c>
      <c r="AQ244">
        <v>-0.000172030824273397</v>
      </c>
      <c r="AR244">
        <v>80.44866334591464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MAX(0,($B$13+$C$13*DP244)/(1+$D$13*DP244)*DI244/(DK244+273)*$E$13)</f>
        <v>0</v>
      </c>
      <c r="AX244" t="s">
        <v>417</v>
      </c>
      <c r="AY244" t="s">
        <v>417</v>
      </c>
      <c r="AZ244">
        <v>0</v>
      </c>
      <c r="BA244">
        <v>0</v>
      </c>
      <c r="BB244">
        <f>1-AZ244/BA244</f>
        <v>0</v>
      </c>
      <c r="BC244">
        <v>0</v>
      </c>
      <c r="BD244" t="s">
        <v>417</v>
      </c>
      <c r="BE244" t="s">
        <v>417</v>
      </c>
      <c r="BF244">
        <v>0</v>
      </c>
      <c r="BG244">
        <v>0</v>
      </c>
      <c r="BH244">
        <f>1-BF244/BG244</f>
        <v>0</v>
      </c>
      <c r="BI244">
        <v>0.5</v>
      </c>
      <c r="BJ244">
        <f>CS244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417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1238</v>
      </c>
      <c r="CA244">
        <v>300</v>
      </c>
      <c r="CB244">
        <v>300</v>
      </c>
      <c r="CC244">
        <v>300</v>
      </c>
      <c r="CD244">
        <v>10440.5</v>
      </c>
      <c r="CE244">
        <v>1411.69</v>
      </c>
      <c r="CF244">
        <v>-0.00735121</v>
      </c>
      <c r="CG244">
        <v>-0.77</v>
      </c>
      <c r="CH244" t="s">
        <v>417</v>
      </c>
      <c r="CI244" t="s">
        <v>417</v>
      </c>
      <c r="CJ244" t="s">
        <v>417</v>
      </c>
      <c r="CK244" t="s">
        <v>417</v>
      </c>
      <c r="CL244" t="s">
        <v>417</v>
      </c>
      <c r="CM244" t="s">
        <v>417</v>
      </c>
      <c r="CN244" t="s">
        <v>417</v>
      </c>
      <c r="CO244" t="s">
        <v>417</v>
      </c>
      <c r="CP244" t="s">
        <v>417</v>
      </c>
      <c r="CQ244" t="s">
        <v>417</v>
      </c>
      <c r="CR244">
        <f>$B$11*DQ244+$C$11*DR244+$F$11*EC244*(1-EF244)</f>
        <v>0</v>
      </c>
      <c r="CS244">
        <f>CR244*CT244</f>
        <v>0</v>
      </c>
      <c r="CT244">
        <f>($B$11*$D$9+$C$11*$D$9+$F$11*((EP244+EH244)/MAX(EP244+EH244+EQ244, 0.1)*$I$9+EQ244/MAX(EP244+EH244+EQ244, 0.1)*$J$9))/($B$11+$C$11+$F$11)</f>
        <v>0</v>
      </c>
      <c r="CU244">
        <f>($B$11*$K$9+$C$11*$K$9+$F$11*((EP244+EH244)/MAX(EP244+EH244+EQ244, 0.1)*$P$9+EQ244/MAX(EP244+EH244+EQ244, 0.1)*$Q$9))/($B$11+$C$11+$F$11)</f>
        <v>0</v>
      </c>
      <c r="CV244">
        <v>6</v>
      </c>
      <c r="CW244">
        <v>0.5</v>
      </c>
      <c r="CX244" t="s">
        <v>418</v>
      </c>
      <c r="CY244">
        <v>2</v>
      </c>
      <c r="CZ244" t="b">
        <v>1</v>
      </c>
      <c r="DA244">
        <v>1651857739.1</v>
      </c>
      <c r="DB244">
        <v>1427.073333333333</v>
      </c>
      <c r="DC244">
        <v>1491.26</v>
      </c>
      <c r="DD244">
        <v>17.97253333333333</v>
      </c>
      <c r="DE244">
        <v>11.37503333333333</v>
      </c>
      <c r="DF244">
        <v>1430.153333333333</v>
      </c>
      <c r="DG244">
        <v>17.97246666666667</v>
      </c>
      <c r="DH244">
        <v>500.0276666666667</v>
      </c>
      <c r="DI244">
        <v>90.07476666666666</v>
      </c>
      <c r="DJ244">
        <v>0.1000351333333333</v>
      </c>
      <c r="DK244">
        <v>25.71263333333333</v>
      </c>
      <c r="DL244">
        <v>25.0225</v>
      </c>
      <c r="DM244">
        <v>999.9</v>
      </c>
      <c r="DN244">
        <v>0</v>
      </c>
      <c r="DO244">
        <v>0</v>
      </c>
      <c r="DP244">
        <v>10011.23333333333</v>
      </c>
      <c r="DQ244">
        <v>0</v>
      </c>
      <c r="DR244">
        <v>3.21788</v>
      </c>
      <c r="DS244">
        <v>-64.18703333333333</v>
      </c>
      <c r="DT244">
        <v>1453.193333333333</v>
      </c>
      <c r="DU244">
        <v>1508.416666666667</v>
      </c>
      <c r="DV244">
        <v>6.597496666666667</v>
      </c>
      <c r="DW244">
        <v>1491.26</v>
      </c>
      <c r="DX244">
        <v>11.37503333333333</v>
      </c>
      <c r="DY244">
        <v>1.61887</v>
      </c>
      <c r="DZ244">
        <v>1.024606666666667</v>
      </c>
      <c r="EA244">
        <v>14.13963333333333</v>
      </c>
      <c r="EB244">
        <v>7.27101</v>
      </c>
      <c r="EC244">
        <v>1500.066666666667</v>
      </c>
      <c r="ED244">
        <v>0.9730036666666667</v>
      </c>
      <c r="EE244">
        <v>0.02699626666666667</v>
      </c>
      <c r="EF244">
        <v>0</v>
      </c>
      <c r="EG244">
        <v>928.1966666666667</v>
      </c>
      <c r="EH244">
        <v>5.00097</v>
      </c>
      <c r="EI244">
        <v>13806.5</v>
      </c>
      <c r="EJ244">
        <v>12492.2</v>
      </c>
      <c r="EK244">
        <v>37.5</v>
      </c>
      <c r="EL244">
        <v>39</v>
      </c>
      <c r="EM244">
        <v>37.875</v>
      </c>
      <c r="EN244">
        <v>38.75</v>
      </c>
      <c r="EO244">
        <v>38.375</v>
      </c>
      <c r="EP244">
        <v>1454.706666666667</v>
      </c>
      <c r="EQ244">
        <v>40.36000000000001</v>
      </c>
      <c r="ER244">
        <v>0</v>
      </c>
      <c r="ES244">
        <v>739.2000000476837</v>
      </c>
      <c r="ET244">
        <v>0</v>
      </c>
      <c r="EU244">
        <v>930.7136</v>
      </c>
      <c r="EV244">
        <v>-25.281000036062</v>
      </c>
      <c r="EW244">
        <v>-350.3615389107697</v>
      </c>
      <c r="EX244">
        <v>13840.584</v>
      </c>
      <c r="EY244">
        <v>15</v>
      </c>
      <c r="EZ244">
        <v>1651857041.1</v>
      </c>
      <c r="FA244" t="s">
        <v>419</v>
      </c>
      <c r="FB244">
        <v>1651857019.6</v>
      </c>
      <c r="FC244">
        <v>1651857041.1</v>
      </c>
      <c r="FD244">
        <v>1</v>
      </c>
      <c r="FE244">
        <v>0.545</v>
      </c>
      <c r="FF244">
        <v>-0.002</v>
      </c>
      <c r="FG244">
        <v>-1.271</v>
      </c>
      <c r="FH244">
        <v>-0.09</v>
      </c>
      <c r="FI244">
        <v>400</v>
      </c>
      <c r="FJ244">
        <v>10</v>
      </c>
      <c r="FK244">
        <v>0.1</v>
      </c>
      <c r="FL244">
        <v>0.02</v>
      </c>
      <c r="FM244">
        <v>-64.06116829268292</v>
      </c>
      <c r="FN244">
        <v>-0.5391365853657584</v>
      </c>
      <c r="FO244">
        <v>0.1670740414789476</v>
      </c>
      <c r="FP244">
        <v>-1</v>
      </c>
      <c r="FQ244">
        <v>6.858704390243902</v>
      </c>
      <c r="FR244">
        <v>-1.738557282229959</v>
      </c>
      <c r="FS244">
        <v>0.1715633348322844</v>
      </c>
      <c r="FT244">
        <v>-1</v>
      </c>
      <c r="FU244">
        <v>0</v>
      </c>
      <c r="FV244">
        <v>0</v>
      </c>
      <c r="FW244">
        <v>0</v>
      </c>
      <c r="FX244">
        <v>-1</v>
      </c>
      <c r="FY244">
        <v>0</v>
      </c>
      <c r="FZ244">
        <v>0</v>
      </c>
      <c r="GA244" t="s">
        <v>432</v>
      </c>
      <c r="GB244">
        <v>2.9801</v>
      </c>
      <c r="GC244">
        <v>2.70621</v>
      </c>
      <c r="GD244">
        <v>0.214203</v>
      </c>
      <c r="GE244">
        <v>0.217502</v>
      </c>
      <c r="GF244">
        <v>0.0864613</v>
      </c>
      <c r="GG244">
        <v>0.061123</v>
      </c>
      <c r="GH244">
        <v>24793.6</v>
      </c>
      <c r="GI244">
        <v>24743.5</v>
      </c>
      <c r="GJ244">
        <v>29343.1</v>
      </c>
      <c r="GK244">
        <v>29256.7</v>
      </c>
      <c r="GL244">
        <v>35500.2</v>
      </c>
      <c r="GM244">
        <v>36583.4</v>
      </c>
      <c r="GN244">
        <v>41304.4</v>
      </c>
      <c r="GO244">
        <v>41753.9</v>
      </c>
      <c r="GP244">
        <v>1.95317</v>
      </c>
      <c r="GQ244">
        <v>1.84183</v>
      </c>
      <c r="GR244">
        <v>-0.0331588</v>
      </c>
      <c r="GS244">
        <v>0</v>
      </c>
      <c r="GT244">
        <v>25.5649</v>
      </c>
      <c r="GU244">
        <v>999.9</v>
      </c>
      <c r="GV244">
        <v>38.3</v>
      </c>
      <c r="GW244">
        <v>34</v>
      </c>
      <c r="GX244">
        <v>22.7203</v>
      </c>
      <c r="GY244">
        <v>62.3176</v>
      </c>
      <c r="GZ244">
        <v>35.3686</v>
      </c>
      <c r="HA244">
        <v>1</v>
      </c>
      <c r="HB244">
        <v>0.136601</v>
      </c>
      <c r="HC244">
        <v>2.67205</v>
      </c>
      <c r="HD244">
        <v>20.3129</v>
      </c>
      <c r="HE244">
        <v>5.21729</v>
      </c>
      <c r="HF244">
        <v>12.0099</v>
      </c>
      <c r="HG244">
        <v>4.9886</v>
      </c>
      <c r="HH244">
        <v>3.2885</v>
      </c>
      <c r="HI244">
        <v>857.1</v>
      </c>
      <c r="HJ244">
        <v>8530.700000000001</v>
      </c>
      <c r="HK244">
        <v>5139.4</v>
      </c>
      <c r="HL244">
        <v>22.9</v>
      </c>
      <c r="HM244">
        <v>1.86751</v>
      </c>
      <c r="HN244">
        <v>1.86646</v>
      </c>
      <c r="HO244">
        <v>1.866</v>
      </c>
      <c r="HP244">
        <v>1.86586</v>
      </c>
      <c r="HQ244">
        <v>1.86774</v>
      </c>
      <c r="HR244">
        <v>1.87025</v>
      </c>
      <c r="HS244">
        <v>1.8689</v>
      </c>
      <c r="HT244">
        <v>1.87027</v>
      </c>
      <c r="HU244">
        <v>0</v>
      </c>
      <c r="HV244">
        <v>0</v>
      </c>
      <c r="HW244">
        <v>0</v>
      </c>
      <c r="HX244">
        <v>0</v>
      </c>
      <c r="HY244" t="s">
        <v>421</v>
      </c>
      <c r="HZ244" t="s">
        <v>422</v>
      </c>
      <c r="IA244" t="s">
        <v>423</v>
      </c>
      <c r="IB244" t="s">
        <v>423</v>
      </c>
      <c r="IC244" t="s">
        <v>423</v>
      </c>
      <c r="ID244" t="s">
        <v>423</v>
      </c>
      <c r="IE244">
        <v>0</v>
      </c>
      <c r="IF244">
        <v>100</v>
      </c>
      <c r="IG244">
        <v>100</v>
      </c>
      <c r="IH244">
        <v>-3.08</v>
      </c>
      <c r="II244">
        <v>0</v>
      </c>
      <c r="IJ244">
        <v>-0.4995723906072</v>
      </c>
      <c r="IK244">
        <v>-0.002077099775823331</v>
      </c>
      <c r="IL244">
        <v>4.593143279902166E-07</v>
      </c>
      <c r="IM244">
        <v>-1.865383991892071E-10</v>
      </c>
      <c r="IN244">
        <v>-0.07605349583632376</v>
      </c>
      <c r="IO244">
        <v>-0.01129461987421345</v>
      </c>
      <c r="IP244">
        <v>0.00116580895745559</v>
      </c>
      <c r="IQ244">
        <v>-1.679085872906199E-05</v>
      </c>
      <c r="IR244">
        <v>2</v>
      </c>
      <c r="IS244">
        <v>2290</v>
      </c>
      <c r="IT244">
        <v>0</v>
      </c>
      <c r="IU244">
        <v>32</v>
      </c>
      <c r="IV244">
        <v>12</v>
      </c>
      <c r="IW244">
        <v>11.7</v>
      </c>
      <c r="IX244">
        <v>2.88696</v>
      </c>
      <c r="IY244">
        <v>2.19849</v>
      </c>
      <c r="IZ244">
        <v>1.39648</v>
      </c>
      <c r="JA244">
        <v>2.3584</v>
      </c>
      <c r="JB244">
        <v>1.49536</v>
      </c>
      <c r="JC244">
        <v>2.35352</v>
      </c>
      <c r="JD244">
        <v>38.5014</v>
      </c>
      <c r="JE244">
        <v>24.0437</v>
      </c>
      <c r="JF244">
        <v>18</v>
      </c>
      <c r="JG244">
        <v>513.2619999999999</v>
      </c>
      <c r="JH244">
        <v>427.117</v>
      </c>
      <c r="JI244">
        <v>22.084</v>
      </c>
      <c r="JJ244">
        <v>29.0736</v>
      </c>
      <c r="JK244">
        <v>30</v>
      </c>
      <c r="JL244">
        <v>29.0726</v>
      </c>
      <c r="JM244">
        <v>29.0169</v>
      </c>
      <c r="JN244">
        <v>57.7616</v>
      </c>
      <c r="JO244">
        <v>46.3086</v>
      </c>
      <c r="JP244">
        <v>0</v>
      </c>
      <c r="JQ244">
        <v>22.0715</v>
      </c>
      <c r="JR244">
        <v>1511.35</v>
      </c>
      <c r="JS244">
        <v>11.6015</v>
      </c>
      <c r="JT244">
        <v>100.304</v>
      </c>
      <c r="JU244">
        <v>100.217</v>
      </c>
    </row>
    <row r="245" spans="1:281">
      <c r="A245">
        <v>229</v>
      </c>
      <c r="B245">
        <v>1651857741.6</v>
      </c>
      <c r="C245">
        <v>741</v>
      </c>
      <c r="D245" t="s">
        <v>885</v>
      </c>
      <c r="E245" t="s">
        <v>886</v>
      </c>
      <c r="F245">
        <v>2</v>
      </c>
      <c r="G245" t="s">
        <v>413</v>
      </c>
      <c r="H245" t="s">
        <v>414</v>
      </c>
      <c r="I245">
        <v>1651857740.433333</v>
      </c>
      <c r="J245">
        <f>(K245)/1000</f>
        <v>0</v>
      </c>
      <c r="K245">
        <f>IF(CZ245, AN245, AH245)</f>
        <v>0</v>
      </c>
      <c r="L245">
        <f>IF(CZ245, AI245, AG245)</f>
        <v>0</v>
      </c>
      <c r="M245">
        <f>DB245 - IF(AU245&gt;1, L245*CV245*100.0/(AW245*DP245), 0)</f>
        <v>0</v>
      </c>
      <c r="N245">
        <f>((T245-J245/2)*M245-L245)/(T245+J245/2)</f>
        <v>0</v>
      </c>
      <c r="O245">
        <f>N245*(DI245+DJ245)/1000.0</f>
        <v>0</v>
      </c>
      <c r="P245">
        <f>(DB245 - IF(AU245&gt;1, L245*CV245*100.0/(AW245*DP245), 0))*(DI245+DJ245)/1000.0</f>
        <v>0</v>
      </c>
      <c r="Q245">
        <f>2.0/((1/S245-1/R245)+SIGN(S245)*SQRT((1/S245-1/R245)*(1/S245-1/R245) + 4*CW245/((CW245+1)*(CW245+1))*(2*1/S245*1/R245-1/R245*1/R245)))</f>
        <v>0</v>
      </c>
      <c r="R245">
        <f>IF(LEFT(CX245,1)&lt;&gt;"0",IF(LEFT(CX245,1)="1",3.0,CY245),$D$5+$E$5*(DP245*DI245/($K$5*1000))+$F$5*(DP245*DI245/($K$5*1000))*MAX(MIN(CV245,$J$5),$I$5)*MAX(MIN(CV245,$J$5),$I$5)+$G$5*MAX(MIN(CV245,$J$5),$I$5)*(DP245*DI245/($K$5*1000))+$H$5*(DP245*DI245/($K$5*1000))*(DP245*DI245/($K$5*1000)))</f>
        <v>0</v>
      </c>
      <c r="S245">
        <f>J245*(1000-(1000*0.61365*exp(17.502*W245/(240.97+W245))/(DI245+DJ245)+DD245)/2)/(1000*0.61365*exp(17.502*W245/(240.97+W245))/(DI245+DJ245)-DD245)</f>
        <v>0</v>
      </c>
      <c r="T245">
        <f>1/((CW245+1)/(Q245/1.6)+1/(R245/1.37)) + CW245/((CW245+1)/(Q245/1.6) + CW245/(R245/1.37))</f>
        <v>0</v>
      </c>
      <c r="U245">
        <f>(CR245*CU245)</f>
        <v>0</v>
      </c>
      <c r="V245">
        <f>(DK245+(U245+2*0.95*5.67E-8*(((DK245+$B$7)+273)^4-(DK245+273)^4)-44100*J245)/(1.84*29.3*R245+8*0.95*5.67E-8*(DK245+273)^3))</f>
        <v>0</v>
      </c>
      <c r="W245">
        <f>($C$7*DL245+$D$7*DM245+$E$7*V245)</f>
        <v>0</v>
      </c>
      <c r="X245">
        <f>0.61365*exp(17.502*W245/(240.97+W245))</f>
        <v>0</v>
      </c>
      <c r="Y245">
        <f>(Z245/AA245*100)</f>
        <v>0</v>
      </c>
      <c r="Z245">
        <f>DD245*(DI245+DJ245)/1000</f>
        <v>0</v>
      </c>
      <c r="AA245">
        <f>0.61365*exp(17.502*DK245/(240.97+DK245))</f>
        <v>0</v>
      </c>
      <c r="AB245">
        <f>(X245-DD245*(DI245+DJ245)/1000)</f>
        <v>0</v>
      </c>
      <c r="AC245">
        <f>(-J245*44100)</f>
        <v>0</v>
      </c>
      <c r="AD245">
        <f>2*29.3*R245*0.92*(DK245-W245)</f>
        <v>0</v>
      </c>
      <c r="AE245">
        <f>2*0.95*5.67E-8*(((DK245+$B$7)+273)^4-(W245+273)^4)</f>
        <v>0</v>
      </c>
      <c r="AF245">
        <f>U245+AE245+AC245+AD245</f>
        <v>0</v>
      </c>
      <c r="AG245">
        <f>DH245*AU245*(DC245-DB245*(1000-AU245*DE245)/(1000-AU245*DD245))/(100*CV245)</f>
        <v>0</v>
      </c>
      <c r="AH245">
        <f>1000*DH245*AU245*(DD245-DE245)/(100*CV245*(1000-AU245*DD245))</f>
        <v>0</v>
      </c>
      <c r="AI245">
        <f>(AJ245 - AK245 - DI245*1E3/(8.314*(DK245+273.15)) * AM245/DH245 * AL245) * DH245/(100*CV245) * (1000 - DE245)/1000</f>
        <v>0</v>
      </c>
      <c r="AJ245">
        <v>1507.515413744797</v>
      </c>
      <c r="AK245">
        <v>1460.105757575757</v>
      </c>
      <c r="AL245">
        <v>3.440739375481243</v>
      </c>
      <c r="AM245">
        <v>66.38384787954378</v>
      </c>
      <c r="AN245">
        <f>(AP245 - AO245 + DI245*1E3/(8.314*(DK245+273.15)) * AR245/DH245 * AQ245) * DH245/(100*CV245) * 1000/(1000 - AP245)</f>
        <v>0</v>
      </c>
      <c r="AO245">
        <v>11.32937772164472</v>
      </c>
      <c r="AP245">
        <v>17.97170970588234</v>
      </c>
      <c r="AQ245">
        <v>-9.898766886108457E-05</v>
      </c>
      <c r="AR245">
        <v>80.44866334591464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MAX(0,($B$13+$C$13*DP245)/(1+$D$13*DP245)*DI245/(DK245+273)*$E$13)</f>
        <v>0</v>
      </c>
      <c r="AX245" t="s">
        <v>417</v>
      </c>
      <c r="AY245" t="s">
        <v>417</v>
      </c>
      <c r="AZ245">
        <v>0</v>
      </c>
      <c r="BA245">
        <v>0</v>
      </c>
      <c r="BB245">
        <f>1-AZ245/BA245</f>
        <v>0</v>
      </c>
      <c r="BC245">
        <v>0</v>
      </c>
      <c r="BD245" t="s">
        <v>417</v>
      </c>
      <c r="BE245" t="s">
        <v>417</v>
      </c>
      <c r="BF245">
        <v>0</v>
      </c>
      <c r="BG245">
        <v>0</v>
      </c>
      <c r="BH245">
        <f>1-BF245/BG245</f>
        <v>0</v>
      </c>
      <c r="BI245">
        <v>0.5</v>
      </c>
      <c r="BJ245">
        <f>CS245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417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1238</v>
      </c>
      <c r="CA245">
        <v>300</v>
      </c>
      <c r="CB245">
        <v>300</v>
      </c>
      <c r="CC245">
        <v>300</v>
      </c>
      <c r="CD245">
        <v>10440.5</v>
      </c>
      <c r="CE245">
        <v>1411.69</v>
      </c>
      <c r="CF245">
        <v>-0.00735121</v>
      </c>
      <c r="CG245">
        <v>-0.77</v>
      </c>
      <c r="CH245" t="s">
        <v>417</v>
      </c>
      <c r="CI245" t="s">
        <v>417</v>
      </c>
      <c r="CJ245" t="s">
        <v>417</v>
      </c>
      <c r="CK245" t="s">
        <v>417</v>
      </c>
      <c r="CL245" t="s">
        <v>417</v>
      </c>
      <c r="CM245" t="s">
        <v>417</v>
      </c>
      <c r="CN245" t="s">
        <v>417</v>
      </c>
      <c r="CO245" t="s">
        <v>417</v>
      </c>
      <c r="CP245" t="s">
        <v>417</v>
      </c>
      <c r="CQ245" t="s">
        <v>417</v>
      </c>
      <c r="CR245">
        <f>$B$11*DQ245+$C$11*DR245+$F$11*EC245*(1-EF245)</f>
        <v>0</v>
      </c>
      <c r="CS245">
        <f>CR245*CT245</f>
        <v>0</v>
      </c>
      <c r="CT245">
        <f>($B$11*$D$9+$C$11*$D$9+$F$11*((EP245+EH245)/MAX(EP245+EH245+EQ245, 0.1)*$I$9+EQ245/MAX(EP245+EH245+EQ245, 0.1)*$J$9))/($B$11+$C$11+$F$11)</f>
        <v>0</v>
      </c>
      <c r="CU245">
        <f>($B$11*$K$9+$C$11*$K$9+$F$11*((EP245+EH245)/MAX(EP245+EH245+EQ245, 0.1)*$P$9+EQ245/MAX(EP245+EH245+EQ245, 0.1)*$Q$9))/($B$11+$C$11+$F$11)</f>
        <v>0</v>
      </c>
      <c r="CV245">
        <v>6</v>
      </c>
      <c r="CW245">
        <v>0.5</v>
      </c>
      <c r="CX245" t="s">
        <v>418</v>
      </c>
      <c r="CY245">
        <v>2</v>
      </c>
      <c r="CZ245" t="b">
        <v>1</v>
      </c>
      <c r="DA245">
        <v>1651857740.433333</v>
      </c>
      <c r="DB245">
        <v>1431.596666666667</v>
      </c>
      <c r="DC245">
        <v>1495.573333333333</v>
      </c>
      <c r="DD245">
        <v>17.9715</v>
      </c>
      <c r="DE245">
        <v>11.41433333333333</v>
      </c>
      <c r="DF245">
        <v>1434.683333333333</v>
      </c>
      <c r="DG245">
        <v>17.97146666666667</v>
      </c>
      <c r="DH245">
        <v>500.0516666666667</v>
      </c>
      <c r="DI245">
        <v>90.07313333333333</v>
      </c>
      <c r="DJ245">
        <v>0.09987813333333334</v>
      </c>
      <c r="DK245">
        <v>25.71116666666667</v>
      </c>
      <c r="DL245">
        <v>25.02123333333333</v>
      </c>
      <c r="DM245">
        <v>999.9</v>
      </c>
      <c r="DN245">
        <v>0</v>
      </c>
      <c r="DO245">
        <v>0</v>
      </c>
      <c r="DP245">
        <v>10017.9</v>
      </c>
      <c r="DQ245">
        <v>0</v>
      </c>
      <c r="DR245">
        <v>3.220693333333333</v>
      </c>
      <c r="DS245">
        <v>-63.9786</v>
      </c>
      <c r="DT245">
        <v>1457.796666666667</v>
      </c>
      <c r="DU245">
        <v>1512.843333333333</v>
      </c>
      <c r="DV245">
        <v>6.557163333333333</v>
      </c>
      <c r="DW245">
        <v>1495.573333333333</v>
      </c>
      <c r="DX245">
        <v>11.41433333333333</v>
      </c>
      <c r="DY245">
        <v>1.61875</v>
      </c>
      <c r="DZ245">
        <v>1.028126666666667</v>
      </c>
      <c r="EA245">
        <v>14.13846666666667</v>
      </c>
      <c r="EB245">
        <v>7.32115</v>
      </c>
      <c r="EC245">
        <v>1499.953333333334</v>
      </c>
      <c r="ED245">
        <v>0.9730086666666665</v>
      </c>
      <c r="EE245">
        <v>0.0269913</v>
      </c>
      <c r="EF245">
        <v>0</v>
      </c>
      <c r="EG245">
        <v>927.7310000000001</v>
      </c>
      <c r="EH245">
        <v>5.00097</v>
      </c>
      <c r="EI245">
        <v>13797.16666666667</v>
      </c>
      <c r="EJ245">
        <v>12491.26666666667</v>
      </c>
      <c r="EK245">
        <v>37.5</v>
      </c>
      <c r="EL245">
        <v>39</v>
      </c>
      <c r="EM245">
        <v>37.875</v>
      </c>
      <c r="EN245">
        <v>38.75</v>
      </c>
      <c r="EO245">
        <v>38.375</v>
      </c>
      <c r="EP245">
        <v>1454.603333333333</v>
      </c>
      <c r="EQ245">
        <v>40.35</v>
      </c>
      <c r="ER245">
        <v>0</v>
      </c>
      <c r="ES245">
        <v>740.4000000953674</v>
      </c>
      <c r="ET245">
        <v>0</v>
      </c>
      <c r="EU245">
        <v>930.2268799999999</v>
      </c>
      <c r="EV245">
        <v>-24.78846149758255</v>
      </c>
      <c r="EW245">
        <v>-351.999999377099</v>
      </c>
      <c r="EX245">
        <v>13833.684</v>
      </c>
      <c r="EY245">
        <v>15</v>
      </c>
      <c r="EZ245">
        <v>1651857041.1</v>
      </c>
      <c r="FA245" t="s">
        <v>419</v>
      </c>
      <c r="FB245">
        <v>1651857019.6</v>
      </c>
      <c r="FC245">
        <v>1651857041.1</v>
      </c>
      <c r="FD245">
        <v>1</v>
      </c>
      <c r="FE245">
        <v>0.545</v>
      </c>
      <c r="FF245">
        <v>-0.002</v>
      </c>
      <c r="FG245">
        <v>-1.271</v>
      </c>
      <c r="FH245">
        <v>-0.09</v>
      </c>
      <c r="FI245">
        <v>400</v>
      </c>
      <c r="FJ245">
        <v>10</v>
      </c>
      <c r="FK245">
        <v>0.1</v>
      </c>
      <c r="FL245">
        <v>0.02</v>
      </c>
      <c r="FM245">
        <v>-64.04837804878049</v>
      </c>
      <c r="FN245">
        <v>-0.6553087108013916</v>
      </c>
      <c r="FO245">
        <v>0.1618135339273142</v>
      </c>
      <c r="FP245">
        <v>-1</v>
      </c>
      <c r="FQ245">
        <v>6.830359024390243</v>
      </c>
      <c r="FR245">
        <v>-1.729272961672475</v>
      </c>
      <c r="FS245">
        <v>0.1706648643280783</v>
      </c>
      <c r="FT245">
        <v>-1</v>
      </c>
      <c r="FU245">
        <v>0</v>
      </c>
      <c r="FV245">
        <v>0</v>
      </c>
      <c r="FW245">
        <v>0</v>
      </c>
      <c r="FX245">
        <v>-1</v>
      </c>
      <c r="FY245">
        <v>0</v>
      </c>
      <c r="FZ245">
        <v>0</v>
      </c>
      <c r="GA245" t="s">
        <v>432</v>
      </c>
      <c r="GB245">
        <v>2.97996</v>
      </c>
      <c r="GC245">
        <v>2.70622</v>
      </c>
      <c r="GD245">
        <v>0.214659</v>
      </c>
      <c r="GE245">
        <v>0.217935</v>
      </c>
      <c r="GF245">
        <v>0.0864591</v>
      </c>
      <c r="GG245">
        <v>0.0613122</v>
      </c>
      <c r="GH245">
        <v>24779.1</v>
      </c>
      <c r="GI245">
        <v>24729.7</v>
      </c>
      <c r="GJ245">
        <v>29342.9</v>
      </c>
      <c r="GK245">
        <v>29256.5</v>
      </c>
      <c r="GL245">
        <v>35500.3</v>
      </c>
      <c r="GM245">
        <v>36576</v>
      </c>
      <c r="GN245">
        <v>41304.4</v>
      </c>
      <c r="GO245">
        <v>41753.9</v>
      </c>
      <c r="GP245">
        <v>1.9531</v>
      </c>
      <c r="GQ245">
        <v>1.84205</v>
      </c>
      <c r="GR245">
        <v>-0.0331998</v>
      </c>
      <c r="GS245">
        <v>0</v>
      </c>
      <c r="GT245">
        <v>25.5649</v>
      </c>
      <c r="GU245">
        <v>999.9</v>
      </c>
      <c r="GV245">
        <v>38.3</v>
      </c>
      <c r="GW245">
        <v>34</v>
      </c>
      <c r="GX245">
        <v>22.7213</v>
      </c>
      <c r="GY245">
        <v>62.6976</v>
      </c>
      <c r="GZ245">
        <v>35.1002</v>
      </c>
      <c r="HA245">
        <v>1</v>
      </c>
      <c r="HB245">
        <v>0.136324</v>
      </c>
      <c r="HC245">
        <v>2.68873</v>
      </c>
      <c r="HD245">
        <v>20.3126</v>
      </c>
      <c r="HE245">
        <v>5.21759</v>
      </c>
      <c r="HF245">
        <v>12.0099</v>
      </c>
      <c r="HG245">
        <v>4.98855</v>
      </c>
      <c r="HH245">
        <v>3.2885</v>
      </c>
      <c r="HI245">
        <v>857.1</v>
      </c>
      <c r="HJ245">
        <v>8530.700000000001</v>
      </c>
      <c r="HK245">
        <v>5139.4</v>
      </c>
      <c r="HL245">
        <v>22.9</v>
      </c>
      <c r="HM245">
        <v>1.86751</v>
      </c>
      <c r="HN245">
        <v>1.86646</v>
      </c>
      <c r="HO245">
        <v>1.866</v>
      </c>
      <c r="HP245">
        <v>1.86586</v>
      </c>
      <c r="HQ245">
        <v>1.86774</v>
      </c>
      <c r="HR245">
        <v>1.87025</v>
      </c>
      <c r="HS245">
        <v>1.8689</v>
      </c>
      <c r="HT245">
        <v>1.87027</v>
      </c>
      <c r="HU245">
        <v>0</v>
      </c>
      <c r="HV245">
        <v>0</v>
      </c>
      <c r="HW245">
        <v>0</v>
      </c>
      <c r="HX245">
        <v>0</v>
      </c>
      <c r="HY245" t="s">
        <v>421</v>
      </c>
      <c r="HZ245" t="s">
        <v>422</v>
      </c>
      <c r="IA245" t="s">
        <v>423</v>
      </c>
      <c r="IB245" t="s">
        <v>423</v>
      </c>
      <c r="IC245" t="s">
        <v>423</v>
      </c>
      <c r="ID245" t="s">
        <v>423</v>
      </c>
      <c r="IE245">
        <v>0</v>
      </c>
      <c r="IF245">
        <v>100</v>
      </c>
      <c r="IG245">
        <v>100</v>
      </c>
      <c r="IH245">
        <v>-3.09</v>
      </c>
      <c r="II245">
        <v>0</v>
      </c>
      <c r="IJ245">
        <v>-0.4995723906072</v>
      </c>
      <c r="IK245">
        <v>-0.002077099775823331</v>
      </c>
      <c r="IL245">
        <v>4.593143279902166E-07</v>
      </c>
      <c r="IM245">
        <v>-1.865383991892071E-10</v>
      </c>
      <c r="IN245">
        <v>-0.07605349583632376</v>
      </c>
      <c r="IO245">
        <v>-0.01129461987421345</v>
      </c>
      <c r="IP245">
        <v>0.00116580895745559</v>
      </c>
      <c r="IQ245">
        <v>-1.679085872906199E-05</v>
      </c>
      <c r="IR245">
        <v>2</v>
      </c>
      <c r="IS245">
        <v>2290</v>
      </c>
      <c r="IT245">
        <v>0</v>
      </c>
      <c r="IU245">
        <v>32</v>
      </c>
      <c r="IV245">
        <v>12</v>
      </c>
      <c r="IW245">
        <v>11.7</v>
      </c>
      <c r="IX245">
        <v>2.89673</v>
      </c>
      <c r="IY245">
        <v>2.20215</v>
      </c>
      <c r="IZ245">
        <v>1.39648</v>
      </c>
      <c r="JA245">
        <v>2.3584</v>
      </c>
      <c r="JB245">
        <v>1.49536</v>
      </c>
      <c r="JC245">
        <v>2.2998</v>
      </c>
      <c r="JD245">
        <v>38.5014</v>
      </c>
      <c r="JE245">
        <v>24.035</v>
      </c>
      <c r="JF245">
        <v>18</v>
      </c>
      <c r="JG245">
        <v>513.212</v>
      </c>
      <c r="JH245">
        <v>427.252</v>
      </c>
      <c r="JI245">
        <v>22.0787</v>
      </c>
      <c r="JJ245">
        <v>29.0736</v>
      </c>
      <c r="JK245">
        <v>30</v>
      </c>
      <c r="JL245">
        <v>29.0726</v>
      </c>
      <c r="JM245">
        <v>29.0169</v>
      </c>
      <c r="JN245">
        <v>57.9443</v>
      </c>
      <c r="JO245">
        <v>46.0204</v>
      </c>
      <c r="JP245">
        <v>0</v>
      </c>
      <c r="JQ245">
        <v>22.0715</v>
      </c>
      <c r="JR245">
        <v>1518.03</v>
      </c>
      <c r="JS245">
        <v>11.6422</v>
      </c>
      <c r="JT245">
        <v>100.304</v>
      </c>
      <c r="JU245">
        <v>100.216</v>
      </c>
    </row>
    <row r="246" spans="1:281">
      <c r="A246">
        <v>230</v>
      </c>
      <c r="B246">
        <v>1651857743.6</v>
      </c>
      <c r="C246">
        <v>743</v>
      </c>
      <c r="D246" t="s">
        <v>887</v>
      </c>
      <c r="E246" t="s">
        <v>888</v>
      </c>
      <c r="F246">
        <v>2</v>
      </c>
      <c r="G246" t="s">
        <v>413</v>
      </c>
      <c r="H246" t="s">
        <v>414</v>
      </c>
      <c r="I246">
        <v>1651857742.6</v>
      </c>
      <c r="J246">
        <f>(K246)/1000</f>
        <v>0</v>
      </c>
      <c r="K246">
        <f>IF(CZ246, AN246, AH246)</f>
        <v>0</v>
      </c>
      <c r="L246">
        <f>IF(CZ246, AI246, AG246)</f>
        <v>0</v>
      </c>
      <c r="M246">
        <f>DB246 - IF(AU246&gt;1, L246*CV246*100.0/(AW246*DP246), 0)</f>
        <v>0</v>
      </c>
      <c r="N246">
        <f>((T246-J246/2)*M246-L246)/(T246+J246/2)</f>
        <v>0</v>
      </c>
      <c r="O246">
        <f>N246*(DI246+DJ246)/1000.0</f>
        <v>0</v>
      </c>
      <c r="P246">
        <f>(DB246 - IF(AU246&gt;1, L246*CV246*100.0/(AW246*DP246), 0))*(DI246+DJ246)/1000.0</f>
        <v>0</v>
      </c>
      <c r="Q246">
        <f>2.0/((1/S246-1/R246)+SIGN(S246)*SQRT((1/S246-1/R246)*(1/S246-1/R246) + 4*CW246/((CW246+1)*(CW246+1))*(2*1/S246*1/R246-1/R246*1/R246)))</f>
        <v>0</v>
      </c>
      <c r="R246">
        <f>IF(LEFT(CX246,1)&lt;&gt;"0",IF(LEFT(CX246,1)="1",3.0,CY246),$D$5+$E$5*(DP246*DI246/($K$5*1000))+$F$5*(DP246*DI246/($K$5*1000))*MAX(MIN(CV246,$J$5),$I$5)*MAX(MIN(CV246,$J$5),$I$5)+$G$5*MAX(MIN(CV246,$J$5),$I$5)*(DP246*DI246/($K$5*1000))+$H$5*(DP246*DI246/($K$5*1000))*(DP246*DI246/($K$5*1000)))</f>
        <v>0</v>
      </c>
      <c r="S246">
        <f>J246*(1000-(1000*0.61365*exp(17.502*W246/(240.97+W246))/(DI246+DJ246)+DD246)/2)/(1000*0.61365*exp(17.502*W246/(240.97+W246))/(DI246+DJ246)-DD246)</f>
        <v>0</v>
      </c>
      <c r="T246">
        <f>1/((CW246+1)/(Q246/1.6)+1/(R246/1.37)) + CW246/((CW246+1)/(Q246/1.6) + CW246/(R246/1.37))</f>
        <v>0</v>
      </c>
      <c r="U246">
        <f>(CR246*CU246)</f>
        <v>0</v>
      </c>
      <c r="V246">
        <f>(DK246+(U246+2*0.95*5.67E-8*(((DK246+$B$7)+273)^4-(DK246+273)^4)-44100*J246)/(1.84*29.3*R246+8*0.95*5.67E-8*(DK246+273)^3))</f>
        <v>0</v>
      </c>
      <c r="W246">
        <f>($C$7*DL246+$D$7*DM246+$E$7*V246)</f>
        <v>0</v>
      </c>
      <c r="X246">
        <f>0.61365*exp(17.502*W246/(240.97+W246))</f>
        <v>0</v>
      </c>
      <c r="Y246">
        <f>(Z246/AA246*100)</f>
        <v>0</v>
      </c>
      <c r="Z246">
        <f>DD246*(DI246+DJ246)/1000</f>
        <v>0</v>
      </c>
      <c r="AA246">
        <f>0.61365*exp(17.502*DK246/(240.97+DK246))</f>
        <v>0</v>
      </c>
      <c r="AB246">
        <f>(X246-DD246*(DI246+DJ246)/1000)</f>
        <v>0</v>
      </c>
      <c r="AC246">
        <f>(-J246*44100)</f>
        <v>0</v>
      </c>
      <c r="AD246">
        <f>2*29.3*R246*0.92*(DK246-W246)</f>
        <v>0</v>
      </c>
      <c r="AE246">
        <f>2*0.95*5.67E-8*(((DK246+$B$7)+273)^4-(W246+273)^4)</f>
        <v>0</v>
      </c>
      <c r="AF246">
        <f>U246+AE246+AC246+AD246</f>
        <v>0</v>
      </c>
      <c r="AG246">
        <f>DH246*AU246*(DC246-DB246*(1000-AU246*DE246)/(1000-AU246*DD246))/(100*CV246)</f>
        <v>0</v>
      </c>
      <c r="AH246">
        <f>1000*DH246*AU246*(DD246-DE246)/(100*CV246*(1000-AU246*DD246))</f>
        <v>0</v>
      </c>
      <c r="AI246">
        <f>(AJ246 - AK246 - DI246*1E3/(8.314*(DK246+273.15)) * AM246/DH246 * AL246) * DH246/(100*CV246) * (1000 - DE246)/1000</f>
        <v>0</v>
      </c>
      <c r="AJ246">
        <v>1514.190591733592</v>
      </c>
      <c r="AK246">
        <v>1466.845151515151</v>
      </c>
      <c r="AL246">
        <v>3.40186003852989</v>
      </c>
      <c r="AM246">
        <v>66.38384787954378</v>
      </c>
      <c r="AN246">
        <f>(AP246 - AO246 + DI246*1E3/(8.314*(DK246+273.15)) * AR246/DH246 * AQ246) * DH246/(100*CV246) * 1000/(1000 - AP246)</f>
        <v>0</v>
      </c>
      <c r="AO246">
        <v>11.37670331477355</v>
      </c>
      <c r="AP246">
        <v>17.97044794117647</v>
      </c>
      <c r="AQ246">
        <v>2.431595685275961E-05</v>
      </c>
      <c r="AR246">
        <v>80.44866334591464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MAX(0,($B$13+$C$13*DP246)/(1+$D$13*DP246)*DI246/(DK246+273)*$E$13)</f>
        <v>0</v>
      </c>
      <c r="AX246" t="s">
        <v>417</v>
      </c>
      <c r="AY246" t="s">
        <v>417</v>
      </c>
      <c r="AZ246">
        <v>0</v>
      </c>
      <c r="BA246">
        <v>0</v>
      </c>
      <c r="BB246">
        <f>1-AZ246/BA246</f>
        <v>0</v>
      </c>
      <c r="BC246">
        <v>0</v>
      </c>
      <c r="BD246" t="s">
        <v>417</v>
      </c>
      <c r="BE246" t="s">
        <v>417</v>
      </c>
      <c r="BF246">
        <v>0</v>
      </c>
      <c r="BG246">
        <v>0</v>
      </c>
      <c r="BH246">
        <f>1-BF246/BG246</f>
        <v>0</v>
      </c>
      <c r="BI246">
        <v>0.5</v>
      </c>
      <c r="BJ246">
        <f>CS246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417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1238</v>
      </c>
      <c r="CA246">
        <v>300</v>
      </c>
      <c r="CB246">
        <v>300</v>
      </c>
      <c r="CC246">
        <v>300</v>
      </c>
      <c r="CD246">
        <v>10440.5</v>
      </c>
      <c r="CE246">
        <v>1411.69</v>
      </c>
      <c r="CF246">
        <v>-0.00735121</v>
      </c>
      <c r="CG246">
        <v>-0.77</v>
      </c>
      <c r="CH246" t="s">
        <v>417</v>
      </c>
      <c r="CI246" t="s">
        <v>417</v>
      </c>
      <c r="CJ246" t="s">
        <v>417</v>
      </c>
      <c r="CK246" t="s">
        <v>417</v>
      </c>
      <c r="CL246" t="s">
        <v>417</v>
      </c>
      <c r="CM246" t="s">
        <v>417</v>
      </c>
      <c r="CN246" t="s">
        <v>417</v>
      </c>
      <c r="CO246" t="s">
        <v>417</v>
      </c>
      <c r="CP246" t="s">
        <v>417</v>
      </c>
      <c r="CQ246" t="s">
        <v>417</v>
      </c>
      <c r="CR246">
        <f>$B$11*DQ246+$C$11*DR246+$F$11*EC246*(1-EF246)</f>
        <v>0</v>
      </c>
      <c r="CS246">
        <f>CR246*CT246</f>
        <v>0</v>
      </c>
      <c r="CT246">
        <f>($B$11*$D$9+$C$11*$D$9+$F$11*((EP246+EH246)/MAX(EP246+EH246+EQ246, 0.1)*$I$9+EQ246/MAX(EP246+EH246+EQ246, 0.1)*$J$9))/($B$11+$C$11+$F$11)</f>
        <v>0</v>
      </c>
      <c r="CU246">
        <f>($B$11*$K$9+$C$11*$K$9+$F$11*((EP246+EH246)/MAX(EP246+EH246+EQ246, 0.1)*$P$9+EQ246/MAX(EP246+EH246+EQ246, 0.1)*$Q$9))/($B$11+$C$11+$F$11)</f>
        <v>0</v>
      </c>
      <c r="CV246">
        <v>6</v>
      </c>
      <c r="CW246">
        <v>0.5</v>
      </c>
      <c r="CX246" t="s">
        <v>418</v>
      </c>
      <c r="CY246">
        <v>2</v>
      </c>
      <c r="CZ246" t="b">
        <v>1</v>
      </c>
      <c r="DA246">
        <v>1651857742.6</v>
      </c>
      <c r="DB246">
        <v>1438.826666666667</v>
      </c>
      <c r="DC246">
        <v>1502.83</v>
      </c>
      <c r="DD246">
        <v>17.97076666666667</v>
      </c>
      <c r="DE246">
        <v>11.4818</v>
      </c>
      <c r="DF246">
        <v>1441.923333333333</v>
      </c>
      <c r="DG246">
        <v>17.97073333333334</v>
      </c>
      <c r="DH246">
        <v>500.035</v>
      </c>
      <c r="DI246">
        <v>90.07006666666666</v>
      </c>
      <c r="DJ246">
        <v>0.09993406666666667</v>
      </c>
      <c r="DK246">
        <v>25.7113</v>
      </c>
      <c r="DL246">
        <v>25.01656666666667</v>
      </c>
      <c r="DM246">
        <v>999.9</v>
      </c>
      <c r="DN246">
        <v>0</v>
      </c>
      <c r="DO246">
        <v>0</v>
      </c>
      <c r="DP246">
        <v>10008.76666666667</v>
      </c>
      <c r="DQ246">
        <v>0</v>
      </c>
      <c r="DR246">
        <v>3.23193</v>
      </c>
      <c r="DS246">
        <v>-64.00296666666667</v>
      </c>
      <c r="DT246">
        <v>1465.156666666667</v>
      </c>
      <c r="DU246">
        <v>1520.283333333333</v>
      </c>
      <c r="DV246">
        <v>6.488976666666667</v>
      </c>
      <c r="DW246">
        <v>1502.83</v>
      </c>
      <c r="DX246">
        <v>11.4818</v>
      </c>
      <c r="DY246">
        <v>1.61863</v>
      </c>
      <c r="DZ246">
        <v>1.034166666666667</v>
      </c>
      <c r="EA246">
        <v>14.13726666666667</v>
      </c>
      <c r="EB246">
        <v>7.406803333333333</v>
      </c>
      <c r="EC246">
        <v>1500.05</v>
      </c>
      <c r="ED246">
        <v>0.9730086666666665</v>
      </c>
      <c r="EE246">
        <v>0.0269913</v>
      </c>
      <c r="EF246">
        <v>0</v>
      </c>
      <c r="EG246">
        <v>926.9793333333333</v>
      </c>
      <c r="EH246">
        <v>5.00097</v>
      </c>
      <c r="EI246">
        <v>13785.46666666667</v>
      </c>
      <c r="EJ246">
        <v>12492.03333333333</v>
      </c>
      <c r="EK246">
        <v>37.5</v>
      </c>
      <c r="EL246">
        <v>39</v>
      </c>
      <c r="EM246">
        <v>37.875</v>
      </c>
      <c r="EN246">
        <v>38.75</v>
      </c>
      <c r="EO246">
        <v>38.375</v>
      </c>
      <c r="EP246">
        <v>1454.696666666667</v>
      </c>
      <c r="EQ246">
        <v>40.35333333333333</v>
      </c>
      <c r="ER246">
        <v>0</v>
      </c>
      <c r="ES246">
        <v>742.2000000476837</v>
      </c>
      <c r="ET246">
        <v>0</v>
      </c>
      <c r="EU246">
        <v>929.6323076923077</v>
      </c>
      <c r="EV246">
        <v>-24.26488890460277</v>
      </c>
      <c r="EW246">
        <v>-348.8717949893366</v>
      </c>
      <c r="EX246">
        <v>13824.99615384615</v>
      </c>
      <c r="EY246">
        <v>15</v>
      </c>
      <c r="EZ246">
        <v>1651857041.1</v>
      </c>
      <c r="FA246" t="s">
        <v>419</v>
      </c>
      <c r="FB246">
        <v>1651857019.6</v>
      </c>
      <c r="FC246">
        <v>1651857041.1</v>
      </c>
      <c r="FD246">
        <v>1</v>
      </c>
      <c r="FE246">
        <v>0.545</v>
      </c>
      <c r="FF246">
        <v>-0.002</v>
      </c>
      <c r="FG246">
        <v>-1.271</v>
      </c>
      <c r="FH246">
        <v>-0.09</v>
      </c>
      <c r="FI246">
        <v>400</v>
      </c>
      <c r="FJ246">
        <v>10</v>
      </c>
      <c r="FK246">
        <v>0.1</v>
      </c>
      <c r="FL246">
        <v>0.02</v>
      </c>
      <c r="FM246">
        <v>-64.05562999999999</v>
      </c>
      <c r="FN246">
        <v>-0.1703954971855942</v>
      </c>
      <c r="FO246">
        <v>0.153498099662503</v>
      </c>
      <c r="FP246">
        <v>-1</v>
      </c>
      <c r="FQ246">
        <v>6.750734</v>
      </c>
      <c r="FR246">
        <v>-1.695568930581614</v>
      </c>
      <c r="FS246">
        <v>0.1632270090671271</v>
      </c>
      <c r="FT246">
        <v>-1</v>
      </c>
      <c r="FU246">
        <v>0</v>
      </c>
      <c r="FV246">
        <v>0</v>
      </c>
      <c r="FW246">
        <v>0</v>
      </c>
      <c r="FX246">
        <v>-1</v>
      </c>
      <c r="FY246">
        <v>0</v>
      </c>
      <c r="FZ246">
        <v>0</v>
      </c>
      <c r="GA246" t="s">
        <v>432</v>
      </c>
      <c r="GB246">
        <v>2.97991</v>
      </c>
      <c r="GC246">
        <v>2.70625</v>
      </c>
      <c r="GD246">
        <v>0.215257</v>
      </c>
      <c r="GE246">
        <v>0.218525</v>
      </c>
      <c r="GF246">
        <v>0.08645220000000001</v>
      </c>
      <c r="GG246">
        <v>0.0615545</v>
      </c>
      <c r="GH246">
        <v>24760.1</v>
      </c>
      <c r="GI246">
        <v>24711.1</v>
      </c>
      <c r="GJ246">
        <v>29342.8</v>
      </c>
      <c r="GK246">
        <v>29256.6</v>
      </c>
      <c r="GL246">
        <v>35500.5</v>
      </c>
      <c r="GM246">
        <v>36566.5</v>
      </c>
      <c r="GN246">
        <v>41304.3</v>
      </c>
      <c r="GO246">
        <v>41753.9</v>
      </c>
      <c r="GP246">
        <v>1.95303</v>
      </c>
      <c r="GQ246">
        <v>1.8423</v>
      </c>
      <c r="GR246">
        <v>-0.0336766</v>
      </c>
      <c r="GS246">
        <v>0</v>
      </c>
      <c r="GT246">
        <v>25.5649</v>
      </c>
      <c r="GU246">
        <v>999.9</v>
      </c>
      <c r="GV246">
        <v>38.3</v>
      </c>
      <c r="GW246">
        <v>34</v>
      </c>
      <c r="GX246">
        <v>22.7217</v>
      </c>
      <c r="GY246">
        <v>62.7076</v>
      </c>
      <c r="GZ246">
        <v>35.4688</v>
      </c>
      <c r="HA246">
        <v>1</v>
      </c>
      <c r="HB246">
        <v>0.136151</v>
      </c>
      <c r="HC246">
        <v>2.67781</v>
      </c>
      <c r="HD246">
        <v>20.3127</v>
      </c>
      <c r="HE246">
        <v>5.21744</v>
      </c>
      <c r="HF246">
        <v>12.0099</v>
      </c>
      <c r="HG246">
        <v>4.98845</v>
      </c>
      <c r="HH246">
        <v>3.2885</v>
      </c>
      <c r="HI246">
        <v>857.1</v>
      </c>
      <c r="HJ246">
        <v>8530.700000000001</v>
      </c>
      <c r="HK246">
        <v>5139.4</v>
      </c>
      <c r="HL246">
        <v>22.9</v>
      </c>
      <c r="HM246">
        <v>1.86752</v>
      </c>
      <c r="HN246">
        <v>1.86646</v>
      </c>
      <c r="HO246">
        <v>1.866</v>
      </c>
      <c r="HP246">
        <v>1.86585</v>
      </c>
      <c r="HQ246">
        <v>1.86774</v>
      </c>
      <c r="HR246">
        <v>1.87025</v>
      </c>
      <c r="HS246">
        <v>1.8689</v>
      </c>
      <c r="HT246">
        <v>1.87027</v>
      </c>
      <c r="HU246">
        <v>0</v>
      </c>
      <c r="HV246">
        <v>0</v>
      </c>
      <c r="HW246">
        <v>0</v>
      </c>
      <c r="HX246">
        <v>0</v>
      </c>
      <c r="HY246" t="s">
        <v>421</v>
      </c>
      <c r="HZ246" t="s">
        <v>422</v>
      </c>
      <c r="IA246" t="s">
        <v>423</v>
      </c>
      <c r="IB246" t="s">
        <v>423</v>
      </c>
      <c r="IC246" t="s">
        <v>423</v>
      </c>
      <c r="ID246" t="s">
        <v>423</v>
      </c>
      <c r="IE246">
        <v>0</v>
      </c>
      <c r="IF246">
        <v>100</v>
      </c>
      <c r="IG246">
        <v>100</v>
      </c>
      <c r="IH246">
        <v>-3.11</v>
      </c>
      <c r="II246">
        <v>0</v>
      </c>
      <c r="IJ246">
        <v>-0.4995723906072</v>
      </c>
      <c r="IK246">
        <v>-0.002077099775823331</v>
      </c>
      <c r="IL246">
        <v>4.593143279902166E-07</v>
      </c>
      <c r="IM246">
        <v>-1.865383991892071E-10</v>
      </c>
      <c r="IN246">
        <v>-0.07605349583632376</v>
      </c>
      <c r="IO246">
        <v>-0.01129461987421345</v>
      </c>
      <c r="IP246">
        <v>0.00116580895745559</v>
      </c>
      <c r="IQ246">
        <v>-1.679085872906199E-05</v>
      </c>
      <c r="IR246">
        <v>2</v>
      </c>
      <c r="IS246">
        <v>2290</v>
      </c>
      <c r="IT246">
        <v>0</v>
      </c>
      <c r="IU246">
        <v>32</v>
      </c>
      <c r="IV246">
        <v>12.1</v>
      </c>
      <c r="IW246">
        <v>11.7</v>
      </c>
      <c r="IX246">
        <v>2.90649</v>
      </c>
      <c r="IY246">
        <v>2.19482</v>
      </c>
      <c r="IZ246">
        <v>1.39648</v>
      </c>
      <c r="JA246">
        <v>2.3584</v>
      </c>
      <c r="JB246">
        <v>1.49536</v>
      </c>
      <c r="JC246">
        <v>2.36572</v>
      </c>
      <c r="JD246">
        <v>38.5259</v>
      </c>
      <c r="JE246">
        <v>24.0437</v>
      </c>
      <c r="JF246">
        <v>18</v>
      </c>
      <c r="JG246">
        <v>513.163</v>
      </c>
      <c r="JH246">
        <v>427.393</v>
      </c>
      <c r="JI246">
        <v>22.0702</v>
      </c>
      <c r="JJ246">
        <v>29.0736</v>
      </c>
      <c r="JK246">
        <v>30</v>
      </c>
      <c r="JL246">
        <v>29.0726</v>
      </c>
      <c r="JM246">
        <v>29.0156</v>
      </c>
      <c r="JN246">
        <v>58.1394</v>
      </c>
      <c r="JO246">
        <v>46.0204</v>
      </c>
      <c r="JP246">
        <v>0</v>
      </c>
      <c r="JQ246">
        <v>22.0514</v>
      </c>
      <c r="JR246">
        <v>1524.71</v>
      </c>
      <c r="JS246">
        <v>11.6947</v>
      </c>
      <c r="JT246">
        <v>100.304</v>
      </c>
      <c r="JU246">
        <v>100.217</v>
      </c>
    </row>
    <row r="247" spans="1:281">
      <c r="A247">
        <v>231</v>
      </c>
      <c r="B247">
        <v>1651857745.6</v>
      </c>
      <c r="C247">
        <v>745</v>
      </c>
      <c r="D247" t="s">
        <v>889</v>
      </c>
      <c r="E247" t="s">
        <v>890</v>
      </c>
      <c r="F247">
        <v>2</v>
      </c>
      <c r="G247" t="s">
        <v>413</v>
      </c>
      <c r="H247" t="s">
        <v>414</v>
      </c>
      <c r="I247">
        <v>1651857744.225</v>
      </c>
      <c r="J247">
        <f>(K247)/1000</f>
        <v>0</v>
      </c>
      <c r="K247">
        <f>IF(CZ247, AN247, AH247)</f>
        <v>0</v>
      </c>
      <c r="L247">
        <f>IF(CZ247, AI247, AG247)</f>
        <v>0</v>
      </c>
      <c r="M247">
        <f>DB247 - IF(AU247&gt;1, L247*CV247*100.0/(AW247*DP247), 0)</f>
        <v>0</v>
      </c>
      <c r="N247">
        <f>((T247-J247/2)*M247-L247)/(T247+J247/2)</f>
        <v>0</v>
      </c>
      <c r="O247">
        <f>N247*(DI247+DJ247)/1000.0</f>
        <v>0</v>
      </c>
      <c r="P247">
        <f>(DB247 - IF(AU247&gt;1, L247*CV247*100.0/(AW247*DP247), 0))*(DI247+DJ247)/1000.0</f>
        <v>0</v>
      </c>
      <c r="Q247">
        <f>2.0/((1/S247-1/R247)+SIGN(S247)*SQRT((1/S247-1/R247)*(1/S247-1/R247) + 4*CW247/((CW247+1)*(CW247+1))*(2*1/S247*1/R247-1/R247*1/R247)))</f>
        <v>0</v>
      </c>
      <c r="R247">
        <f>IF(LEFT(CX247,1)&lt;&gt;"0",IF(LEFT(CX247,1)="1",3.0,CY247),$D$5+$E$5*(DP247*DI247/($K$5*1000))+$F$5*(DP247*DI247/($K$5*1000))*MAX(MIN(CV247,$J$5),$I$5)*MAX(MIN(CV247,$J$5),$I$5)+$G$5*MAX(MIN(CV247,$J$5),$I$5)*(DP247*DI247/($K$5*1000))+$H$5*(DP247*DI247/($K$5*1000))*(DP247*DI247/($K$5*1000)))</f>
        <v>0</v>
      </c>
      <c r="S247">
        <f>J247*(1000-(1000*0.61365*exp(17.502*W247/(240.97+W247))/(DI247+DJ247)+DD247)/2)/(1000*0.61365*exp(17.502*W247/(240.97+W247))/(DI247+DJ247)-DD247)</f>
        <v>0</v>
      </c>
      <c r="T247">
        <f>1/((CW247+1)/(Q247/1.6)+1/(R247/1.37)) + CW247/((CW247+1)/(Q247/1.6) + CW247/(R247/1.37))</f>
        <v>0</v>
      </c>
      <c r="U247">
        <f>(CR247*CU247)</f>
        <v>0</v>
      </c>
      <c r="V247">
        <f>(DK247+(U247+2*0.95*5.67E-8*(((DK247+$B$7)+273)^4-(DK247+273)^4)-44100*J247)/(1.84*29.3*R247+8*0.95*5.67E-8*(DK247+273)^3))</f>
        <v>0</v>
      </c>
      <c r="W247">
        <f>($C$7*DL247+$D$7*DM247+$E$7*V247)</f>
        <v>0</v>
      </c>
      <c r="X247">
        <f>0.61365*exp(17.502*W247/(240.97+W247))</f>
        <v>0</v>
      </c>
      <c r="Y247">
        <f>(Z247/AA247*100)</f>
        <v>0</v>
      </c>
      <c r="Z247">
        <f>DD247*(DI247+DJ247)/1000</f>
        <v>0</v>
      </c>
      <c r="AA247">
        <f>0.61365*exp(17.502*DK247/(240.97+DK247))</f>
        <v>0</v>
      </c>
      <c r="AB247">
        <f>(X247-DD247*(DI247+DJ247)/1000)</f>
        <v>0</v>
      </c>
      <c r="AC247">
        <f>(-J247*44100)</f>
        <v>0</v>
      </c>
      <c r="AD247">
        <f>2*29.3*R247*0.92*(DK247-W247)</f>
        <v>0</v>
      </c>
      <c r="AE247">
        <f>2*0.95*5.67E-8*(((DK247+$B$7)+273)^4-(W247+273)^4)</f>
        <v>0</v>
      </c>
      <c r="AF247">
        <f>U247+AE247+AC247+AD247</f>
        <v>0</v>
      </c>
      <c r="AG247">
        <f>DH247*AU247*(DC247-DB247*(1000-AU247*DE247)/(1000-AU247*DD247))/(100*CV247)</f>
        <v>0</v>
      </c>
      <c r="AH247">
        <f>1000*DH247*AU247*(DD247-DE247)/(100*CV247*(1000-AU247*DD247))</f>
        <v>0</v>
      </c>
      <c r="AI247">
        <f>(AJ247 - AK247 - DI247*1E3/(8.314*(DK247+273.15)) * AM247/DH247 * AL247) * DH247/(100*CV247) * (1000 - DE247)/1000</f>
        <v>0</v>
      </c>
      <c r="AJ247">
        <v>1521.087970606083</v>
      </c>
      <c r="AK247">
        <v>1473.634484848485</v>
      </c>
      <c r="AL247">
        <v>3.387216287733996</v>
      </c>
      <c r="AM247">
        <v>66.38384787954378</v>
      </c>
      <c r="AN247">
        <f>(AP247 - AO247 + DI247*1E3/(8.314*(DK247+273.15)) * AR247/DH247 * AQ247) * DH247/(100*CV247) * 1000/(1000 - AP247)</f>
        <v>0</v>
      </c>
      <c r="AO247">
        <v>11.43639004162879</v>
      </c>
      <c r="AP247">
        <v>17.96968529411764</v>
      </c>
      <c r="AQ247">
        <v>-3.508928919216195E-05</v>
      </c>
      <c r="AR247">
        <v>80.44866334591464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MAX(0,($B$13+$C$13*DP247)/(1+$D$13*DP247)*DI247/(DK247+273)*$E$13)</f>
        <v>0</v>
      </c>
      <c r="AX247" t="s">
        <v>417</v>
      </c>
      <c r="AY247" t="s">
        <v>417</v>
      </c>
      <c r="AZ247">
        <v>0</v>
      </c>
      <c r="BA247">
        <v>0</v>
      </c>
      <c r="BB247">
        <f>1-AZ247/BA247</f>
        <v>0</v>
      </c>
      <c r="BC247">
        <v>0</v>
      </c>
      <c r="BD247" t="s">
        <v>417</v>
      </c>
      <c r="BE247" t="s">
        <v>417</v>
      </c>
      <c r="BF247">
        <v>0</v>
      </c>
      <c r="BG247">
        <v>0</v>
      </c>
      <c r="BH247">
        <f>1-BF247/BG247</f>
        <v>0</v>
      </c>
      <c r="BI247">
        <v>0.5</v>
      </c>
      <c r="BJ247">
        <f>CS247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417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1238</v>
      </c>
      <c r="CA247">
        <v>300</v>
      </c>
      <c r="CB247">
        <v>300</v>
      </c>
      <c r="CC247">
        <v>300</v>
      </c>
      <c r="CD247">
        <v>10440.5</v>
      </c>
      <c r="CE247">
        <v>1411.69</v>
      </c>
      <c r="CF247">
        <v>-0.00735121</v>
      </c>
      <c r="CG247">
        <v>-0.77</v>
      </c>
      <c r="CH247" t="s">
        <v>417</v>
      </c>
      <c r="CI247" t="s">
        <v>417</v>
      </c>
      <c r="CJ247" t="s">
        <v>417</v>
      </c>
      <c r="CK247" t="s">
        <v>417</v>
      </c>
      <c r="CL247" t="s">
        <v>417</v>
      </c>
      <c r="CM247" t="s">
        <v>417</v>
      </c>
      <c r="CN247" t="s">
        <v>417</v>
      </c>
      <c r="CO247" t="s">
        <v>417</v>
      </c>
      <c r="CP247" t="s">
        <v>417</v>
      </c>
      <c r="CQ247" t="s">
        <v>417</v>
      </c>
      <c r="CR247">
        <f>$B$11*DQ247+$C$11*DR247+$F$11*EC247*(1-EF247)</f>
        <v>0</v>
      </c>
      <c r="CS247">
        <f>CR247*CT247</f>
        <v>0</v>
      </c>
      <c r="CT247">
        <f>($B$11*$D$9+$C$11*$D$9+$F$11*((EP247+EH247)/MAX(EP247+EH247+EQ247, 0.1)*$I$9+EQ247/MAX(EP247+EH247+EQ247, 0.1)*$J$9))/($B$11+$C$11+$F$11)</f>
        <v>0</v>
      </c>
      <c r="CU247">
        <f>($B$11*$K$9+$C$11*$K$9+$F$11*((EP247+EH247)/MAX(EP247+EH247+EQ247, 0.1)*$P$9+EQ247/MAX(EP247+EH247+EQ247, 0.1)*$Q$9))/($B$11+$C$11+$F$11)</f>
        <v>0</v>
      </c>
      <c r="CV247">
        <v>6</v>
      </c>
      <c r="CW247">
        <v>0.5</v>
      </c>
      <c r="CX247" t="s">
        <v>418</v>
      </c>
      <c r="CY247">
        <v>2</v>
      </c>
      <c r="CZ247" t="b">
        <v>1</v>
      </c>
      <c r="DA247">
        <v>1651857744.225</v>
      </c>
      <c r="DB247">
        <v>1444.2375</v>
      </c>
      <c r="DC247">
        <v>1508.29</v>
      </c>
      <c r="DD247">
        <v>17.970025</v>
      </c>
      <c r="DE247">
        <v>11.52345</v>
      </c>
      <c r="DF247">
        <v>1447.345</v>
      </c>
      <c r="DG247">
        <v>17.970025</v>
      </c>
      <c r="DH247">
        <v>500.01575</v>
      </c>
      <c r="DI247">
        <v>90.06872499999999</v>
      </c>
      <c r="DJ247">
        <v>0.09989785</v>
      </c>
      <c r="DK247">
        <v>25.709525</v>
      </c>
      <c r="DL247">
        <v>25.012975</v>
      </c>
      <c r="DM247">
        <v>999.9</v>
      </c>
      <c r="DN247">
        <v>0</v>
      </c>
      <c r="DO247">
        <v>0</v>
      </c>
      <c r="DP247">
        <v>10019.85</v>
      </c>
      <c r="DQ247">
        <v>0</v>
      </c>
      <c r="DR247">
        <v>3.230175</v>
      </c>
      <c r="DS247">
        <v>-64.055125</v>
      </c>
      <c r="DT247">
        <v>1470.665</v>
      </c>
      <c r="DU247">
        <v>1525.875</v>
      </c>
      <c r="DV247">
        <v>6.446560000000001</v>
      </c>
      <c r="DW247">
        <v>1508.29</v>
      </c>
      <c r="DX247">
        <v>11.52345</v>
      </c>
      <c r="DY247">
        <v>1.618535</v>
      </c>
      <c r="DZ247">
        <v>1.037905</v>
      </c>
      <c r="EA247">
        <v>14.136425</v>
      </c>
      <c r="EB247">
        <v>7.45957</v>
      </c>
      <c r="EC247">
        <v>1499.995</v>
      </c>
      <c r="ED247">
        <v>0.9730095</v>
      </c>
      <c r="EE247">
        <v>0.0269904</v>
      </c>
      <c r="EF247">
        <v>0</v>
      </c>
      <c r="EG247">
        <v>926.1542499999999</v>
      </c>
      <c r="EH247">
        <v>5.00097</v>
      </c>
      <c r="EI247">
        <v>13776.875</v>
      </c>
      <c r="EJ247">
        <v>12491.6</v>
      </c>
      <c r="EK247">
        <v>37.5</v>
      </c>
      <c r="EL247">
        <v>39</v>
      </c>
      <c r="EM247">
        <v>37.875</v>
      </c>
      <c r="EN247">
        <v>38.75</v>
      </c>
      <c r="EO247">
        <v>38.375</v>
      </c>
      <c r="EP247">
        <v>1454.645</v>
      </c>
      <c r="EQ247">
        <v>40.35</v>
      </c>
      <c r="ER247">
        <v>0</v>
      </c>
      <c r="ES247">
        <v>744.6000001430511</v>
      </c>
      <c r="ET247">
        <v>0</v>
      </c>
      <c r="EU247">
        <v>928.6667692307693</v>
      </c>
      <c r="EV247">
        <v>-24.26782907261856</v>
      </c>
      <c r="EW247">
        <v>-347.1145300673243</v>
      </c>
      <c r="EX247">
        <v>13811.04230769231</v>
      </c>
      <c r="EY247">
        <v>15</v>
      </c>
      <c r="EZ247">
        <v>1651857041.1</v>
      </c>
      <c r="FA247" t="s">
        <v>419</v>
      </c>
      <c r="FB247">
        <v>1651857019.6</v>
      </c>
      <c r="FC247">
        <v>1651857041.1</v>
      </c>
      <c r="FD247">
        <v>1</v>
      </c>
      <c r="FE247">
        <v>0.545</v>
      </c>
      <c r="FF247">
        <v>-0.002</v>
      </c>
      <c r="FG247">
        <v>-1.271</v>
      </c>
      <c r="FH247">
        <v>-0.09</v>
      </c>
      <c r="FI247">
        <v>400</v>
      </c>
      <c r="FJ247">
        <v>10</v>
      </c>
      <c r="FK247">
        <v>0.1</v>
      </c>
      <c r="FL247">
        <v>0.02</v>
      </c>
      <c r="FM247">
        <v>-64.06522195121951</v>
      </c>
      <c r="FN247">
        <v>-0.0006104529618434697</v>
      </c>
      <c r="FO247">
        <v>0.1453715701937028</v>
      </c>
      <c r="FP247">
        <v>-1</v>
      </c>
      <c r="FQ247">
        <v>6.715142682926829</v>
      </c>
      <c r="FR247">
        <v>-1.689161811846688</v>
      </c>
      <c r="FS247">
        <v>0.1666649058707305</v>
      </c>
      <c r="FT247">
        <v>-1</v>
      </c>
      <c r="FU247">
        <v>0</v>
      </c>
      <c r="FV247">
        <v>0</v>
      </c>
      <c r="FW247">
        <v>0</v>
      </c>
      <c r="FX247">
        <v>-1</v>
      </c>
      <c r="FY247">
        <v>0</v>
      </c>
      <c r="FZ247">
        <v>0</v>
      </c>
      <c r="GA247" t="s">
        <v>432</v>
      </c>
      <c r="GB247">
        <v>2.98004</v>
      </c>
      <c r="GC247">
        <v>2.70631</v>
      </c>
      <c r="GD247">
        <v>0.215857</v>
      </c>
      <c r="GE247">
        <v>0.219115</v>
      </c>
      <c r="GF247">
        <v>0.08645079999999999</v>
      </c>
      <c r="GG247">
        <v>0.0617051</v>
      </c>
      <c r="GH247">
        <v>24741.2</v>
      </c>
      <c r="GI247">
        <v>24692.6</v>
      </c>
      <c r="GJ247">
        <v>29342.9</v>
      </c>
      <c r="GK247">
        <v>29256.8</v>
      </c>
      <c r="GL247">
        <v>35500.9</v>
      </c>
      <c r="GM247">
        <v>36560.7</v>
      </c>
      <c r="GN247">
        <v>41304.6</v>
      </c>
      <c r="GO247">
        <v>41753.9</v>
      </c>
      <c r="GP247">
        <v>1.95292</v>
      </c>
      <c r="GQ247">
        <v>1.84235</v>
      </c>
      <c r="GR247">
        <v>-0.0336021</v>
      </c>
      <c r="GS247">
        <v>0</v>
      </c>
      <c r="GT247">
        <v>25.5649</v>
      </c>
      <c r="GU247">
        <v>999.9</v>
      </c>
      <c r="GV247">
        <v>38.3</v>
      </c>
      <c r="GW247">
        <v>34</v>
      </c>
      <c r="GX247">
        <v>22.721</v>
      </c>
      <c r="GY247">
        <v>62.4776</v>
      </c>
      <c r="GZ247">
        <v>35.0481</v>
      </c>
      <c r="HA247">
        <v>1</v>
      </c>
      <c r="HB247">
        <v>0.136273</v>
      </c>
      <c r="HC247">
        <v>2.6957</v>
      </c>
      <c r="HD247">
        <v>20.3126</v>
      </c>
      <c r="HE247">
        <v>5.21669</v>
      </c>
      <c r="HF247">
        <v>12.0099</v>
      </c>
      <c r="HG247">
        <v>4.9884</v>
      </c>
      <c r="HH247">
        <v>3.2885</v>
      </c>
      <c r="HI247">
        <v>857.1</v>
      </c>
      <c r="HJ247">
        <v>8530.700000000001</v>
      </c>
      <c r="HK247">
        <v>5139.4</v>
      </c>
      <c r="HL247">
        <v>22.9</v>
      </c>
      <c r="HM247">
        <v>1.86752</v>
      </c>
      <c r="HN247">
        <v>1.86646</v>
      </c>
      <c r="HO247">
        <v>1.866</v>
      </c>
      <c r="HP247">
        <v>1.86586</v>
      </c>
      <c r="HQ247">
        <v>1.86773</v>
      </c>
      <c r="HR247">
        <v>1.87025</v>
      </c>
      <c r="HS247">
        <v>1.8689</v>
      </c>
      <c r="HT247">
        <v>1.87027</v>
      </c>
      <c r="HU247">
        <v>0</v>
      </c>
      <c r="HV247">
        <v>0</v>
      </c>
      <c r="HW247">
        <v>0</v>
      </c>
      <c r="HX247">
        <v>0</v>
      </c>
      <c r="HY247" t="s">
        <v>421</v>
      </c>
      <c r="HZ247" t="s">
        <v>422</v>
      </c>
      <c r="IA247" t="s">
        <v>423</v>
      </c>
      <c r="IB247" t="s">
        <v>423</v>
      </c>
      <c r="IC247" t="s">
        <v>423</v>
      </c>
      <c r="ID247" t="s">
        <v>423</v>
      </c>
      <c r="IE247">
        <v>0</v>
      </c>
      <c r="IF247">
        <v>100</v>
      </c>
      <c r="IG247">
        <v>100</v>
      </c>
      <c r="IH247">
        <v>-3.12</v>
      </c>
      <c r="II247">
        <v>0</v>
      </c>
      <c r="IJ247">
        <v>-0.4995723906072</v>
      </c>
      <c r="IK247">
        <v>-0.002077099775823331</v>
      </c>
      <c r="IL247">
        <v>4.593143279902166E-07</v>
      </c>
      <c r="IM247">
        <v>-1.865383991892071E-10</v>
      </c>
      <c r="IN247">
        <v>-0.07605349583632376</v>
      </c>
      <c r="IO247">
        <v>-0.01129461987421345</v>
      </c>
      <c r="IP247">
        <v>0.00116580895745559</v>
      </c>
      <c r="IQ247">
        <v>-1.679085872906199E-05</v>
      </c>
      <c r="IR247">
        <v>2</v>
      </c>
      <c r="IS247">
        <v>2290</v>
      </c>
      <c r="IT247">
        <v>0</v>
      </c>
      <c r="IU247">
        <v>32</v>
      </c>
      <c r="IV247">
        <v>12.1</v>
      </c>
      <c r="IW247">
        <v>11.7</v>
      </c>
      <c r="IX247">
        <v>2.91626</v>
      </c>
      <c r="IY247">
        <v>2.19604</v>
      </c>
      <c r="IZ247">
        <v>1.39648</v>
      </c>
      <c r="JA247">
        <v>2.3584</v>
      </c>
      <c r="JB247">
        <v>1.49536</v>
      </c>
      <c r="JC247">
        <v>2.32666</v>
      </c>
      <c r="JD247">
        <v>38.5014</v>
      </c>
      <c r="JE247">
        <v>24.0437</v>
      </c>
      <c r="JF247">
        <v>18</v>
      </c>
      <c r="JG247">
        <v>513.097</v>
      </c>
      <c r="JH247">
        <v>427.415</v>
      </c>
      <c r="JI247">
        <v>22.0628</v>
      </c>
      <c r="JJ247">
        <v>29.0736</v>
      </c>
      <c r="JK247">
        <v>30.0001</v>
      </c>
      <c r="JL247">
        <v>29.0726</v>
      </c>
      <c r="JM247">
        <v>29.0144</v>
      </c>
      <c r="JN247">
        <v>58.3489</v>
      </c>
      <c r="JO247">
        <v>45.7275</v>
      </c>
      <c r="JP247">
        <v>0</v>
      </c>
      <c r="JQ247">
        <v>22.0514</v>
      </c>
      <c r="JR247">
        <v>1531.39</v>
      </c>
      <c r="JS247">
        <v>11.7466</v>
      </c>
      <c r="JT247">
        <v>100.305</v>
      </c>
      <c r="JU247">
        <v>100.217</v>
      </c>
    </row>
    <row r="248" spans="1:281">
      <c r="A248">
        <v>232</v>
      </c>
      <c r="B248">
        <v>1651857747.6</v>
      </c>
      <c r="C248">
        <v>747</v>
      </c>
      <c r="D248" t="s">
        <v>891</v>
      </c>
      <c r="E248" t="s">
        <v>892</v>
      </c>
      <c r="F248">
        <v>2</v>
      </c>
      <c r="G248" t="s">
        <v>413</v>
      </c>
      <c r="H248" t="s">
        <v>414</v>
      </c>
      <c r="I248">
        <v>1651857746.6</v>
      </c>
      <c r="J248">
        <f>(K248)/1000</f>
        <v>0</v>
      </c>
      <c r="K248">
        <f>IF(CZ248, AN248, AH248)</f>
        <v>0</v>
      </c>
      <c r="L248">
        <f>IF(CZ248, AI248, AG248)</f>
        <v>0</v>
      </c>
      <c r="M248">
        <f>DB248 - IF(AU248&gt;1, L248*CV248*100.0/(AW248*DP248), 0)</f>
        <v>0</v>
      </c>
      <c r="N248">
        <f>((T248-J248/2)*M248-L248)/(T248+J248/2)</f>
        <v>0</v>
      </c>
      <c r="O248">
        <f>N248*(DI248+DJ248)/1000.0</f>
        <v>0</v>
      </c>
      <c r="P248">
        <f>(DB248 - IF(AU248&gt;1, L248*CV248*100.0/(AW248*DP248), 0))*(DI248+DJ248)/1000.0</f>
        <v>0</v>
      </c>
      <c r="Q248">
        <f>2.0/((1/S248-1/R248)+SIGN(S248)*SQRT((1/S248-1/R248)*(1/S248-1/R248) + 4*CW248/((CW248+1)*(CW248+1))*(2*1/S248*1/R248-1/R248*1/R248)))</f>
        <v>0</v>
      </c>
      <c r="R248">
        <f>IF(LEFT(CX248,1)&lt;&gt;"0",IF(LEFT(CX248,1)="1",3.0,CY248),$D$5+$E$5*(DP248*DI248/($K$5*1000))+$F$5*(DP248*DI248/($K$5*1000))*MAX(MIN(CV248,$J$5),$I$5)*MAX(MIN(CV248,$J$5),$I$5)+$G$5*MAX(MIN(CV248,$J$5),$I$5)*(DP248*DI248/($K$5*1000))+$H$5*(DP248*DI248/($K$5*1000))*(DP248*DI248/($K$5*1000)))</f>
        <v>0</v>
      </c>
      <c r="S248">
        <f>J248*(1000-(1000*0.61365*exp(17.502*W248/(240.97+W248))/(DI248+DJ248)+DD248)/2)/(1000*0.61365*exp(17.502*W248/(240.97+W248))/(DI248+DJ248)-DD248)</f>
        <v>0</v>
      </c>
      <c r="T248">
        <f>1/((CW248+1)/(Q248/1.6)+1/(R248/1.37)) + CW248/((CW248+1)/(Q248/1.6) + CW248/(R248/1.37))</f>
        <v>0</v>
      </c>
      <c r="U248">
        <f>(CR248*CU248)</f>
        <v>0</v>
      </c>
      <c r="V248">
        <f>(DK248+(U248+2*0.95*5.67E-8*(((DK248+$B$7)+273)^4-(DK248+273)^4)-44100*J248)/(1.84*29.3*R248+8*0.95*5.67E-8*(DK248+273)^3))</f>
        <v>0</v>
      </c>
      <c r="W248">
        <f>($C$7*DL248+$D$7*DM248+$E$7*V248)</f>
        <v>0</v>
      </c>
      <c r="X248">
        <f>0.61365*exp(17.502*W248/(240.97+W248))</f>
        <v>0</v>
      </c>
      <c r="Y248">
        <f>(Z248/AA248*100)</f>
        <v>0</v>
      </c>
      <c r="Z248">
        <f>DD248*(DI248+DJ248)/1000</f>
        <v>0</v>
      </c>
      <c r="AA248">
        <f>0.61365*exp(17.502*DK248/(240.97+DK248))</f>
        <v>0</v>
      </c>
      <c r="AB248">
        <f>(X248-DD248*(DI248+DJ248)/1000)</f>
        <v>0</v>
      </c>
      <c r="AC248">
        <f>(-J248*44100)</f>
        <v>0</v>
      </c>
      <c r="AD248">
        <f>2*29.3*R248*0.92*(DK248-W248)</f>
        <v>0</v>
      </c>
      <c r="AE248">
        <f>2*0.95*5.67E-8*(((DK248+$B$7)+273)^4-(W248+273)^4)</f>
        <v>0</v>
      </c>
      <c r="AF248">
        <f>U248+AE248+AC248+AD248</f>
        <v>0</v>
      </c>
      <c r="AG248">
        <f>DH248*AU248*(DC248-DB248*(1000-AU248*DE248)/(1000-AU248*DD248))/(100*CV248)</f>
        <v>0</v>
      </c>
      <c r="AH248">
        <f>1000*DH248*AU248*(DD248-DE248)/(100*CV248*(1000-AU248*DD248))</f>
        <v>0</v>
      </c>
      <c r="AI248">
        <f>(AJ248 - AK248 - DI248*1E3/(8.314*(DK248+273.15)) * AM248/DH248 * AL248) * DH248/(100*CV248) * (1000 - DE248)/1000</f>
        <v>0</v>
      </c>
      <c r="AJ248">
        <v>1527.977621981263</v>
      </c>
      <c r="AK248">
        <v>1480.445575757575</v>
      </c>
      <c r="AL248">
        <v>3.400611417562709</v>
      </c>
      <c r="AM248">
        <v>66.38384787954378</v>
      </c>
      <c r="AN248">
        <f>(AP248 - AO248 + DI248*1E3/(8.314*(DK248+273.15)) * AR248/DH248 * AQ248) * DH248/(100*CV248) * 1000/(1000 - AP248)</f>
        <v>0</v>
      </c>
      <c r="AO248">
        <v>11.49476170951918</v>
      </c>
      <c r="AP248">
        <v>17.96817705882352</v>
      </c>
      <c r="AQ248">
        <v>-1.168999520680289E-05</v>
      </c>
      <c r="AR248">
        <v>80.44866334591464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MAX(0,($B$13+$C$13*DP248)/(1+$D$13*DP248)*DI248/(DK248+273)*$E$13)</f>
        <v>0</v>
      </c>
      <c r="AX248" t="s">
        <v>417</v>
      </c>
      <c r="AY248" t="s">
        <v>417</v>
      </c>
      <c r="AZ248">
        <v>0</v>
      </c>
      <c r="BA248">
        <v>0</v>
      </c>
      <c r="BB248">
        <f>1-AZ248/BA248</f>
        <v>0</v>
      </c>
      <c r="BC248">
        <v>0</v>
      </c>
      <c r="BD248" t="s">
        <v>417</v>
      </c>
      <c r="BE248" t="s">
        <v>417</v>
      </c>
      <c r="BF248">
        <v>0</v>
      </c>
      <c r="BG248">
        <v>0</v>
      </c>
      <c r="BH248">
        <f>1-BF248/BG248</f>
        <v>0</v>
      </c>
      <c r="BI248">
        <v>0.5</v>
      </c>
      <c r="BJ248">
        <f>CS248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417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1238</v>
      </c>
      <c r="CA248">
        <v>300</v>
      </c>
      <c r="CB248">
        <v>300</v>
      </c>
      <c r="CC248">
        <v>300</v>
      </c>
      <c r="CD248">
        <v>10440.5</v>
      </c>
      <c r="CE248">
        <v>1411.69</v>
      </c>
      <c r="CF248">
        <v>-0.00735121</v>
      </c>
      <c r="CG248">
        <v>-0.77</v>
      </c>
      <c r="CH248" t="s">
        <v>417</v>
      </c>
      <c r="CI248" t="s">
        <v>417</v>
      </c>
      <c r="CJ248" t="s">
        <v>417</v>
      </c>
      <c r="CK248" t="s">
        <v>417</v>
      </c>
      <c r="CL248" t="s">
        <v>417</v>
      </c>
      <c r="CM248" t="s">
        <v>417</v>
      </c>
      <c r="CN248" t="s">
        <v>417</v>
      </c>
      <c r="CO248" t="s">
        <v>417</v>
      </c>
      <c r="CP248" t="s">
        <v>417</v>
      </c>
      <c r="CQ248" t="s">
        <v>417</v>
      </c>
      <c r="CR248">
        <f>$B$11*DQ248+$C$11*DR248+$F$11*EC248*(1-EF248)</f>
        <v>0</v>
      </c>
      <c r="CS248">
        <f>CR248*CT248</f>
        <v>0</v>
      </c>
      <c r="CT248">
        <f>($B$11*$D$9+$C$11*$D$9+$F$11*((EP248+EH248)/MAX(EP248+EH248+EQ248, 0.1)*$I$9+EQ248/MAX(EP248+EH248+EQ248, 0.1)*$J$9))/($B$11+$C$11+$F$11)</f>
        <v>0</v>
      </c>
      <c r="CU248">
        <f>($B$11*$K$9+$C$11*$K$9+$F$11*((EP248+EH248)/MAX(EP248+EH248+EQ248, 0.1)*$P$9+EQ248/MAX(EP248+EH248+EQ248, 0.1)*$Q$9))/($B$11+$C$11+$F$11)</f>
        <v>0</v>
      </c>
      <c r="CV248">
        <v>6</v>
      </c>
      <c r="CW248">
        <v>0.5</v>
      </c>
      <c r="CX248" t="s">
        <v>418</v>
      </c>
      <c r="CY248">
        <v>2</v>
      </c>
      <c r="CZ248" t="b">
        <v>1</v>
      </c>
      <c r="DA248">
        <v>1651857746.6</v>
      </c>
      <c r="DB248">
        <v>1452.17</v>
      </c>
      <c r="DC248">
        <v>1516.226666666667</v>
      </c>
      <c r="DD248">
        <v>17.9685</v>
      </c>
      <c r="DE248">
        <v>11.57826666666667</v>
      </c>
      <c r="DF248">
        <v>1455.296666666666</v>
      </c>
      <c r="DG248">
        <v>17.9685</v>
      </c>
      <c r="DH248">
        <v>500.0353333333334</v>
      </c>
      <c r="DI248">
        <v>90.06773333333332</v>
      </c>
      <c r="DJ248">
        <v>0.09998763333333333</v>
      </c>
      <c r="DK248">
        <v>25.7056</v>
      </c>
      <c r="DL248">
        <v>25.01926666666667</v>
      </c>
      <c r="DM248">
        <v>999.9</v>
      </c>
      <c r="DN248">
        <v>0</v>
      </c>
      <c r="DO248">
        <v>0</v>
      </c>
      <c r="DP248">
        <v>10021.23333333333</v>
      </c>
      <c r="DQ248">
        <v>0</v>
      </c>
      <c r="DR248">
        <v>3.21788</v>
      </c>
      <c r="DS248">
        <v>-64.05623333333334</v>
      </c>
      <c r="DT248">
        <v>1478.743333333334</v>
      </c>
      <c r="DU248">
        <v>1533.986666666667</v>
      </c>
      <c r="DV248">
        <v>6.390243333333333</v>
      </c>
      <c r="DW248">
        <v>1516.226666666667</v>
      </c>
      <c r="DX248">
        <v>11.57826666666667</v>
      </c>
      <c r="DY248">
        <v>1.61838</v>
      </c>
      <c r="DZ248">
        <v>1.042826666666667</v>
      </c>
      <c r="EA248">
        <v>14.13493333333333</v>
      </c>
      <c r="EB248">
        <v>7.528876666666666</v>
      </c>
      <c r="EC248">
        <v>1499.95</v>
      </c>
      <c r="ED248">
        <v>0.9730086666666665</v>
      </c>
      <c r="EE248">
        <v>0.0269913</v>
      </c>
      <c r="EF248">
        <v>0</v>
      </c>
      <c r="EG248">
        <v>925.3013333333333</v>
      </c>
      <c r="EH248">
        <v>5.00097</v>
      </c>
      <c r="EI248">
        <v>13763</v>
      </c>
      <c r="EJ248">
        <v>12491.23333333333</v>
      </c>
      <c r="EK248">
        <v>37.5</v>
      </c>
      <c r="EL248">
        <v>39</v>
      </c>
      <c r="EM248">
        <v>37.875</v>
      </c>
      <c r="EN248">
        <v>38.75</v>
      </c>
      <c r="EO248">
        <v>38.375</v>
      </c>
      <c r="EP248">
        <v>1454.6</v>
      </c>
      <c r="EQ248">
        <v>40.35</v>
      </c>
      <c r="ER248">
        <v>0</v>
      </c>
      <c r="ES248">
        <v>746.4000000953674</v>
      </c>
      <c r="ET248">
        <v>0</v>
      </c>
      <c r="EU248">
        <v>927.80232</v>
      </c>
      <c r="EV248">
        <v>-23.55830765289716</v>
      </c>
      <c r="EW248">
        <v>-335.4307686860363</v>
      </c>
      <c r="EX248">
        <v>13798.972</v>
      </c>
      <c r="EY248">
        <v>15</v>
      </c>
      <c r="EZ248">
        <v>1651857041.1</v>
      </c>
      <c r="FA248" t="s">
        <v>419</v>
      </c>
      <c r="FB248">
        <v>1651857019.6</v>
      </c>
      <c r="FC248">
        <v>1651857041.1</v>
      </c>
      <c r="FD248">
        <v>1</v>
      </c>
      <c r="FE248">
        <v>0.545</v>
      </c>
      <c r="FF248">
        <v>-0.002</v>
      </c>
      <c r="FG248">
        <v>-1.271</v>
      </c>
      <c r="FH248">
        <v>-0.09</v>
      </c>
      <c r="FI248">
        <v>400</v>
      </c>
      <c r="FJ248">
        <v>10</v>
      </c>
      <c r="FK248">
        <v>0.1</v>
      </c>
      <c r="FL248">
        <v>0.02</v>
      </c>
      <c r="FM248">
        <v>-64.07044</v>
      </c>
      <c r="FN248">
        <v>0.06221313320825411</v>
      </c>
      <c r="FO248">
        <v>0.1462141627886972</v>
      </c>
      <c r="FP248">
        <v>-1</v>
      </c>
      <c r="FQ248">
        <v>6.638479999999999</v>
      </c>
      <c r="FR248">
        <v>-1.647763677298338</v>
      </c>
      <c r="FS248">
        <v>0.1586200415300664</v>
      </c>
      <c r="FT248">
        <v>-1</v>
      </c>
      <c r="FU248">
        <v>0</v>
      </c>
      <c r="FV248">
        <v>0</v>
      </c>
      <c r="FW248">
        <v>0</v>
      </c>
      <c r="FX248">
        <v>-1</v>
      </c>
      <c r="FY248">
        <v>0</v>
      </c>
      <c r="FZ248">
        <v>0</v>
      </c>
      <c r="GA248" t="s">
        <v>432</v>
      </c>
      <c r="GB248">
        <v>2.98007</v>
      </c>
      <c r="GC248">
        <v>2.70633</v>
      </c>
      <c r="GD248">
        <v>0.216462</v>
      </c>
      <c r="GE248">
        <v>0.219686</v>
      </c>
      <c r="GF248">
        <v>0.0864424</v>
      </c>
      <c r="GG248">
        <v>0.0619395</v>
      </c>
      <c r="GH248">
        <v>24722.4</v>
      </c>
      <c r="GI248">
        <v>24674.5</v>
      </c>
      <c r="GJ248">
        <v>29343.2</v>
      </c>
      <c r="GK248">
        <v>29256.8</v>
      </c>
      <c r="GL248">
        <v>35501.7</v>
      </c>
      <c r="GM248">
        <v>36551.6</v>
      </c>
      <c r="GN248">
        <v>41305.2</v>
      </c>
      <c r="GO248">
        <v>41754</v>
      </c>
      <c r="GP248">
        <v>1.953</v>
      </c>
      <c r="GQ248">
        <v>1.84207</v>
      </c>
      <c r="GR248">
        <v>-0.0330359</v>
      </c>
      <c r="GS248">
        <v>0</v>
      </c>
      <c r="GT248">
        <v>25.5649</v>
      </c>
      <c r="GU248">
        <v>999.9</v>
      </c>
      <c r="GV248">
        <v>38.3</v>
      </c>
      <c r="GW248">
        <v>34</v>
      </c>
      <c r="GX248">
        <v>22.7225</v>
      </c>
      <c r="GY248">
        <v>62.1576</v>
      </c>
      <c r="GZ248">
        <v>35.3886</v>
      </c>
      <c r="HA248">
        <v>1</v>
      </c>
      <c r="HB248">
        <v>0.136509</v>
      </c>
      <c r="HC248">
        <v>2.69651</v>
      </c>
      <c r="HD248">
        <v>20.3128</v>
      </c>
      <c r="HE248">
        <v>5.21669</v>
      </c>
      <c r="HF248">
        <v>12.0099</v>
      </c>
      <c r="HG248">
        <v>4.9884</v>
      </c>
      <c r="HH248">
        <v>3.2885</v>
      </c>
      <c r="HI248">
        <v>857.1</v>
      </c>
      <c r="HJ248">
        <v>8530.700000000001</v>
      </c>
      <c r="HK248">
        <v>5139.4</v>
      </c>
      <c r="HL248">
        <v>22.9</v>
      </c>
      <c r="HM248">
        <v>1.86752</v>
      </c>
      <c r="HN248">
        <v>1.86647</v>
      </c>
      <c r="HO248">
        <v>1.866</v>
      </c>
      <c r="HP248">
        <v>1.86587</v>
      </c>
      <c r="HQ248">
        <v>1.86773</v>
      </c>
      <c r="HR248">
        <v>1.87025</v>
      </c>
      <c r="HS248">
        <v>1.8689</v>
      </c>
      <c r="HT248">
        <v>1.87026</v>
      </c>
      <c r="HU248">
        <v>0</v>
      </c>
      <c r="HV248">
        <v>0</v>
      </c>
      <c r="HW248">
        <v>0</v>
      </c>
      <c r="HX248">
        <v>0</v>
      </c>
      <c r="HY248" t="s">
        <v>421</v>
      </c>
      <c r="HZ248" t="s">
        <v>422</v>
      </c>
      <c r="IA248" t="s">
        <v>423</v>
      </c>
      <c r="IB248" t="s">
        <v>423</v>
      </c>
      <c r="IC248" t="s">
        <v>423</v>
      </c>
      <c r="ID248" t="s">
        <v>423</v>
      </c>
      <c r="IE248">
        <v>0</v>
      </c>
      <c r="IF248">
        <v>100</v>
      </c>
      <c r="IG248">
        <v>100</v>
      </c>
      <c r="IH248">
        <v>-3.13</v>
      </c>
      <c r="II248">
        <v>0</v>
      </c>
      <c r="IJ248">
        <v>-0.4995723906072</v>
      </c>
      <c r="IK248">
        <v>-0.002077099775823331</v>
      </c>
      <c r="IL248">
        <v>4.593143279902166E-07</v>
      </c>
      <c r="IM248">
        <v>-1.865383991892071E-10</v>
      </c>
      <c r="IN248">
        <v>-0.07605349583632376</v>
      </c>
      <c r="IO248">
        <v>-0.01129461987421345</v>
      </c>
      <c r="IP248">
        <v>0.00116580895745559</v>
      </c>
      <c r="IQ248">
        <v>-1.679085872906199E-05</v>
      </c>
      <c r="IR248">
        <v>2</v>
      </c>
      <c r="IS248">
        <v>2290</v>
      </c>
      <c r="IT248">
        <v>0</v>
      </c>
      <c r="IU248">
        <v>32</v>
      </c>
      <c r="IV248">
        <v>12.1</v>
      </c>
      <c r="IW248">
        <v>11.8</v>
      </c>
      <c r="IX248">
        <v>2.92725</v>
      </c>
      <c r="IY248">
        <v>2.20093</v>
      </c>
      <c r="IZ248">
        <v>1.39648</v>
      </c>
      <c r="JA248">
        <v>2.35962</v>
      </c>
      <c r="JB248">
        <v>1.49536</v>
      </c>
      <c r="JC248">
        <v>2.32666</v>
      </c>
      <c r="JD248">
        <v>38.5014</v>
      </c>
      <c r="JE248">
        <v>24.035</v>
      </c>
      <c r="JF248">
        <v>18</v>
      </c>
      <c r="JG248">
        <v>513.146</v>
      </c>
      <c r="JH248">
        <v>427.249</v>
      </c>
      <c r="JI248">
        <v>22.0538</v>
      </c>
      <c r="JJ248">
        <v>29.0729</v>
      </c>
      <c r="JK248">
        <v>30.0002</v>
      </c>
      <c r="JL248">
        <v>29.0726</v>
      </c>
      <c r="JM248">
        <v>29.0144</v>
      </c>
      <c r="JN248">
        <v>58.5572</v>
      </c>
      <c r="JO248">
        <v>45.4468</v>
      </c>
      <c r="JP248">
        <v>0</v>
      </c>
      <c r="JQ248">
        <v>22.0514</v>
      </c>
      <c r="JR248">
        <v>1538.07</v>
      </c>
      <c r="JS248">
        <v>11.8074</v>
      </c>
      <c r="JT248">
        <v>100.306</v>
      </c>
      <c r="JU248">
        <v>100.217</v>
      </c>
    </row>
    <row r="249" spans="1:281">
      <c r="A249">
        <v>233</v>
      </c>
      <c r="B249">
        <v>1651857749.6</v>
      </c>
      <c r="C249">
        <v>749</v>
      </c>
      <c r="D249" t="s">
        <v>893</v>
      </c>
      <c r="E249" t="s">
        <v>894</v>
      </c>
      <c r="F249">
        <v>2</v>
      </c>
      <c r="G249" t="s">
        <v>413</v>
      </c>
      <c r="H249" t="s">
        <v>414</v>
      </c>
      <c r="I249">
        <v>1651857748.225</v>
      </c>
      <c r="J249">
        <f>(K249)/1000</f>
        <v>0</v>
      </c>
      <c r="K249">
        <f>IF(CZ249, AN249, AH249)</f>
        <v>0</v>
      </c>
      <c r="L249">
        <f>IF(CZ249, AI249, AG249)</f>
        <v>0</v>
      </c>
      <c r="M249">
        <f>DB249 - IF(AU249&gt;1, L249*CV249*100.0/(AW249*DP249), 0)</f>
        <v>0</v>
      </c>
      <c r="N249">
        <f>((T249-J249/2)*M249-L249)/(T249+J249/2)</f>
        <v>0</v>
      </c>
      <c r="O249">
        <f>N249*(DI249+DJ249)/1000.0</f>
        <v>0</v>
      </c>
      <c r="P249">
        <f>(DB249 - IF(AU249&gt;1, L249*CV249*100.0/(AW249*DP249), 0))*(DI249+DJ249)/1000.0</f>
        <v>0</v>
      </c>
      <c r="Q249">
        <f>2.0/((1/S249-1/R249)+SIGN(S249)*SQRT((1/S249-1/R249)*(1/S249-1/R249) + 4*CW249/((CW249+1)*(CW249+1))*(2*1/S249*1/R249-1/R249*1/R249)))</f>
        <v>0</v>
      </c>
      <c r="R249">
        <f>IF(LEFT(CX249,1)&lt;&gt;"0",IF(LEFT(CX249,1)="1",3.0,CY249),$D$5+$E$5*(DP249*DI249/($K$5*1000))+$F$5*(DP249*DI249/($K$5*1000))*MAX(MIN(CV249,$J$5),$I$5)*MAX(MIN(CV249,$J$5),$I$5)+$G$5*MAX(MIN(CV249,$J$5),$I$5)*(DP249*DI249/($K$5*1000))+$H$5*(DP249*DI249/($K$5*1000))*(DP249*DI249/($K$5*1000)))</f>
        <v>0</v>
      </c>
      <c r="S249">
        <f>J249*(1000-(1000*0.61365*exp(17.502*W249/(240.97+W249))/(DI249+DJ249)+DD249)/2)/(1000*0.61365*exp(17.502*W249/(240.97+W249))/(DI249+DJ249)-DD249)</f>
        <v>0</v>
      </c>
      <c r="T249">
        <f>1/((CW249+1)/(Q249/1.6)+1/(R249/1.37)) + CW249/((CW249+1)/(Q249/1.6) + CW249/(R249/1.37))</f>
        <v>0</v>
      </c>
      <c r="U249">
        <f>(CR249*CU249)</f>
        <v>0</v>
      </c>
      <c r="V249">
        <f>(DK249+(U249+2*0.95*5.67E-8*(((DK249+$B$7)+273)^4-(DK249+273)^4)-44100*J249)/(1.84*29.3*R249+8*0.95*5.67E-8*(DK249+273)^3))</f>
        <v>0</v>
      </c>
      <c r="W249">
        <f>($C$7*DL249+$D$7*DM249+$E$7*V249)</f>
        <v>0</v>
      </c>
      <c r="X249">
        <f>0.61365*exp(17.502*W249/(240.97+W249))</f>
        <v>0</v>
      </c>
      <c r="Y249">
        <f>(Z249/AA249*100)</f>
        <v>0</v>
      </c>
      <c r="Z249">
        <f>DD249*(DI249+DJ249)/1000</f>
        <v>0</v>
      </c>
      <c r="AA249">
        <f>0.61365*exp(17.502*DK249/(240.97+DK249))</f>
        <v>0</v>
      </c>
      <c r="AB249">
        <f>(X249-DD249*(DI249+DJ249)/1000)</f>
        <v>0</v>
      </c>
      <c r="AC249">
        <f>(-J249*44100)</f>
        <v>0</v>
      </c>
      <c r="AD249">
        <f>2*29.3*R249*0.92*(DK249-W249)</f>
        <v>0</v>
      </c>
      <c r="AE249">
        <f>2*0.95*5.67E-8*(((DK249+$B$7)+273)^4-(W249+273)^4)</f>
        <v>0</v>
      </c>
      <c r="AF249">
        <f>U249+AE249+AC249+AD249</f>
        <v>0</v>
      </c>
      <c r="AG249">
        <f>DH249*AU249*(DC249-DB249*(1000-AU249*DE249)/(1000-AU249*DD249))/(100*CV249)</f>
        <v>0</v>
      </c>
      <c r="AH249">
        <f>1000*DH249*AU249*(DD249-DE249)/(100*CV249*(1000-AU249*DD249))</f>
        <v>0</v>
      </c>
      <c r="AI249">
        <f>(AJ249 - AK249 - DI249*1E3/(8.314*(DK249+273.15)) * AM249/DH249 * AL249) * DH249/(100*CV249) * (1000 - DE249)/1000</f>
        <v>0</v>
      </c>
      <c r="AJ249">
        <v>1534.736009855865</v>
      </c>
      <c r="AK249">
        <v>1487.178787878787</v>
      </c>
      <c r="AL249">
        <v>3.380957643816864</v>
      </c>
      <c r="AM249">
        <v>66.38384787954378</v>
      </c>
      <c r="AN249">
        <f>(AP249 - AO249 + DI249*1E3/(8.314*(DK249+273.15)) * AR249/DH249 * AQ249) * DH249/(100*CV249) * 1000/(1000 - AP249)</f>
        <v>0</v>
      </c>
      <c r="AO249">
        <v>11.54126572457509</v>
      </c>
      <c r="AP249">
        <v>17.96720205882353</v>
      </c>
      <c r="AQ249">
        <v>-3.760156899972065E-05</v>
      </c>
      <c r="AR249">
        <v>80.44866334591464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MAX(0,($B$13+$C$13*DP249)/(1+$D$13*DP249)*DI249/(DK249+273)*$E$13)</f>
        <v>0</v>
      </c>
      <c r="AX249" t="s">
        <v>417</v>
      </c>
      <c r="AY249" t="s">
        <v>417</v>
      </c>
      <c r="AZ249">
        <v>0</v>
      </c>
      <c r="BA249">
        <v>0</v>
      </c>
      <c r="BB249">
        <f>1-AZ249/BA249</f>
        <v>0</v>
      </c>
      <c r="BC249">
        <v>0</v>
      </c>
      <c r="BD249" t="s">
        <v>417</v>
      </c>
      <c r="BE249" t="s">
        <v>417</v>
      </c>
      <c r="BF249">
        <v>0</v>
      </c>
      <c r="BG249">
        <v>0</v>
      </c>
      <c r="BH249">
        <f>1-BF249/BG249</f>
        <v>0</v>
      </c>
      <c r="BI249">
        <v>0.5</v>
      </c>
      <c r="BJ249">
        <f>CS249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417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1238</v>
      </c>
      <c r="CA249">
        <v>300</v>
      </c>
      <c r="CB249">
        <v>300</v>
      </c>
      <c r="CC249">
        <v>300</v>
      </c>
      <c r="CD249">
        <v>10440.5</v>
      </c>
      <c r="CE249">
        <v>1411.69</v>
      </c>
      <c r="CF249">
        <v>-0.00735121</v>
      </c>
      <c r="CG249">
        <v>-0.77</v>
      </c>
      <c r="CH249" t="s">
        <v>417</v>
      </c>
      <c r="CI249" t="s">
        <v>417</v>
      </c>
      <c r="CJ249" t="s">
        <v>417</v>
      </c>
      <c r="CK249" t="s">
        <v>417</v>
      </c>
      <c r="CL249" t="s">
        <v>417</v>
      </c>
      <c r="CM249" t="s">
        <v>417</v>
      </c>
      <c r="CN249" t="s">
        <v>417</v>
      </c>
      <c r="CO249" t="s">
        <v>417</v>
      </c>
      <c r="CP249" t="s">
        <v>417</v>
      </c>
      <c r="CQ249" t="s">
        <v>417</v>
      </c>
      <c r="CR249">
        <f>$B$11*DQ249+$C$11*DR249+$F$11*EC249*(1-EF249)</f>
        <v>0</v>
      </c>
      <c r="CS249">
        <f>CR249*CT249</f>
        <v>0</v>
      </c>
      <c r="CT249">
        <f>($B$11*$D$9+$C$11*$D$9+$F$11*((EP249+EH249)/MAX(EP249+EH249+EQ249, 0.1)*$I$9+EQ249/MAX(EP249+EH249+EQ249, 0.1)*$J$9))/($B$11+$C$11+$F$11)</f>
        <v>0</v>
      </c>
      <c r="CU249">
        <f>($B$11*$K$9+$C$11*$K$9+$F$11*((EP249+EH249)/MAX(EP249+EH249+EQ249, 0.1)*$P$9+EQ249/MAX(EP249+EH249+EQ249, 0.1)*$Q$9))/($B$11+$C$11+$F$11)</f>
        <v>0</v>
      </c>
      <c r="CV249">
        <v>6</v>
      </c>
      <c r="CW249">
        <v>0.5</v>
      </c>
      <c r="CX249" t="s">
        <v>418</v>
      </c>
      <c r="CY249">
        <v>2</v>
      </c>
      <c r="CZ249" t="b">
        <v>1</v>
      </c>
      <c r="DA249">
        <v>1651857748.225</v>
      </c>
      <c r="DB249">
        <v>1457.5675</v>
      </c>
      <c r="DC249">
        <v>1521.6325</v>
      </c>
      <c r="DD249">
        <v>17.967675</v>
      </c>
      <c r="DE249">
        <v>11.627975</v>
      </c>
      <c r="DF249">
        <v>1460.705</v>
      </c>
      <c r="DG249">
        <v>17.967725</v>
      </c>
      <c r="DH249">
        <v>500.0595</v>
      </c>
      <c r="DI249">
        <v>90.06827500000001</v>
      </c>
      <c r="DJ249">
        <v>0.100136975</v>
      </c>
      <c r="DK249">
        <v>25.704375</v>
      </c>
      <c r="DL249">
        <v>25.0232</v>
      </c>
      <c r="DM249">
        <v>999.9</v>
      </c>
      <c r="DN249">
        <v>0</v>
      </c>
      <c r="DO249">
        <v>0</v>
      </c>
      <c r="DP249">
        <v>9998.434999999999</v>
      </c>
      <c r="DQ249">
        <v>0</v>
      </c>
      <c r="DR249">
        <v>3.2196375</v>
      </c>
      <c r="DS249">
        <v>-64.06337499999999</v>
      </c>
      <c r="DT249">
        <v>1484.2375</v>
      </c>
      <c r="DU249">
        <v>1539.535</v>
      </c>
      <c r="DV249">
        <v>6.339734999999999</v>
      </c>
      <c r="DW249">
        <v>1521.6325</v>
      </c>
      <c r="DX249">
        <v>11.627975</v>
      </c>
      <c r="DY249">
        <v>1.6183175</v>
      </c>
      <c r="DZ249">
        <v>1.04731</v>
      </c>
      <c r="EA249">
        <v>14.134375</v>
      </c>
      <c r="EB249">
        <v>7.5916875</v>
      </c>
      <c r="EC249">
        <v>1499.9925</v>
      </c>
      <c r="ED249">
        <v>0.9730094999999999</v>
      </c>
      <c r="EE249">
        <v>0.0269904</v>
      </c>
      <c r="EF249">
        <v>0</v>
      </c>
      <c r="EG249">
        <v>924.8104999999999</v>
      </c>
      <c r="EH249">
        <v>5.00097</v>
      </c>
      <c r="EI249">
        <v>13754.825</v>
      </c>
      <c r="EJ249">
        <v>12491.6</v>
      </c>
      <c r="EK249">
        <v>37.5</v>
      </c>
      <c r="EL249">
        <v>39</v>
      </c>
      <c r="EM249">
        <v>37.875</v>
      </c>
      <c r="EN249">
        <v>38.75</v>
      </c>
      <c r="EO249">
        <v>38.3435</v>
      </c>
      <c r="EP249">
        <v>1454.6425</v>
      </c>
      <c r="EQ249">
        <v>40.35</v>
      </c>
      <c r="ER249">
        <v>0</v>
      </c>
      <c r="ES249">
        <v>748.8000001907349</v>
      </c>
      <c r="ET249">
        <v>0</v>
      </c>
      <c r="EU249">
        <v>926.8554799999999</v>
      </c>
      <c r="EV249">
        <v>-22.95784611569733</v>
      </c>
      <c r="EW249">
        <v>-334.9230764170644</v>
      </c>
      <c r="EX249">
        <v>13785.612</v>
      </c>
      <c r="EY249">
        <v>15</v>
      </c>
      <c r="EZ249">
        <v>1651857041.1</v>
      </c>
      <c r="FA249" t="s">
        <v>419</v>
      </c>
      <c r="FB249">
        <v>1651857019.6</v>
      </c>
      <c r="FC249">
        <v>1651857041.1</v>
      </c>
      <c r="FD249">
        <v>1</v>
      </c>
      <c r="FE249">
        <v>0.545</v>
      </c>
      <c r="FF249">
        <v>-0.002</v>
      </c>
      <c r="FG249">
        <v>-1.271</v>
      </c>
      <c r="FH249">
        <v>-0.09</v>
      </c>
      <c r="FI249">
        <v>400</v>
      </c>
      <c r="FJ249">
        <v>10</v>
      </c>
      <c r="FK249">
        <v>0.1</v>
      </c>
      <c r="FL249">
        <v>0.02</v>
      </c>
      <c r="FM249">
        <v>-64.07213414634147</v>
      </c>
      <c r="FN249">
        <v>0.2557442508711009</v>
      </c>
      <c r="FO249">
        <v>0.1430409588446531</v>
      </c>
      <c r="FP249">
        <v>-1</v>
      </c>
      <c r="FQ249">
        <v>6.603659268292684</v>
      </c>
      <c r="FR249">
        <v>-1.635830592334496</v>
      </c>
      <c r="FS249">
        <v>0.1613777619308375</v>
      </c>
      <c r="FT249">
        <v>-1</v>
      </c>
      <c r="FU249">
        <v>0</v>
      </c>
      <c r="FV249">
        <v>0</v>
      </c>
      <c r="FW249">
        <v>0</v>
      </c>
      <c r="FX249">
        <v>-1</v>
      </c>
      <c r="FY249">
        <v>0</v>
      </c>
      <c r="FZ249">
        <v>0</v>
      </c>
      <c r="GA249" t="s">
        <v>432</v>
      </c>
      <c r="GB249">
        <v>2.97995</v>
      </c>
      <c r="GC249">
        <v>2.70623</v>
      </c>
      <c r="GD249">
        <v>0.217063</v>
      </c>
      <c r="GE249">
        <v>0.220286</v>
      </c>
      <c r="GF249">
        <v>0.08643969999999999</v>
      </c>
      <c r="GG249">
        <v>0.0622003</v>
      </c>
      <c r="GH249">
        <v>24703.4</v>
      </c>
      <c r="GI249">
        <v>24655.5</v>
      </c>
      <c r="GJ249">
        <v>29343.2</v>
      </c>
      <c r="GK249">
        <v>29256.8</v>
      </c>
      <c r="GL249">
        <v>35501.7</v>
      </c>
      <c r="GM249">
        <v>36541.4</v>
      </c>
      <c r="GN249">
        <v>41305.1</v>
      </c>
      <c r="GO249">
        <v>41754</v>
      </c>
      <c r="GP249">
        <v>1.95305</v>
      </c>
      <c r="GQ249">
        <v>1.84207</v>
      </c>
      <c r="GR249">
        <v>-0.0330359</v>
      </c>
      <c r="GS249">
        <v>0</v>
      </c>
      <c r="GT249">
        <v>25.5649</v>
      </c>
      <c r="GU249">
        <v>999.9</v>
      </c>
      <c r="GV249">
        <v>38.3</v>
      </c>
      <c r="GW249">
        <v>34</v>
      </c>
      <c r="GX249">
        <v>22.7204</v>
      </c>
      <c r="GY249">
        <v>62.4676</v>
      </c>
      <c r="GZ249">
        <v>35.3085</v>
      </c>
      <c r="HA249">
        <v>1</v>
      </c>
      <c r="HB249">
        <v>0.136499</v>
      </c>
      <c r="HC249">
        <v>2.69042</v>
      </c>
      <c r="HD249">
        <v>20.3128</v>
      </c>
      <c r="HE249">
        <v>5.21729</v>
      </c>
      <c r="HF249">
        <v>12.0099</v>
      </c>
      <c r="HG249">
        <v>4.98875</v>
      </c>
      <c r="HH249">
        <v>3.2885</v>
      </c>
      <c r="HI249">
        <v>857.1</v>
      </c>
      <c r="HJ249">
        <v>8530.700000000001</v>
      </c>
      <c r="HK249">
        <v>5139.4</v>
      </c>
      <c r="HL249">
        <v>22.9</v>
      </c>
      <c r="HM249">
        <v>1.86752</v>
      </c>
      <c r="HN249">
        <v>1.86647</v>
      </c>
      <c r="HO249">
        <v>1.866</v>
      </c>
      <c r="HP249">
        <v>1.86587</v>
      </c>
      <c r="HQ249">
        <v>1.86774</v>
      </c>
      <c r="HR249">
        <v>1.87026</v>
      </c>
      <c r="HS249">
        <v>1.8689</v>
      </c>
      <c r="HT249">
        <v>1.87027</v>
      </c>
      <c r="HU249">
        <v>0</v>
      </c>
      <c r="HV249">
        <v>0</v>
      </c>
      <c r="HW249">
        <v>0</v>
      </c>
      <c r="HX249">
        <v>0</v>
      </c>
      <c r="HY249" t="s">
        <v>421</v>
      </c>
      <c r="HZ249" t="s">
        <v>422</v>
      </c>
      <c r="IA249" t="s">
        <v>423</v>
      </c>
      <c r="IB249" t="s">
        <v>423</v>
      </c>
      <c r="IC249" t="s">
        <v>423</v>
      </c>
      <c r="ID249" t="s">
        <v>423</v>
      </c>
      <c r="IE249">
        <v>0</v>
      </c>
      <c r="IF249">
        <v>100</v>
      </c>
      <c r="IG249">
        <v>100</v>
      </c>
      <c r="IH249">
        <v>-3.14</v>
      </c>
      <c r="II249">
        <v>0</v>
      </c>
      <c r="IJ249">
        <v>-0.4995723906072</v>
      </c>
      <c r="IK249">
        <v>-0.002077099775823331</v>
      </c>
      <c r="IL249">
        <v>4.593143279902166E-07</v>
      </c>
      <c r="IM249">
        <v>-1.865383991892071E-10</v>
      </c>
      <c r="IN249">
        <v>-0.07605349583632376</v>
      </c>
      <c r="IO249">
        <v>-0.01129461987421345</v>
      </c>
      <c r="IP249">
        <v>0.00116580895745559</v>
      </c>
      <c r="IQ249">
        <v>-1.679085872906199E-05</v>
      </c>
      <c r="IR249">
        <v>2</v>
      </c>
      <c r="IS249">
        <v>2290</v>
      </c>
      <c r="IT249">
        <v>0</v>
      </c>
      <c r="IU249">
        <v>32</v>
      </c>
      <c r="IV249">
        <v>12.2</v>
      </c>
      <c r="IW249">
        <v>11.8</v>
      </c>
      <c r="IX249">
        <v>2.93701</v>
      </c>
      <c r="IY249">
        <v>2.1936</v>
      </c>
      <c r="IZ249">
        <v>1.39648</v>
      </c>
      <c r="JA249">
        <v>2.35962</v>
      </c>
      <c r="JB249">
        <v>1.49536</v>
      </c>
      <c r="JC249">
        <v>2.37427</v>
      </c>
      <c r="JD249">
        <v>38.5014</v>
      </c>
      <c r="JE249">
        <v>24.0437</v>
      </c>
      <c r="JF249">
        <v>18</v>
      </c>
      <c r="JG249">
        <v>513.179</v>
      </c>
      <c r="JH249">
        <v>427.249</v>
      </c>
      <c r="JI249">
        <v>22.046</v>
      </c>
      <c r="JJ249">
        <v>29.0716</v>
      </c>
      <c r="JK249">
        <v>30.0001</v>
      </c>
      <c r="JL249">
        <v>29.0726</v>
      </c>
      <c r="JM249">
        <v>29.0144</v>
      </c>
      <c r="JN249">
        <v>58.7538</v>
      </c>
      <c r="JO249">
        <v>45.4468</v>
      </c>
      <c r="JP249">
        <v>0</v>
      </c>
      <c r="JQ249">
        <v>22.0345</v>
      </c>
      <c r="JR249">
        <v>1544.75</v>
      </c>
      <c r="JS249">
        <v>11.8584</v>
      </c>
      <c r="JT249">
        <v>100.306</v>
      </c>
      <c r="JU249">
        <v>100.217</v>
      </c>
    </row>
    <row r="250" spans="1:281">
      <c r="A250">
        <v>234</v>
      </c>
      <c r="B250">
        <v>1651857751.6</v>
      </c>
      <c r="C250">
        <v>751</v>
      </c>
      <c r="D250" t="s">
        <v>895</v>
      </c>
      <c r="E250" t="s">
        <v>896</v>
      </c>
      <c r="F250">
        <v>2</v>
      </c>
      <c r="G250" t="s">
        <v>413</v>
      </c>
      <c r="H250" t="s">
        <v>414</v>
      </c>
      <c r="I250">
        <v>1651857750.6</v>
      </c>
      <c r="J250">
        <f>(K250)/1000</f>
        <v>0</v>
      </c>
      <c r="K250">
        <f>IF(CZ250, AN250, AH250)</f>
        <v>0</v>
      </c>
      <c r="L250">
        <f>IF(CZ250, AI250, AG250)</f>
        <v>0</v>
      </c>
      <c r="M250">
        <f>DB250 - IF(AU250&gt;1, L250*CV250*100.0/(AW250*DP250), 0)</f>
        <v>0</v>
      </c>
      <c r="N250">
        <f>((T250-J250/2)*M250-L250)/(T250+J250/2)</f>
        <v>0</v>
      </c>
      <c r="O250">
        <f>N250*(DI250+DJ250)/1000.0</f>
        <v>0</v>
      </c>
      <c r="P250">
        <f>(DB250 - IF(AU250&gt;1, L250*CV250*100.0/(AW250*DP250), 0))*(DI250+DJ250)/1000.0</f>
        <v>0</v>
      </c>
      <c r="Q250">
        <f>2.0/((1/S250-1/R250)+SIGN(S250)*SQRT((1/S250-1/R250)*(1/S250-1/R250) + 4*CW250/((CW250+1)*(CW250+1))*(2*1/S250*1/R250-1/R250*1/R250)))</f>
        <v>0</v>
      </c>
      <c r="R250">
        <f>IF(LEFT(CX250,1)&lt;&gt;"0",IF(LEFT(CX250,1)="1",3.0,CY250),$D$5+$E$5*(DP250*DI250/($K$5*1000))+$F$5*(DP250*DI250/($K$5*1000))*MAX(MIN(CV250,$J$5),$I$5)*MAX(MIN(CV250,$J$5),$I$5)+$G$5*MAX(MIN(CV250,$J$5),$I$5)*(DP250*DI250/($K$5*1000))+$H$5*(DP250*DI250/($K$5*1000))*(DP250*DI250/($K$5*1000)))</f>
        <v>0</v>
      </c>
      <c r="S250">
        <f>J250*(1000-(1000*0.61365*exp(17.502*W250/(240.97+W250))/(DI250+DJ250)+DD250)/2)/(1000*0.61365*exp(17.502*W250/(240.97+W250))/(DI250+DJ250)-DD250)</f>
        <v>0</v>
      </c>
      <c r="T250">
        <f>1/((CW250+1)/(Q250/1.6)+1/(R250/1.37)) + CW250/((CW250+1)/(Q250/1.6) + CW250/(R250/1.37))</f>
        <v>0</v>
      </c>
      <c r="U250">
        <f>(CR250*CU250)</f>
        <v>0</v>
      </c>
      <c r="V250">
        <f>(DK250+(U250+2*0.95*5.67E-8*(((DK250+$B$7)+273)^4-(DK250+273)^4)-44100*J250)/(1.84*29.3*R250+8*0.95*5.67E-8*(DK250+273)^3))</f>
        <v>0</v>
      </c>
      <c r="W250">
        <f>($C$7*DL250+$D$7*DM250+$E$7*V250)</f>
        <v>0</v>
      </c>
      <c r="X250">
        <f>0.61365*exp(17.502*W250/(240.97+W250))</f>
        <v>0</v>
      </c>
      <c r="Y250">
        <f>(Z250/AA250*100)</f>
        <v>0</v>
      </c>
      <c r="Z250">
        <f>DD250*(DI250+DJ250)/1000</f>
        <v>0</v>
      </c>
      <c r="AA250">
        <f>0.61365*exp(17.502*DK250/(240.97+DK250))</f>
        <v>0</v>
      </c>
      <c r="AB250">
        <f>(X250-DD250*(DI250+DJ250)/1000)</f>
        <v>0</v>
      </c>
      <c r="AC250">
        <f>(-J250*44100)</f>
        <v>0</v>
      </c>
      <c r="AD250">
        <f>2*29.3*R250*0.92*(DK250-W250)</f>
        <v>0</v>
      </c>
      <c r="AE250">
        <f>2*0.95*5.67E-8*(((DK250+$B$7)+273)^4-(W250+273)^4)</f>
        <v>0</v>
      </c>
      <c r="AF250">
        <f>U250+AE250+AC250+AD250</f>
        <v>0</v>
      </c>
      <c r="AG250">
        <f>DH250*AU250*(DC250-DB250*(1000-AU250*DE250)/(1000-AU250*DD250))/(100*CV250)</f>
        <v>0</v>
      </c>
      <c r="AH250">
        <f>1000*DH250*AU250*(DD250-DE250)/(100*CV250*(1000-AU250*DD250))</f>
        <v>0</v>
      </c>
      <c r="AI250">
        <f>(AJ250 - AK250 - DI250*1E3/(8.314*(DK250+273.15)) * AM250/DH250 * AL250) * DH250/(100*CV250) * (1000 - DE250)/1000</f>
        <v>0</v>
      </c>
      <c r="AJ250">
        <v>1541.619810099658</v>
      </c>
      <c r="AK250">
        <v>1493.946484848485</v>
      </c>
      <c r="AL250">
        <v>3.376546892987352</v>
      </c>
      <c r="AM250">
        <v>66.38384787954378</v>
      </c>
      <c r="AN250">
        <f>(AP250 - AO250 + DI250*1E3/(8.314*(DK250+273.15)) * AR250/DH250 * AQ250) * DH250/(100*CV250) * 1000/(1000 - AP250)</f>
        <v>0</v>
      </c>
      <c r="AO250">
        <v>11.59360691574631</v>
      </c>
      <c r="AP250">
        <v>17.96869823529411</v>
      </c>
      <c r="AQ250">
        <v>-9.743743012211743E-05</v>
      </c>
      <c r="AR250">
        <v>80.44866334591464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MAX(0,($B$13+$C$13*DP250)/(1+$D$13*DP250)*DI250/(DK250+273)*$E$13)</f>
        <v>0</v>
      </c>
      <c r="AX250" t="s">
        <v>417</v>
      </c>
      <c r="AY250" t="s">
        <v>417</v>
      </c>
      <c r="AZ250">
        <v>0</v>
      </c>
      <c r="BA250">
        <v>0</v>
      </c>
      <c r="BB250">
        <f>1-AZ250/BA250</f>
        <v>0</v>
      </c>
      <c r="BC250">
        <v>0</v>
      </c>
      <c r="BD250" t="s">
        <v>417</v>
      </c>
      <c r="BE250" t="s">
        <v>417</v>
      </c>
      <c r="BF250">
        <v>0</v>
      </c>
      <c r="BG250">
        <v>0</v>
      </c>
      <c r="BH250">
        <f>1-BF250/BG250</f>
        <v>0</v>
      </c>
      <c r="BI250">
        <v>0.5</v>
      </c>
      <c r="BJ250">
        <f>CS250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417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1238</v>
      </c>
      <c r="CA250">
        <v>300</v>
      </c>
      <c r="CB250">
        <v>300</v>
      </c>
      <c r="CC250">
        <v>300</v>
      </c>
      <c r="CD250">
        <v>10440.5</v>
      </c>
      <c r="CE250">
        <v>1411.69</v>
      </c>
      <c r="CF250">
        <v>-0.00735121</v>
      </c>
      <c r="CG250">
        <v>-0.77</v>
      </c>
      <c r="CH250" t="s">
        <v>417</v>
      </c>
      <c r="CI250" t="s">
        <v>417</v>
      </c>
      <c r="CJ250" t="s">
        <v>417</v>
      </c>
      <c r="CK250" t="s">
        <v>417</v>
      </c>
      <c r="CL250" t="s">
        <v>417</v>
      </c>
      <c r="CM250" t="s">
        <v>417</v>
      </c>
      <c r="CN250" t="s">
        <v>417</v>
      </c>
      <c r="CO250" t="s">
        <v>417</v>
      </c>
      <c r="CP250" t="s">
        <v>417</v>
      </c>
      <c r="CQ250" t="s">
        <v>417</v>
      </c>
      <c r="CR250">
        <f>$B$11*DQ250+$C$11*DR250+$F$11*EC250*(1-EF250)</f>
        <v>0</v>
      </c>
      <c r="CS250">
        <f>CR250*CT250</f>
        <v>0</v>
      </c>
      <c r="CT250">
        <f>($B$11*$D$9+$C$11*$D$9+$F$11*((EP250+EH250)/MAX(EP250+EH250+EQ250, 0.1)*$I$9+EQ250/MAX(EP250+EH250+EQ250, 0.1)*$J$9))/($B$11+$C$11+$F$11)</f>
        <v>0</v>
      </c>
      <c r="CU250">
        <f>($B$11*$K$9+$C$11*$K$9+$F$11*((EP250+EH250)/MAX(EP250+EH250+EQ250, 0.1)*$P$9+EQ250/MAX(EP250+EH250+EQ250, 0.1)*$Q$9))/($B$11+$C$11+$F$11)</f>
        <v>0</v>
      </c>
      <c r="CV250">
        <v>6</v>
      </c>
      <c r="CW250">
        <v>0.5</v>
      </c>
      <c r="CX250" t="s">
        <v>418</v>
      </c>
      <c r="CY250">
        <v>2</v>
      </c>
      <c r="CZ250" t="b">
        <v>1</v>
      </c>
      <c r="DA250">
        <v>1651857750.6</v>
      </c>
      <c r="DB250">
        <v>1465.443333333333</v>
      </c>
      <c r="DC250">
        <v>1529.63</v>
      </c>
      <c r="DD250">
        <v>17.96853333333333</v>
      </c>
      <c r="DE250">
        <v>11.69966666666667</v>
      </c>
      <c r="DF250">
        <v>1468.593333333333</v>
      </c>
      <c r="DG250">
        <v>17.96856666666666</v>
      </c>
      <c r="DH250">
        <v>500.061</v>
      </c>
      <c r="DI250">
        <v>90.07006666666666</v>
      </c>
      <c r="DJ250">
        <v>0.1000133</v>
      </c>
      <c r="DK250">
        <v>25.70323333333333</v>
      </c>
      <c r="DL250">
        <v>25.01913333333333</v>
      </c>
      <c r="DM250">
        <v>999.9</v>
      </c>
      <c r="DN250">
        <v>0</v>
      </c>
      <c r="DO250">
        <v>0</v>
      </c>
      <c r="DP250">
        <v>10005.20666666667</v>
      </c>
      <c r="DQ250">
        <v>0</v>
      </c>
      <c r="DR250">
        <v>3.23193</v>
      </c>
      <c r="DS250">
        <v>-64.18510000000001</v>
      </c>
      <c r="DT250">
        <v>1492.256666666667</v>
      </c>
      <c r="DU250">
        <v>1547.74</v>
      </c>
      <c r="DV250">
        <v>6.268910000000001</v>
      </c>
      <c r="DW250">
        <v>1529.63</v>
      </c>
      <c r="DX250">
        <v>11.69966666666667</v>
      </c>
      <c r="DY250">
        <v>1.61843</v>
      </c>
      <c r="DZ250">
        <v>1.05379</v>
      </c>
      <c r="EA250">
        <v>14.1354</v>
      </c>
      <c r="EB250">
        <v>7.68207</v>
      </c>
      <c r="EC250">
        <v>1499.953333333333</v>
      </c>
      <c r="ED250">
        <v>0.973002</v>
      </c>
      <c r="EE250">
        <v>0.02699806666666667</v>
      </c>
      <c r="EF250">
        <v>0</v>
      </c>
      <c r="EG250">
        <v>923.891</v>
      </c>
      <c r="EH250">
        <v>5.00097</v>
      </c>
      <c r="EI250">
        <v>13741.8</v>
      </c>
      <c r="EJ250">
        <v>12491.2</v>
      </c>
      <c r="EK250">
        <v>37.5</v>
      </c>
      <c r="EL250">
        <v>39</v>
      </c>
      <c r="EM250">
        <v>37.875</v>
      </c>
      <c r="EN250">
        <v>38.75</v>
      </c>
      <c r="EO250">
        <v>38.375</v>
      </c>
      <c r="EP250">
        <v>1454.593333333333</v>
      </c>
      <c r="EQ250">
        <v>40.36000000000001</v>
      </c>
      <c r="ER250">
        <v>0</v>
      </c>
      <c r="ES250">
        <v>750.6000001430511</v>
      </c>
      <c r="ET250">
        <v>0</v>
      </c>
      <c r="EU250">
        <v>926.316423076923</v>
      </c>
      <c r="EV250">
        <v>-22.74164104447959</v>
      </c>
      <c r="EW250">
        <v>-337.480342155023</v>
      </c>
      <c r="EX250">
        <v>13777.28076923077</v>
      </c>
      <c r="EY250">
        <v>15</v>
      </c>
      <c r="EZ250">
        <v>1651857041.1</v>
      </c>
      <c r="FA250" t="s">
        <v>419</v>
      </c>
      <c r="FB250">
        <v>1651857019.6</v>
      </c>
      <c r="FC250">
        <v>1651857041.1</v>
      </c>
      <c r="FD250">
        <v>1</v>
      </c>
      <c r="FE250">
        <v>0.545</v>
      </c>
      <c r="FF250">
        <v>-0.002</v>
      </c>
      <c r="FG250">
        <v>-1.271</v>
      </c>
      <c r="FH250">
        <v>-0.09</v>
      </c>
      <c r="FI250">
        <v>400</v>
      </c>
      <c r="FJ250">
        <v>10</v>
      </c>
      <c r="FK250">
        <v>0.1</v>
      </c>
      <c r="FL250">
        <v>0.02</v>
      </c>
      <c r="FM250">
        <v>-64.090675</v>
      </c>
      <c r="FN250">
        <v>0.2089711069420526</v>
      </c>
      <c r="FO250">
        <v>0.1313703690905972</v>
      </c>
      <c r="FP250">
        <v>-1</v>
      </c>
      <c r="FQ250">
        <v>6.52760825</v>
      </c>
      <c r="FR250">
        <v>-1.648086416510328</v>
      </c>
      <c r="FS250">
        <v>0.1586226799182182</v>
      </c>
      <c r="FT250">
        <v>-1</v>
      </c>
      <c r="FU250">
        <v>0</v>
      </c>
      <c r="FV250">
        <v>0</v>
      </c>
      <c r="FW250">
        <v>0</v>
      </c>
      <c r="FX250">
        <v>-1</v>
      </c>
      <c r="FY250">
        <v>0</v>
      </c>
      <c r="FZ250">
        <v>0</v>
      </c>
      <c r="GA250" t="s">
        <v>432</v>
      </c>
      <c r="GB250">
        <v>2.98013</v>
      </c>
      <c r="GC250">
        <v>2.70617</v>
      </c>
      <c r="GD250">
        <v>0.217665</v>
      </c>
      <c r="GE250">
        <v>0.220872</v>
      </c>
      <c r="GF250">
        <v>0.08645319999999999</v>
      </c>
      <c r="GG250">
        <v>0.0623831</v>
      </c>
      <c r="GH250">
        <v>24684.2</v>
      </c>
      <c r="GI250">
        <v>24636.9</v>
      </c>
      <c r="GJ250">
        <v>29342.9</v>
      </c>
      <c r="GK250">
        <v>29256.8</v>
      </c>
      <c r="GL250">
        <v>35501.1</v>
      </c>
      <c r="GM250">
        <v>36534.1</v>
      </c>
      <c r="GN250">
        <v>41305</v>
      </c>
      <c r="GO250">
        <v>41753.9</v>
      </c>
      <c r="GP250">
        <v>1.95312</v>
      </c>
      <c r="GQ250">
        <v>1.84242</v>
      </c>
      <c r="GR250">
        <v>-0.0333264</v>
      </c>
      <c r="GS250">
        <v>0</v>
      </c>
      <c r="GT250">
        <v>25.5649</v>
      </c>
      <c r="GU250">
        <v>999.9</v>
      </c>
      <c r="GV250">
        <v>38.3</v>
      </c>
      <c r="GW250">
        <v>34</v>
      </c>
      <c r="GX250">
        <v>22.7211</v>
      </c>
      <c r="GY250">
        <v>62.4176</v>
      </c>
      <c r="GZ250">
        <v>35.1042</v>
      </c>
      <c r="HA250">
        <v>1</v>
      </c>
      <c r="HB250">
        <v>0.136232</v>
      </c>
      <c r="HC250">
        <v>2.70091</v>
      </c>
      <c r="HD250">
        <v>20.3126</v>
      </c>
      <c r="HE250">
        <v>5.21714</v>
      </c>
      <c r="HF250">
        <v>12.0099</v>
      </c>
      <c r="HG250">
        <v>4.9888</v>
      </c>
      <c r="HH250">
        <v>3.2885</v>
      </c>
      <c r="HI250">
        <v>857.3</v>
      </c>
      <c r="HJ250">
        <v>8532.5</v>
      </c>
      <c r="HK250">
        <v>5139.4</v>
      </c>
      <c r="HL250">
        <v>22.9</v>
      </c>
      <c r="HM250">
        <v>1.86752</v>
      </c>
      <c r="HN250">
        <v>1.86647</v>
      </c>
      <c r="HO250">
        <v>1.866</v>
      </c>
      <c r="HP250">
        <v>1.86586</v>
      </c>
      <c r="HQ250">
        <v>1.86772</v>
      </c>
      <c r="HR250">
        <v>1.87026</v>
      </c>
      <c r="HS250">
        <v>1.8689</v>
      </c>
      <c r="HT250">
        <v>1.87027</v>
      </c>
      <c r="HU250">
        <v>0</v>
      </c>
      <c r="HV250">
        <v>0</v>
      </c>
      <c r="HW250">
        <v>0</v>
      </c>
      <c r="HX250">
        <v>0</v>
      </c>
      <c r="HY250" t="s">
        <v>421</v>
      </c>
      <c r="HZ250" t="s">
        <v>422</v>
      </c>
      <c r="IA250" t="s">
        <v>423</v>
      </c>
      <c r="IB250" t="s">
        <v>423</v>
      </c>
      <c r="IC250" t="s">
        <v>423</v>
      </c>
      <c r="ID250" t="s">
        <v>423</v>
      </c>
      <c r="IE250">
        <v>0</v>
      </c>
      <c r="IF250">
        <v>100</v>
      </c>
      <c r="IG250">
        <v>100</v>
      </c>
      <c r="IH250">
        <v>-3.16</v>
      </c>
      <c r="II250">
        <v>0</v>
      </c>
      <c r="IJ250">
        <v>-0.4995723906072</v>
      </c>
      <c r="IK250">
        <v>-0.002077099775823331</v>
      </c>
      <c r="IL250">
        <v>4.593143279902166E-07</v>
      </c>
      <c r="IM250">
        <v>-1.865383991892071E-10</v>
      </c>
      <c r="IN250">
        <v>-0.07605349583632376</v>
      </c>
      <c r="IO250">
        <v>-0.01129461987421345</v>
      </c>
      <c r="IP250">
        <v>0.00116580895745559</v>
      </c>
      <c r="IQ250">
        <v>-1.679085872906199E-05</v>
      </c>
      <c r="IR250">
        <v>2</v>
      </c>
      <c r="IS250">
        <v>2290</v>
      </c>
      <c r="IT250">
        <v>0</v>
      </c>
      <c r="IU250">
        <v>32</v>
      </c>
      <c r="IV250">
        <v>12.2</v>
      </c>
      <c r="IW250">
        <v>11.8</v>
      </c>
      <c r="IX250">
        <v>2.94678</v>
      </c>
      <c r="IY250">
        <v>2.20093</v>
      </c>
      <c r="IZ250">
        <v>1.39648</v>
      </c>
      <c r="JA250">
        <v>2.3584</v>
      </c>
      <c r="JB250">
        <v>1.49536</v>
      </c>
      <c r="JC250">
        <v>2.30103</v>
      </c>
      <c r="JD250">
        <v>38.5014</v>
      </c>
      <c r="JE250">
        <v>24.035</v>
      </c>
      <c r="JF250">
        <v>18</v>
      </c>
      <c r="JG250">
        <v>513.223</v>
      </c>
      <c r="JH250">
        <v>427.459</v>
      </c>
      <c r="JI250">
        <v>22.0391</v>
      </c>
      <c r="JJ250">
        <v>29.0711</v>
      </c>
      <c r="JK250">
        <v>30</v>
      </c>
      <c r="JL250">
        <v>29.0719</v>
      </c>
      <c r="JM250">
        <v>29.0144</v>
      </c>
      <c r="JN250">
        <v>58.9633</v>
      </c>
      <c r="JO250">
        <v>45.1489</v>
      </c>
      <c r="JP250">
        <v>0</v>
      </c>
      <c r="JQ250">
        <v>22.0345</v>
      </c>
      <c r="JR250">
        <v>1551.43</v>
      </c>
      <c r="JS250">
        <v>11.9083</v>
      </c>
      <c r="JT250">
        <v>100.305</v>
      </c>
      <c r="JU250">
        <v>100.217</v>
      </c>
    </row>
    <row r="251" spans="1:281">
      <c r="A251">
        <v>235</v>
      </c>
      <c r="B251">
        <v>1651857753.6</v>
      </c>
      <c r="C251">
        <v>753</v>
      </c>
      <c r="D251" t="s">
        <v>897</v>
      </c>
      <c r="E251" t="s">
        <v>898</v>
      </c>
      <c r="F251">
        <v>2</v>
      </c>
      <c r="G251" t="s">
        <v>413</v>
      </c>
      <c r="H251" t="s">
        <v>414</v>
      </c>
      <c r="I251">
        <v>1651857752.225</v>
      </c>
      <c r="J251">
        <f>(K251)/1000</f>
        <v>0</v>
      </c>
      <c r="K251">
        <f>IF(CZ251, AN251, AH251)</f>
        <v>0</v>
      </c>
      <c r="L251">
        <f>IF(CZ251, AI251, AG251)</f>
        <v>0</v>
      </c>
      <c r="M251">
        <f>DB251 - IF(AU251&gt;1, L251*CV251*100.0/(AW251*DP251), 0)</f>
        <v>0</v>
      </c>
      <c r="N251">
        <f>((T251-J251/2)*M251-L251)/(T251+J251/2)</f>
        <v>0</v>
      </c>
      <c r="O251">
        <f>N251*(DI251+DJ251)/1000.0</f>
        <v>0</v>
      </c>
      <c r="P251">
        <f>(DB251 - IF(AU251&gt;1, L251*CV251*100.0/(AW251*DP251), 0))*(DI251+DJ251)/1000.0</f>
        <v>0</v>
      </c>
      <c r="Q251">
        <f>2.0/((1/S251-1/R251)+SIGN(S251)*SQRT((1/S251-1/R251)*(1/S251-1/R251) + 4*CW251/((CW251+1)*(CW251+1))*(2*1/S251*1/R251-1/R251*1/R251)))</f>
        <v>0</v>
      </c>
      <c r="R251">
        <f>IF(LEFT(CX251,1)&lt;&gt;"0",IF(LEFT(CX251,1)="1",3.0,CY251),$D$5+$E$5*(DP251*DI251/($K$5*1000))+$F$5*(DP251*DI251/($K$5*1000))*MAX(MIN(CV251,$J$5),$I$5)*MAX(MIN(CV251,$J$5),$I$5)+$G$5*MAX(MIN(CV251,$J$5),$I$5)*(DP251*DI251/($K$5*1000))+$H$5*(DP251*DI251/($K$5*1000))*(DP251*DI251/($K$5*1000)))</f>
        <v>0</v>
      </c>
      <c r="S251">
        <f>J251*(1000-(1000*0.61365*exp(17.502*W251/(240.97+W251))/(DI251+DJ251)+DD251)/2)/(1000*0.61365*exp(17.502*W251/(240.97+W251))/(DI251+DJ251)-DD251)</f>
        <v>0</v>
      </c>
      <c r="T251">
        <f>1/((CW251+1)/(Q251/1.6)+1/(R251/1.37)) + CW251/((CW251+1)/(Q251/1.6) + CW251/(R251/1.37))</f>
        <v>0</v>
      </c>
      <c r="U251">
        <f>(CR251*CU251)</f>
        <v>0</v>
      </c>
      <c r="V251">
        <f>(DK251+(U251+2*0.95*5.67E-8*(((DK251+$B$7)+273)^4-(DK251+273)^4)-44100*J251)/(1.84*29.3*R251+8*0.95*5.67E-8*(DK251+273)^3))</f>
        <v>0</v>
      </c>
      <c r="W251">
        <f>($C$7*DL251+$D$7*DM251+$E$7*V251)</f>
        <v>0</v>
      </c>
      <c r="X251">
        <f>0.61365*exp(17.502*W251/(240.97+W251))</f>
        <v>0</v>
      </c>
      <c r="Y251">
        <f>(Z251/AA251*100)</f>
        <v>0</v>
      </c>
      <c r="Z251">
        <f>DD251*(DI251+DJ251)/1000</f>
        <v>0</v>
      </c>
      <c r="AA251">
        <f>0.61365*exp(17.502*DK251/(240.97+DK251))</f>
        <v>0</v>
      </c>
      <c r="AB251">
        <f>(X251-DD251*(DI251+DJ251)/1000)</f>
        <v>0</v>
      </c>
      <c r="AC251">
        <f>(-J251*44100)</f>
        <v>0</v>
      </c>
      <c r="AD251">
        <f>2*29.3*R251*0.92*(DK251-W251)</f>
        <v>0</v>
      </c>
      <c r="AE251">
        <f>2*0.95*5.67E-8*(((DK251+$B$7)+273)^4-(W251+273)^4)</f>
        <v>0</v>
      </c>
      <c r="AF251">
        <f>U251+AE251+AC251+AD251</f>
        <v>0</v>
      </c>
      <c r="AG251">
        <f>DH251*AU251*(DC251-DB251*(1000-AU251*DE251)/(1000-AU251*DD251))/(100*CV251)</f>
        <v>0</v>
      </c>
      <c r="AH251">
        <f>1000*DH251*AU251*(DD251-DE251)/(100*CV251*(1000-AU251*DD251))</f>
        <v>0</v>
      </c>
      <c r="AI251">
        <f>(AJ251 - AK251 - DI251*1E3/(8.314*(DK251+273.15)) * AM251/DH251 * AL251) * DH251/(100*CV251) * (1000 - DE251)/1000</f>
        <v>0</v>
      </c>
      <c r="AJ251">
        <v>1548.522804156089</v>
      </c>
      <c r="AK251">
        <v>1500.816363636364</v>
      </c>
      <c r="AL251">
        <v>3.415584884242634</v>
      </c>
      <c r="AM251">
        <v>66.38384787954378</v>
      </c>
      <c r="AN251">
        <f>(AP251 - AO251 + DI251*1E3/(8.314*(DK251+273.15)) * AR251/DH251 * AQ251) * DH251/(100*CV251) * 1000/(1000 - AP251)</f>
        <v>0</v>
      </c>
      <c r="AO251">
        <v>11.65599868850732</v>
      </c>
      <c r="AP251">
        <v>17.97195470588234</v>
      </c>
      <c r="AQ251">
        <v>-6.641006776603178E-05</v>
      </c>
      <c r="AR251">
        <v>80.44866334591464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MAX(0,($B$13+$C$13*DP251)/(1+$D$13*DP251)*DI251/(DK251+273)*$E$13)</f>
        <v>0</v>
      </c>
      <c r="AX251" t="s">
        <v>417</v>
      </c>
      <c r="AY251" t="s">
        <v>417</v>
      </c>
      <c r="AZ251">
        <v>0</v>
      </c>
      <c r="BA251">
        <v>0</v>
      </c>
      <c r="BB251">
        <f>1-AZ251/BA251</f>
        <v>0</v>
      </c>
      <c r="BC251">
        <v>0</v>
      </c>
      <c r="BD251" t="s">
        <v>417</v>
      </c>
      <c r="BE251" t="s">
        <v>417</v>
      </c>
      <c r="BF251">
        <v>0</v>
      </c>
      <c r="BG251">
        <v>0</v>
      </c>
      <c r="BH251">
        <f>1-BF251/BG251</f>
        <v>0</v>
      </c>
      <c r="BI251">
        <v>0.5</v>
      </c>
      <c r="BJ251">
        <f>CS251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417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1238</v>
      </c>
      <c r="CA251">
        <v>300</v>
      </c>
      <c r="CB251">
        <v>300</v>
      </c>
      <c r="CC251">
        <v>300</v>
      </c>
      <c r="CD251">
        <v>10440.5</v>
      </c>
      <c r="CE251">
        <v>1411.69</v>
      </c>
      <c r="CF251">
        <v>-0.00735121</v>
      </c>
      <c r="CG251">
        <v>-0.77</v>
      </c>
      <c r="CH251" t="s">
        <v>417</v>
      </c>
      <c r="CI251" t="s">
        <v>417</v>
      </c>
      <c r="CJ251" t="s">
        <v>417</v>
      </c>
      <c r="CK251" t="s">
        <v>417</v>
      </c>
      <c r="CL251" t="s">
        <v>417</v>
      </c>
      <c r="CM251" t="s">
        <v>417</v>
      </c>
      <c r="CN251" t="s">
        <v>417</v>
      </c>
      <c r="CO251" t="s">
        <v>417</v>
      </c>
      <c r="CP251" t="s">
        <v>417</v>
      </c>
      <c r="CQ251" t="s">
        <v>417</v>
      </c>
      <c r="CR251">
        <f>$B$11*DQ251+$C$11*DR251+$F$11*EC251*(1-EF251)</f>
        <v>0</v>
      </c>
      <c r="CS251">
        <f>CR251*CT251</f>
        <v>0</v>
      </c>
      <c r="CT251">
        <f>($B$11*$D$9+$C$11*$D$9+$F$11*((EP251+EH251)/MAX(EP251+EH251+EQ251, 0.1)*$I$9+EQ251/MAX(EP251+EH251+EQ251, 0.1)*$J$9))/($B$11+$C$11+$F$11)</f>
        <v>0</v>
      </c>
      <c r="CU251">
        <f>($B$11*$K$9+$C$11*$K$9+$F$11*((EP251+EH251)/MAX(EP251+EH251+EQ251, 0.1)*$P$9+EQ251/MAX(EP251+EH251+EQ251, 0.1)*$Q$9))/($B$11+$C$11+$F$11)</f>
        <v>0</v>
      </c>
      <c r="CV251">
        <v>6</v>
      </c>
      <c r="CW251">
        <v>0.5</v>
      </c>
      <c r="CX251" t="s">
        <v>418</v>
      </c>
      <c r="CY251">
        <v>2</v>
      </c>
      <c r="CZ251" t="b">
        <v>1</v>
      </c>
      <c r="DA251">
        <v>1651857752.225</v>
      </c>
      <c r="DB251">
        <v>1470.895</v>
      </c>
      <c r="DC251">
        <v>1535.1425</v>
      </c>
      <c r="DD251">
        <v>17.97065</v>
      </c>
      <c r="DE251">
        <v>11.7343</v>
      </c>
      <c r="DF251">
        <v>1474.0525</v>
      </c>
      <c r="DG251">
        <v>17.970625</v>
      </c>
      <c r="DH251">
        <v>500.05325</v>
      </c>
      <c r="DI251">
        <v>90.0692</v>
      </c>
      <c r="DJ251">
        <v>0.10005165</v>
      </c>
      <c r="DK251">
        <v>25.7009</v>
      </c>
      <c r="DL251">
        <v>25.0188</v>
      </c>
      <c r="DM251">
        <v>999.9</v>
      </c>
      <c r="DN251">
        <v>0</v>
      </c>
      <c r="DO251">
        <v>0</v>
      </c>
      <c r="DP251">
        <v>9995</v>
      </c>
      <c r="DQ251">
        <v>0</v>
      </c>
      <c r="DR251">
        <v>3.230175</v>
      </c>
      <c r="DS251">
        <v>-64.247625</v>
      </c>
      <c r="DT251">
        <v>1497.8125</v>
      </c>
      <c r="DU251">
        <v>1553.3675</v>
      </c>
      <c r="DV251">
        <v>6.2363625</v>
      </c>
      <c r="DW251">
        <v>1535.1425</v>
      </c>
      <c r="DX251">
        <v>11.7343</v>
      </c>
      <c r="DY251">
        <v>1.6186025</v>
      </c>
      <c r="DZ251">
        <v>1.0569</v>
      </c>
      <c r="EA251">
        <v>14.13705</v>
      </c>
      <c r="EB251">
        <v>7.725272499999999</v>
      </c>
      <c r="EC251">
        <v>1500.16</v>
      </c>
      <c r="ED251">
        <v>0.97299075</v>
      </c>
      <c r="EE251">
        <v>0.02700925</v>
      </c>
      <c r="EF251">
        <v>0</v>
      </c>
      <c r="EG251">
        <v>923.38525</v>
      </c>
      <c r="EH251">
        <v>5.00097</v>
      </c>
      <c r="EI251">
        <v>13734.375</v>
      </c>
      <c r="EJ251">
        <v>12492.9</v>
      </c>
      <c r="EK251">
        <v>37.5</v>
      </c>
      <c r="EL251">
        <v>39</v>
      </c>
      <c r="EM251">
        <v>37.875</v>
      </c>
      <c r="EN251">
        <v>38.75</v>
      </c>
      <c r="EO251">
        <v>38.375</v>
      </c>
      <c r="EP251">
        <v>1454.7775</v>
      </c>
      <c r="EQ251">
        <v>40.3825</v>
      </c>
      <c r="ER251">
        <v>0</v>
      </c>
      <c r="ES251">
        <v>752.4000000953674</v>
      </c>
      <c r="ET251">
        <v>0</v>
      </c>
      <c r="EU251">
        <v>925.5110800000001</v>
      </c>
      <c r="EV251">
        <v>-23.09361534968998</v>
      </c>
      <c r="EW251">
        <v>-328.7846149641152</v>
      </c>
      <c r="EX251">
        <v>13765.52</v>
      </c>
      <c r="EY251">
        <v>15</v>
      </c>
      <c r="EZ251">
        <v>1651857041.1</v>
      </c>
      <c r="FA251" t="s">
        <v>419</v>
      </c>
      <c r="FB251">
        <v>1651857019.6</v>
      </c>
      <c r="FC251">
        <v>1651857041.1</v>
      </c>
      <c r="FD251">
        <v>1</v>
      </c>
      <c r="FE251">
        <v>0.545</v>
      </c>
      <c r="FF251">
        <v>-0.002</v>
      </c>
      <c r="FG251">
        <v>-1.271</v>
      </c>
      <c r="FH251">
        <v>-0.09</v>
      </c>
      <c r="FI251">
        <v>400</v>
      </c>
      <c r="FJ251">
        <v>10</v>
      </c>
      <c r="FK251">
        <v>0.1</v>
      </c>
      <c r="FL251">
        <v>0.02</v>
      </c>
      <c r="FM251">
        <v>-64.08689024390245</v>
      </c>
      <c r="FN251">
        <v>-0.2109198606274477</v>
      </c>
      <c r="FO251">
        <v>0.120546387802105</v>
      </c>
      <c r="FP251">
        <v>-1</v>
      </c>
      <c r="FQ251">
        <v>6.494130243902439</v>
      </c>
      <c r="FR251">
        <v>-1.643538606271763</v>
      </c>
      <c r="FS251">
        <v>0.1621433302929143</v>
      </c>
      <c r="FT251">
        <v>-1</v>
      </c>
      <c r="FU251">
        <v>0</v>
      </c>
      <c r="FV251">
        <v>0</v>
      </c>
      <c r="FW251">
        <v>0</v>
      </c>
      <c r="FX251">
        <v>-1</v>
      </c>
      <c r="FY251">
        <v>0</v>
      </c>
      <c r="FZ251">
        <v>0</v>
      </c>
      <c r="GA251" t="s">
        <v>432</v>
      </c>
      <c r="GB251">
        <v>2.98014</v>
      </c>
      <c r="GC251">
        <v>2.70608</v>
      </c>
      <c r="GD251">
        <v>0.21826</v>
      </c>
      <c r="GE251">
        <v>0.221451</v>
      </c>
      <c r="GF251">
        <v>0.0864555</v>
      </c>
      <c r="GG251">
        <v>0.06257749999999999</v>
      </c>
      <c r="GH251">
        <v>24665.4</v>
      </c>
      <c r="GI251">
        <v>24618.8</v>
      </c>
      <c r="GJ251">
        <v>29343</v>
      </c>
      <c r="GK251">
        <v>29257</v>
      </c>
      <c r="GL251">
        <v>35501.3</v>
      </c>
      <c r="GM251">
        <v>36526.7</v>
      </c>
      <c r="GN251">
        <v>41305.2</v>
      </c>
      <c r="GO251">
        <v>41754.1</v>
      </c>
      <c r="GP251">
        <v>1.95335</v>
      </c>
      <c r="GQ251">
        <v>1.84267</v>
      </c>
      <c r="GR251">
        <v>-0.0333041</v>
      </c>
      <c r="GS251">
        <v>0</v>
      </c>
      <c r="GT251">
        <v>25.5643</v>
      </c>
      <c r="GU251">
        <v>999.9</v>
      </c>
      <c r="GV251">
        <v>38.3</v>
      </c>
      <c r="GW251">
        <v>34</v>
      </c>
      <c r="GX251">
        <v>22.7197</v>
      </c>
      <c r="GY251">
        <v>62.6376</v>
      </c>
      <c r="GZ251">
        <v>35.3766</v>
      </c>
      <c r="HA251">
        <v>1</v>
      </c>
      <c r="HB251">
        <v>0.136369</v>
      </c>
      <c r="HC251">
        <v>2.69217</v>
      </c>
      <c r="HD251">
        <v>20.3127</v>
      </c>
      <c r="HE251">
        <v>5.21714</v>
      </c>
      <c r="HF251">
        <v>12.0099</v>
      </c>
      <c r="HG251">
        <v>4.98855</v>
      </c>
      <c r="HH251">
        <v>3.28848</v>
      </c>
      <c r="HI251">
        <v>857.3</v>
      </c>
      <c r="HJ251">
        <v>8532.5</v>
      </c>
      <c r="HK251">
        <v>5139.4</v>
      </c>
      <c r="HL251">
        <v>22.9</v>
      </c>
      <c r="HM251">
        <v>1.86752</v>
      </c>
      <c r="HN251">
        <v>1.86647</v>
      </c>
      <c r="HO251">
        <v>1.866</v>
      </c>
      <c r="HP251">
        <v>1.86586</v>
      </c>
      <c r="HQ251">
        <v>1.8677</v>
      </c>
      <c r="HR251">
        <v>1.87024</v>
      </c>
      <c r="HS251">
        <v>1.8689</v>
      </c>
      <c r="HT251">
        <v>1.87027</v>
      </c>
      <c r="HU251">
        <v>0</v>
      </c>
      <c r="HV251">
        <v>0</v>
      </c>
      <c r="HW251">
        <v>0</v>
      </c>
      <c r="HX251">
        <v>0</v>
      </c>
      <c r="HY251" t="s">
        <v>421</v>
      </c>
      <c r="HZ251" t="s">
        <v>422</v>
      </c>
      <c r="IA251" t="s">
        <v>423</v>
      </c>
      <c r="IB251" t="s">
        <v>423</v>
      </c>
      <c r="IC251" t="s">
        <v>423</v>
      </c>
      <c r="ID251" t="s">
        <v>423</v>
      </c>
      <c r="IE251">
        <v>0</v>
      </c>
      <c r="IF251">
        <v>100</v>
      </c>
      <c r="IG251">
        <v>100</v>
      </c>
      <c r="IH251">
        <v>-3.17</v>
      </c>
      <c r="II251">
        <v>0</v>
      </c>
      <c r="IJ251">
        <v>-0.4995723906072</v>
      </c>
      <c r="IK251">
        <v>-0.002077099775823331</v>
      </c>
      <c r="IL251">
        <v>4.593143279902166E-07</v>
      </c>
      <c r="IM251">
        <v>-1.865383991892071E-10</v>
      </c>
      <c r="IN251">
        <v>-0.07605349583632376</v>
      </c>
      <c r="IO251">
        <v>-0.01129461987421345</v>
      </c>
      <c r="IP251">
        <v>0.00116580895745559</v>
      </c>
      <c r="IQ251">
        <v>-1.679085872906199E-05</v>
      </c>
      <c r="IR251">
        <v>2</v>
      </c>
      <c r="IS251">
        <v>2290</v>
      </c>
      <c r="IT251">
        <v>0</v>
      </c>
      <c r="IU251">
        <v>32</v>
      </c>
      <c r="IV251">
        <v>12.2</v>
      </c>
      <c r="IW251">
        <v>11.9</v>
      </c>
      <c r="IX251">
        <v>2.95776</v>
      </c>
      <c r="IY251">
        <v>2.1936</v>
      </c>
      <c r="IZ251">
        <v>1.39648</v>
      </c>
      <c r="JA251">
        <v>2.35962</v>
      </c>
      <c r="JB251">
        <v>1.49536</v>
      </c>
      <c r="JC251">
        <v>2.34985</v>
      </c>
      <c r="JD251">
        <v>38.5259</v>
      </c>
      <c r="JE251">
        <v>24.035</v>
      </c>
      <c r="JF251">
        <v>18</v>
      </c>
      <c r="JG251">
        <v>513.361</v>
      </c>
      <c r="JH251">
        <v>427.609</v>
      </c>
      <c r="JI251">
        <v>22.0322</v>
      </c>
      <c r="JJ251">
        <v>29.0711</v>
      </c>
      <c r="JK251">
        <v>30.0001</v>
      </c>
      <c r="JL251">
        <v>29.0707</v>
      </c>
      <c r="JM251">
        <v>29.0144</v>
      </c>
      <c r="JN251">
        <v>59.1646</v>
      </c>
      <c r="JO251">
        <v>44.8726</v>
      </c>
      <c r="JP251">
        <v>0</v>
      </c>
      <c r="JQ251">
        <v>22.0142</v>
      </c>
      <c r="JR251">
        <v>1558.1</v>
      </c>
      <c r="JS251">
        <v>11.9635</v>
      </c>
      <c r="JT251">
        <v>100.306</v>
      </c>
      <c r="JU251">
        <v>100.217</v>
      </c>
    </row>
    <row r="252" spans="1:281">
      <c r="A252">
        <v>236</v>
      </c>
      <c r="B252">
        <v>1651857755.6</v>
      </c>
      <c r="C252">
        <v>755</v>
      </c>
      <c r="D252" t="s">
        <v>899</v>
      </c>
      <c r="E252" t="s">
        <v>900</v>
      </c>
      <c r="F252">
        <v>2</v>
      </c>
      <c r="G252" t="s">
        <v>413</v>
      </c>
      <c r="H252" t="s">
        <v>414</v>
      </c>
      <c r="I252">
        <v>1651857754.6</v>
      </c>
      <c r="J252">
        <f>(K252)/1000</f>
        <v>0</v>
      </c>
      <c r="K252">
        <f>IF(CZ252, AN252, AH252)</f>
        <v>0</v>
      </c>
      <c r="L252">
        <f>IF(CZ252, AI252, AG252)</f>
        <v>0</v>
      </c>
      <c r="M252">
        <f>DB252 - IF(AU252&gt;1, L252*CV252*100.0/(AW252*DP252), 0)</f>
        <v>0</v>
      </c>
      <c r="N252">
        <f>((T252-J252/2)*M252-L252)/(T252+J252/2)</f>
        <v>0</v>
      </c>
      <c r="O252">
        <f>N252*(DI252+DJ252)/1000.0</f>
        <v>0</v>
      </c>
      <c r="P252">
        <f>(DB252 - IF(AU252&gt;1, L252*CV252*100.0/(AW252*DP252), 0))*(DI252+DJ252)/1000.0</f>
        <v>0</v>
      </c>
      <c r="Q252">
        <f>2.0/((1/S252-1/R252)+SIGN(S252)*SQRT((1/S252-1/R252)*(1/S252-1/R252) + 4*CW252/((CW252+1)*(CW252+1))*(2*1/S252*1/R252-1/R252*1/R252)))</f>
        <v>0</v>
      </c>
      <c r="R252">
        <f>IF(LEFT(CX252,1)&lt;&gt;"0",IF(LEFT(CX252,1)="1",3.0,CY252),$D$5+$E$5*(DP252*DI252/($K$5*1000))+$F$5*(DP252*DI252/($K$5*1000))*MAX(MIN(CV252,$J$5),$I$5)*MAX(MIN(CV252,$J$5),$I$5)+$G$5*MAX(MIN(CV252,$J$5),$I$5)*(DP252*DI252/($K$5*1000))+$H$5*(DP252*DI252/($K$5*1000))*(DP252*DI252/($K$5*1000)))</f>
        <v>0</v>
      </c>
      <c r="S252">
        <f>J252*(1000-(1000*0.61365*exp(17.502*W252/(240.97+W252))/(DI252+DJ252)+DD252)/2)/(1000*0.61365*exp(17.502*W252/(240.97+W252))/(DI252+DJ252)-DD252)</f>
        <v>0</v>
      </c>
      <c r="T252">
        <f>1/((CW252+1)/(Q252/1.6)+1/(R252/1.37)) + CW252/((CW252+1)/(Q252/1.6) + CW252/(R252/1.37))</f>
        <v>0</v>
      </c>
      <c r="U252">
        <f>(CR252*CU252)</f>
        <v>0</v>
      </c>
      <c r="V252">
        <f>(DK252+(U252+2*0.95*5.67E-8*(((DK252+$B$7)+273)^4-(DK252+273)^4)-44100*J252)/(1.84*29.3*R252+8*0.95*5.67E-8*(DK252+273)^3))</f>
        <v>0</v>
      </c>
      <c r="W252">
        <f>($C$7*DL252+$D$7*DM252+$E$7*V252)</f>
        <v>0</v>
      </c>
      <c r="X252">
        <f>0.61365*exp(17.502*W252/(240.97+W252))</f>
        <v>0</v>
      </c>
      <c r="Y252">
        <f>(Z252/AA252*100)</f>
        <v>0</v>
      </c>
      <c r="Z252">
        <f>DD252*(DI252+DJ252)/1000</f>
        <v>0</v>
      </c>
      <c r="AA252">
        <f>0.61365*exp(17.502*DK252/(240.97+DK252))</f>
        <v>0</v>
      </c>
      <c r="AB252">
        <f>(X252-DD252*(DI252+DJ252)/1000)</f>
        <v>0</v>
      </c>
      <c r="AC252">
        <f>(-J252*44100)</f>
        <v>0</v>
      </c>
      <c r="AD252">
        <f>2*29.3*R252*0.92*(DK252-W252)</f>
        <v>0</v>
      </c>
      <c r="AE252">
        <f>2*0.95*5.67E-8*(((DK252+$B$7)+273)^4-(W252+273)^4)</f>
        <v>0</v>
      </c>
      <c r="AF252">
        <f>U252+AE252+AC252+AD252</f>
        <v>0</v>
      </c>
      <c r="AG252">
        <f>DH252*AU252*(DC252-DB252*(1000-AU252*DE252)/(1000-AU252*DD252))/(100*CV252)</f>
        <v>0</v>
      </c>
      <c r="AH252">
        <f>1000*DH252*AU252*(DD252-DE252)/(100*CV252*(1000-AU252*DD252))</f>
        <v>0</v>
      </c>
      <c r="AI252">
        <f>(AJ252 - AK252 - DI252*1E3/(8.314*(DK252+273.15)) * AM252/DH252 * AL252) * DH252/(100*CV252) * (1000 - DE252)/1000</f>
        <v>0</v>
      </c>
      <c r="AJ252">
        <v>1555.434972546135</v>
      </c>
      <c r="AK252">
        <v>1507.611818181818</v>
      </c>
      <c r="AL252">
        <v>3.409208103494511</v>
      </c>
      <c r="AM252">
        <v>66.38384787954378</v>
      </c>
      <c r="AN252">
        <f>(AP252 - AO252 + DI252*1E3/(8.314*(DK252+273.15)) * AR252/DH252 * AQ252) * DH252/(100*CV252) * 1000/(1000 - AP252)</f>
        <v>0</v>
      </c>
      <c r="AO252">
        <v>11.70880249657221</v>
      </c>
      <c r="AP252">
        <v>17.96924529411765</v>
      </c>
      <c r="AQ252">
        <v>0.0001021177469160038</v>
      </c>
      <c r="AR252">
        <v>80.44866334591464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MAX(0,($B$13+$C$13*DP252)/(1+$D$13*DP252)*DI252/(DK252+273)*$E$13)</f>
        <v>0</v>
      </c>
      <c r="AX252" t="s">
        <v>417</v>
      </c>
      <c r="AY252" t="s">
        <v>417</v>
      </c>
      <c r="AZ252">
        <v>0</v>
      </c>
      <c r="BA252">
        <v>0</v>
      </c>
      <c r="BB252">
        <f>1-AZ252/BA252</f>
        <v>0</v>
      </c>
      <c r="BC252">
        <v>0</v>
      </c>
      <c r="BD252" t="s">
        <v>417</v>
      </c>
      <c r="BE252" t="s">
        <v>417</v>
      </c>
      <c r="BF252">
        <v>0</v>
      </c>
      <c r="BG252">
        <v>0</v>
      </c>
      <c r="BH252">
        <f>1-BF252/BG252</f>
        <v>0</v>
      </c>
      <c r="BI252">
        <v>0.5</v>
      </c>
      <c r="BJ252">
        <f>CS252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417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1238</v>
      </c>
      <c r="CA252">
        <v>300</v>
      </c>
      <c r="CB252">
        <v>300</v>
      </c>
      <c r="CC252">
        <v>300</v>
      </c>
      <c r="CD252">
        <v>10440.5</v>
      </c>
      <c r="CE252">
        <v>1411.69</v>
      </c>
      <c r="CF252">
        <v>-0.00735121</v>
      </c>
      <c r="CG252">
        <v>-0.77</v>
      </c>
      <c r="CH252" t="s">
        <v>417</v>
      </c>
      <c r="CI252" t="s">
        <v>417</v>
      </c>
      <c r="CJ252" t="s">
        <v>417</v>
      </c>
      <c r="CK252" t="s">
        <v>417</v>
      </c>
      <c r="CL252" t="s">
        <v>417</v>
      </c>
      <c r="CM252" t="s">
        <v>417</v>
      </c>
      <c r="CN252" t="s">
        <v>417</v>
      </c>
      <c r="CO252" t="s">
        <v>417</v>
      </c>
      <c r="CP252" t="s">
        <v>417</v>
      </c>
      <c r="CQ252" t="s">
        <v>417</v>
      </c>
      <c r="CR252">
        <f>$B$11*DQ252+$C$11*DR252+$F$11*EC252*(1-EF252)</f>
        <v>0</v>
      </c>
      <c r="CS252">
        <f>CR252*CT252</f>
        <v>0</v>
      </c>
      <c r="CT252">
        <f>($B$11*$D$9+$C$11*$D$9+$F$11*((EP252+EH252)/MAX(EP252+EH252+EQ252, 0.1)*$I$9+EQ252/MAX(EP252+EH252+EQ252, 0.1)*$J$9))/($B$11+$C$11+$F$11)</f>
        <v>0</v>
      </c>
      <c r="CU252">
        <f>($B$11*$K$9+$C$11*$K$9+$F$11*((EP252+EH252)/MAX(EP252+EH252+EQ252, 0.1)*$P$9+EQ252/MAX(EP252+EH252+EQ252, 0.1)*$Q$9))/($B$11+$C$11+$F$11)</f>
        <v>0</v>
      </c>
      <c r="CV252">
        <v>6</v>
      </c>
      <c r="CW252">
        <v>0.5</v>
      </c>
      <c r="CX252" t="s">
        <v>418</v>
      </c>
      <c r="CY252">
        <v>2</v>
      </c>
      <c r="CZ252" t="b">
        <v>1</v>
      </c>
      <c r="DA252">
        <v>1651857754.6</v>
      </c>
      <c r="DB252">
        <v>1478.853333333333</v>
      </c>
      <c r="DC252">
        <v>1543.03</v>
      </c>
      <c r="DD252">
        <v>17.96916666666667</v>
      </c>
      <c r="DE252">
        <v>11.79673333333333</v>
      </c>
      <c r="DF252">
        <v>1482.026666666667</v>
      </c>
      <c r="DG252">
        <v>17.96913333333333</v>
      </c>
      <c r="DH252">
        <v>500.0666666666667</v>
      </c>
      <c r="DI252">
        <v>90.06603333333334</v>
      </c>
      <c r="DJ252">
        <v>0.1000553333333333</v>
      </c>
      <c r="DK252">
        <v>25.6991</v>
      </c>
      <c r="DL252">
        <v>25.01846666666667</v>
      </c>
      <c r="DM252">
        <v>999.9</v>
      </c>
      <c r="DN252">
        <v>0</v>
      </c>
      <c r="DO252">
        <v>0</v>
      </c>
      <c r="DP252">
        <v>9977.706666666667</v>
      </c>
      <c r="DQ252">
        <v>0</v>
      </c>
      <c r="DR252">
        <v>3.21554</v>
      </c>
      <c r="DS252">
        <v>-64.17423333333333</v>
      </c>
      <c r="DT252">
        <v>1505.913333333333</v>
      </c>
      <c r="DU252">
        <v>1561.45</v>
      </c>
      <c r="DV252">
        <v>6.172396666666667</v>
      </c>
      <c r="DW252">
        <v>1543.03</v>
      </c>
      <c r="DX252">
        <v>11.79673333333333</v>
      </c>
      <c r="DY252">
        <v>1.61841</v>
      </c>
      <c r="DZ252">
        <v>1.062486666666667</v>
      </c>
      <c r="EA252">
        <v>14.13523333333333</v>
      </c>
      <c r="EB252">
        <v>7.802643333333333</v>
      </c>
      <c r="EC252">
        <v>1499.943333333333</v>
      </c>
      <c r="ED252">
        <v>0.973002</v>
      </c>
      <c r="EE252">
        <v>0.0269982</v>
      </c>
      <c r="EF252">
        <v>0</v>
      </c>
      <c r="EG252">
        <v>922.1843333333333</v>
      </c>
      <c r="EH252">
        <v>5.00097</v>
      </c>
      <c r="EI252">
        <v>13719.43333333333</v>
      </c>
      <c r="EJ252">
        <v>12491.13333333333</v>
      </c>
      <c r="EK252">
        <v>37.5</v>
      </c>
      <c r="EL252">
        <v>39</v>
      </c>
      <c r="EM252">
        <v>37.875</v>
      </c>
      <c r="EN252">
        <v>38.75</v>
      </c>
      <c r="EO252">
        <v>38.375</v>
      </c>
      <c r="EP252">
        <v>1454.583333333333</v>
      </c>
      <c r="EQ252">
        <v>40.36000000000001</v>
      </c>
      <c r="ER252">
        <v>0</v>
      </c>
      <c r="ES252">
        <v>754.2000000476837</v>
      </c>
      <c r="ET252">
        <v>0</v>
      </c>
      <c r="EU252">
        <v>924.9176153846153</v>
      </c>
      <c r="EV252">
        <v>-23.16929916348206</v>
      </c>
      <c r="EW252">
        <v>-327.9111114537176</v>
      </c>
      <c r="EX252">
        <v>13757.23846153846</v>
      </c>
      <c r="EY252">
        <v>15</v>
      </c>
      <c r="EZ252">
        <v>1651857041.1</v>
      </c>
      <c r="FA252" t="s">
        <v>419</v>
      </c>
      <c r="FB252">
        <v>1651857019.6</v>
      </c>
      <c r="FC252">
        <v>1651857041.1</v>
      </c>
      <c r="FD252">
        <v>1</v>
      </c>
      <c r="FE252">
        <v>0.545</v>
      </c>
      <c r="FF252">
        <v>-0.002</v>
      </c>
      <c r="FG252">
        <v>-1.271</v>
      </c>
      <c r="FH252">
        <v>-0.09</v>
      </c>
      <c r="FI252">
        <v>400</v>
      </c>
      <c r="FJ252">
        <v>10</v>
      </c>
      <c r="FK252">
        <v>0.1</v>
      </c>
      <c r="FL252">
        <v>0.02</v>
      </c>
      <c r="FM252">
        <v>-64.08875365853659</v>
      </c>
      <c r="FN252">
        <v>-0.5957707317074392</v>
      </c>
      <c r="FO252">
        <v>0.1184518407800231</v>
      </c>
      <c r="FP252">
        <v>-1</v>
      </c>
      <c r="FQ252">
        <v>6.440003658536586</v>
      </c>
      <c r="FR252">
        <v>-1.625972613240416</v>
      </c>
      <c r="FS252">
        <v>0.1604240512312427</v>
      </c>
      <c r="FT252">
        <v>-1</v>
      </c>
      <c r="FU252">
        <v>0</v>
      </c>
      <c r="FV252">
        <v>0</v>
      </c>
      <c r="FW252">
        <v>0</v>
      </c>
      <c r="FX252">
        <v>-1</v>
      </c>
      <c r="FY252">
        <v>0</v>
      </c>
      <c r="FZ252">
        <v>0</v>
      </c>
      <c r="GA252" t="s">
        <v>432</v>
      </c>
      <c r="GB252">
        <v>2.98006</v>
      </c>
      <c r="GC252">
        <v>2.70596</v>
      </c>
      <c r="GD252">
        <v>0.218853</v>
      </c>
      <c r="GE252">
        <v>0.222021</v>
      </c>
      <c r="GF252">
        <v>0.0864371</v>
      </c>
      <c r="GG252">
        <v>0.06280719999999999</v>
      </c>
      <c r="GH252">
        <v>24646.6</v>
      </c>
      <c r="GI252">
        <v>24600.8</v>
      </c>
      <c r="GJ252">
        <v>29342.9</v>
      </c>
      <c r="GK252">
        <v>29257.1</v>
      </c>
      <c r="GL252">
        <v>35501.8</v>
      </c>
      <c r="GM252">
        <v>36517.7</v>
      </c>
      <c r="GN252">
        <v>41305</v>
      </c>
      <c r="GO252">
        <v>41754.1</v>
      </c>
      <c r="GP252">
        <v>1.95317</v>
      </c>
      <c r="GQ252">
        <v>1.8427</v>
      </c>
      <c r="GR252">
        <v>-0.0331402</v>
      </c>
      <c r="GS252">
        <v>0</v>
      </c>
      <c r="GT252">
        <v>25.5633</v>
      </c>
      <c r="GU252">
        <v>999.9</v>
      </c>
      <c r="GV252">
        <v>38.3</v>
      </c>
      <c r="GW252">
        <v>34</v>
      </c>
      <c r="GX252">
        <v>22.7221</v>
      </c>
      <c r="GY252">
        <v>62.4076</v>
      </c>
      <c r="GZ252">
        <v>34.98</v>
      </c>
      <c r="HA252">
        <v>1</v>
      </c>
      <c r="HB252">
        <v>0.136499</v>
      </c>
      <c r="HC252">
        <v>2.71561</v>
      </c>
      <c r="HD252">
        <v>20.3124</v>
      </c>
      <c r="HE252">
        <v>5.21774</v>
      </c>
      <c r="HF252">
        <v>12.0099</v>
      </c>
      <c r="HG252">
        <v>4.98885</v>
      </c>
      <c r="HH252">
        <v>3.28853</v>
      </c>
      <c r="HI252">
        <v>857.3</v>
      </c>
      <c r="HJ252">
        <v>8532.5</v>
      </c>
      <c r="HK252">
        <v>5139.4</v>
      </c>
      <c r="HL252">
        <v>22.9</v>
      </c>
      <c r="HM252">
        <v>1.86752</v>
      </c>
      <c r="HN252">
        <v>1.86647</v>
      </c>
      <c r="HO252">
        <v>1.866</v>
      </c>
      <c r="HP252">
        <v>1.86585</v>
      </c>
      <c r="HQ252">
        <v>1.86769</v>
      </c>
      <c r="HR252">
        <v>1.87023</v>
      </c>
      <c r="HS252">
        <v>1.8689</v>
      </c>
      <c r="HT252">
        <v>1.87026</v>
      </c>
      <c r="HU252">
        <v>0</v>
      </c>
      <c r="HV252">
        <v>0</v>
      </c>
      <c r="HW252">
        <v>0</v>
      </c>
      <c r="HX252">
        <v>0</v>
      </c>
      <c r="HY252" t="s">
        <v>421</v>
      </c>
      <c r="HZ252" t="s">
        <v>422</v>
      </c>
      <c r="IA252" t="s">
        <v>423</v>
      </c>
      <c r="IB252" t="s">
        <v>423</v>
      </c>
      <c r="IC252" t="s">
        <v>423</v>
      </c>
      <c r="ID252" t="s">
        <v>423</v>
      </c>
      <c r="IE252">
        <v>0</v>
      </c>
      <c r="IF252">
        <v>100</v>
      </c>
      <c r="IG252">
        <v>100</v>
      </c>
      <c r="IH252">
        <v>-3.19</v>
      </c>
      <c r="II252">
        <v>0</v>
      </c>
      <c r="IJ252">
        <v>-0.4995723906072</v>
      </c>
      <c r="IK252">
        <v>-0.002077099775823331</v>
      </c>
      <c r="IL252">
        <v>4.593143279902166E-07</v>
      </c>
      <c r="IM252">
        <v>-1.865383991892071E-10</v>
      </c>
      <c r="IN252">
        <v>-0.07605349583632376</v>
      </c>
      <c r="IO252">
        <v>-0.01129461987421345</v>
      </c>
      <c r="IP252">
        <v>0.00116580895745559</v>
      </c>
      <c r="IQ252">
        <v>-1.679085872906199E-05</v>
      </c>
      <c r="IR252">
        <v>2</v>
      </c>
      <c r="IS252">
        <v>2290</v>
      </c>
      <c r="IT252">
        <v>0</v>
      </c>
      <c r="IU252">
        <v>32</v>
      </c>
      <c r="IV252">
        <v>12.3</v>
      </c>
      <c r="IW252">
        <v>11.9</v>
      </c>
      <c r="IX252">
        <v>2.96753</v>
      </c>
      <c r="IY252">
        <v>2.19482</v>
      </c>
      <c r="IZ252">
        <v>1.39648</v>
      </c>
      <c r="JA252">
        <v>2.3584</v>
      </c>
      <c r="JB252">
        <v>1.49536</v>
      </c>
      <c r="JC252">
        <v>2.32788</v>
      </c>
      <c r="JD252">
        <v>38.5259</v>
      </c>
      <c r="JE252">
        <v>24.0437</v>
      </c>
      <c r="JF252">
        <v>18</v>
      </c>
      <c r="JG252">
        <v>513.241</v>
      </c>
      <c r="JH252">
        <v>427.624</v>
      </c>
      <c r="JI252">
        <v>22.026</v>
      </c>
      <c r="JJ252">
        <v>29.0711</v>
      </c>
      <c r="JK252">
        <v>30.0001</v>
      </c>
      <c r="JL252">
        <v>29.0702</v>
      </c>
      <c r="JM252">
        <v>29.0144</v>
      </c>
      <c r="JN252">
        <v>59.3699</v>
      </c>
      <c r="JO252">
        <v>44.8726</v>
      </c>
      <c r="JP252">
        <v>0</v>
      </c>
      <c r="JQ252">
        <v>22.0142</v>
      </c>
      <c r="JR252">
        <v>1564.79</v>
      </c>
      <c r="JS252">
        <v>12.0213</v>
      </c>
      <c r="JT252">
        <v>100.305</v>
      </c>
      <c r="JU252">
        <v>100.218</v>
      </c>
    </row>
    <row r="253" spans="1:281">
      <c r="A253">
        <v>237</v>
      </c>
      <c r="B253">
        <v>1651857757.6</v>
      </c>
      <c r="C253">
        <v>757</v>
      </c>
      <c r="D253" t="s">
        <v>901</v>
      </c>
      <c r="E253" t="s">
        <v>902</v>
      </c>
      <c r="F253">
        <v>2</v>
      </c>
      <c r="G253" t="s">
        <v>413</v>
      </c>
      <c r="H253" t="s">
        <v>414</v>
      </c>
      <c r="I253">
        <v>1651857756.225</v>
      </c>
      <c r="J253">
        <f>(K253)/1000</f>
        <v>0</v>
      </c>
      <c r="K253">
        <f>IF(CZ253, AN253, AH253)</f>
        <v>0</v>
      </c>
      <c r="L253">
        <f>IF(CZ253, AI253, AG253)</f>
        <v>0</v>
      </c>
      <c r="M253">
        <f>DB253 - IF(AU253&gt;1, L253*CV253*100.0/(AW253*DP253), 0)</f>
        <v>0</v>
      </c>
      <c r="N253">
        <f>((T253-J253/2)*M253-L253)/(T253+J253/2)</f>
        <v>0</v>
      </c>
      <c r="O253">
        <f>N253*(DI253+DJ253)/1000.0</f>
        <v>0</v>
      </c>
      <c r="P253">
        <f>(DB253 - IF(AU253&gt;1, L253*CV253*100.0/(AW253*DP253), 0))*(DI253+DJ253)/1000.0</f>
        <v>0</v>
      </c>
      <c r="Q253">
        <f>2.0/((1/S253-1/R253)+SIGN(S253)*SQRT((1/S253-1/R253)*(1/S253-1/R253) + 4*CW253/((CW253+1)*(CW253+1))*(2*1/S253*1/R253-1/R253*1/R253)))</f>
        <v>0</v>
      </c>
      <c r="R253">
        <f>IF(LEFT(CX253,1)&lt;&gt;"0",IF(LEFT(CX253,1)="1",3.0,CY253),$D$5+$E$5*(DP253*DI253/($K$5*1000))+$F$5*(DP253*DI253/($K$5*1000))*MAX(MIN(CV253,$J$5),$I$5)*MAX(MIN(CV253,$J$5),$I$5)+$G$5*MAX(MIN(CV253,$J$5),$I$5)*(DP253*DI253/($K$5*1000))+$H$5*(DP253*DI253/($K$5*1000))*(DP253*DI253/($K$5*1000)))</f>
        <v>0</v>
      </c>
      <c r="S253">
        <f>J253*(1000-(1000*0.61365*exp(17.502*W253/(240.97+W253))/(DI253+DJ253)+DD253)/2)/(1000*0.61365*exp(17.502*W253/(240.97+W253))/(DI253+DJ253)-DD253)</f>
        <v>0</v>
      </c>
      <c r="T253">
        <f>1/((CW253+1)/(Q253/1.6)+1/(R253/1.37)) + CW253/((CW253+1)/(Q253/1.6) + CW253/(R253/1.37))</f>
        <v>0</v>
      </c>
      <c r="U253">
        <f>(CR253*CU253)</f>
        <v>0</v>
      </c>
      <c r="V253">
        <f>(DK253+(U253+2*0.95*5.67E-8*(((DK253+$B$7)+273)^4-(DK253+273)^4)-44100*J253)/(1.84*29.3*R253+8*0.95*5.67E-8*(DK253+273)^3))</f>
        <v>0</v>
      </c>
      <c r="W253">
        <f>($C$7*DL253+$D$7*DM253+$E$7*V253)</f>
        <v>0</v>
      </c>
      <c r="X253">
        <f>0.61365*exp(17.502*W253/(240.97+W253))</f>
        <v>0</v>
      </c>
      <c r="Y253">
        <f>(Z253/AA253*100)</f>
        <v>0</v>
      </c>
      <c r="Z253">
        <f>DD253*(DI253+DJ253)/1000</f>
        <v>0</v>
      </c>
      <c r="AA253">
        <f>0.61365*exp(17.502*DK253/(240.97+DK253))</f>
        <v>0</v>
      </c>
      <c r="AB253">
        <f>(X253-DD253*(DI253+DJ253)/1000)</f>
        <v>0</v>
      </c>
      <c r="AC253">
        <f>(-J253*44100)</f>
        <v>0</v>
      </c>
      <c r="AD253">
        <f>2*29.3*R253*0.92*(DK253-W253)</f>
        <v>0</v>
      </c>
      <c r="AE253">
        <f>2*0.95*5.67E-8*(((DK253+$B$7)+273)^4-(W253+273)^4)</f>
        <v>0</v>
      </c>
      <c r="AF253">
        <f>U253+AE253+AC253+AD253</f>
        <v>0</v>
      </c>
      <c r="AG253">
        <f>DH253*AU253*(DC253-DB253*(1000-AU253*DE253)/(1000-AU253*DD253))/(100*CV253)</f>
        <v>0</v>
      </c>
      <c r="AH253">
        <f>1000*DH253*AU253*(DD253-DE253)/(100*CV253*(1000-AU253*DD253))</f>
        <v>0</v>
      </c>
      <c r="AI253">
        <f>(AJ253 - AK253 - DI253*1E3/(8.314*(DK253+273.15)) * AM253/DH253 * AL253) * DH253/(100*CV253) * (1000 - DE253)/1000</f>
        <v>0</v>
      </c>
      <c r="AJ253">
        <v>1562.231500025227</v>
      </c>
      <c r="AK253">
        <v>1514.419333333333</v>
      </c>
      <c r="AL253">
        <v>3.404669394746496</v>
      </c>
      <c r="AM253">
        <v>66.38384787954378</v>
      </c>
      <c r="AN253">
        <f>(AP253 - AO253 + DI253*1E3/(8.314*(DK253+273.15)) * AR253/DH253 * AQ253) * DH253/(100*CV253) * 1000/(1000 - AP253)</f>
        <v>0</v>
      </c>
      <c r="AO253">
        <v>11.75524526808994</v>
      </c>
      <c r="AP253">
        <v>17.96456117647059</v>
      </c>
      <c r="AQ253">
        <v>0.0001031991538226334</v>
      </c>
      <c r="AR253">
        <v>80.44866334591464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MAX(0,($B$13+$C$13*DP253)/(1+$D$13*DP253)*DI253/(DK253+273)*$E$13)</f>
        <v>0</v>
      </c>
      <c r="AX253" t="s">
        <v>417</v>
      </c>
      <c r="AY253" t="s">
        <v>417</v>
      </c>
      <c r="AZ253">
        <v>0</v>
      </c>
      <c r="BA253">
        <v>0</v>
      </c>
      <c r="BB253">
        <f>1-AZ253/BA253</f>
        <v>0</v>
      </c>
      <c r="BC253">
        <v>0</v>
      </c>
      <c r="BD253" t="s">
        <v>417</v>
      </c>
      <c r="BE253" t="s">
        <v>417</v>
      </c>
      <c r="BF253">
        <v>0</v>
      </c>
      <c r="BG253">
        <v>0</v>
      </c>
      <c r="BH253">
        <f>1-BF253/BG253</f>
        <v>0</v>
      </c>
      <c r="BI253">
        <v>0.5</v>
      </c>
      <c r="BJ253">
        <f>CS253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417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1238</v>
      </c>
      <c r="CA253">
        <v>300</v>
      </c>
      <c r="CB253">
        <v>300</v>
      </c>
      <c r="CC253">
        <v>300</v>
      </c>
      <c r="CD253">
        <v>10440.5</v>
      </c>
      <c r="CE253">
        <v>1411.69</v>
      </c>
      <c r="CF253">
        <v>-0.00735121</v>
      </c>
      <c r="CG253">
        <v>-0.77</v>
      </c>
      <c r="CH253" t="s">
        <v>417</v>
      </c>
      <c r="CI253" t="s">
        <v>417</v>
      </c>
      <c r="CJ253" t="s">
        <v>417</v>
      </c>
      <c r="CK253" t="s">
        <v>417</v>
      </c>
      <c r="CL253" t="s">
        <v>417</v>
      </c>
      <c r="CM253" t="s">
        <v>417</v>
      </c>
      <c r="CN253" t="s">
        <v>417</v>
      </c>
      <c r="CO253" t="s">
        <v>417</v>
      </c>
      <c r="CP253" t="s">
        <v>417</v>
      </c>
      <c r="CQ253" t="s">
        <v>417</v>
      </c>
      <c r="CR253">
        <f>$B$11*DQ253+$C$11*DR253+$F$11*EC253*(1-EF253)</f>
        <v>0</v>
      </c>
      <c r="CS253">
        <f>CR253*CT253</f>
        <v>0</v>
      </c>
      <c r="CT253">
        <f>($B$11*$D$9+$C$11*$D$9+$F$11*((EP253+EH253)/MAX(EP253+EH253+EQ253, 0.1)*$I$9+EQ253/MAX(EP253+EH253+EQ253, 0.1)*$J$9))/($B$11+$C$11+$F$11)</f>
        <v>0</v>
      </c>
      <c r="CU253">
        <f>($B$11*$K$9+$C$11*$K$9+$F$11*((EP253+EH253)/MAX(EP253+EH253+EQ253, 0.1)*$P$9+EQ253/MAX(EP253+EH253+EQ253, 0.1)*$Q$9))/($B$11+$C$11+$F$11)</f>
        <v>0</v>
      </c>
      <c r="CV253">
        <v>6</v>
      </c>
      <c r="CW253">
        <v>0.5</v>
      </c>
      <c r="CX253" t="s">
        <v>418</v>
      </c>
      <c r="CY253">
        <v>2</v>
      </c>
      <c r="CZ253" t="b">
        <v>1</v>
      </c>
      <c r="DA253">
        <v>1651857756.225</v>
      </c>
      <c r="DB253">
        <v>1484.285</v>
      </c>
      <c r="DC253">
        <v>1548.28</v>
      </c>
      <c r="DD253">
        <v>17.966625</v>
      </c>
      <c r="DE253">
        <v>11.845375</v>
      </c>
      <c r="DF253">
        <v>1487.4725</v>
      </c>
      <c r="DG253">
        <v>17.966625</v>
      </c>
      <c r="DH253">
        <v>500.063</v>
      </c>
      <c r="DI253">
        <v>90.064325</v>
      </c>
      <c r="DJ253">
        <v>0.0999285</v>
      </c>
      <c r="DK253">
        <v>25.6995</v>
      </c>
      <c r="DL253">
        <v>25.018425</v>
      </c>
      <c r="DM253">
        <v>999.9</v>
      </c>
      <c r="DN253">
        <v>0</v>
      </c>
      <c r="DO253">
        <v>0</v>
      </c>
      <c r="DP253">
        <v>9991.405000000001</v>
      </c>
      <c r="DQ253">
        <v>0</v>
      </c>
      <c r="DR253">
        <v>3.2055875</v>
      </c>
      <c r="DS253">
        <v>-63.992825</v>
      </c>
      <c r="DT253">
        <v>1511.44</v>
      </c>
      <c r="DU253">
        <v>1566.8375</v>
      </c>
      <c r="DV253">
        <v>6.121214999999999</v>
      </c>
      <c r="DW253">
        <v>1548.28</v>
      </c>
      <c r="DX253">
        <v>11.845375</v>
      </c>
      <c r="DY253">
        <v>1.61815</v>
      </c>
      <c r="DZ253">
        <v>1.0668475</v>
      </c>
      <c r="EA253">
        <v>14.13275</v>
      </c>
      <c r="EB253">
        <v>7.862730000000001</v>
      </c>
      <c r="EC253">
        <v>1499.9975</v>
      </c>
      <c r="ED253">
        <v>0.9729982500000001</v>
      </c>
      <c r="EE253">
        <v>0.0270018</v>
      </c>
      <c r="EF253">
        <v>0</v>
      </c>
      <c r="EG253">
        <v>921.737</v>
      </c>
      <c r="EH253">
        <v>5.00097</v>
      </c>
      <c r="EI253">
        <v>13711.825</v>
      </c>
      <c r="EJ253">
        <v>12491.55</v>
      </c>
      <c r="EK253">
        <v>37.5</v>
      </c>
      <c r="EL253">
        <v>39</v>
      </c>
      <c r="EM253">
        <v>37.875</v>
      </c>
      <c r="EN253">
        <v>38.75</v>
      </c>
      <c r="EO253">
        <v>38.375</v>
      </c>
      <c r="EP253">
        <v>1454.63</v>
      </c>
      <c r="EQ253">
        <v>40.36750000000001</v>
      </c>
      <c r="ER253">
        <v>0</v>
      </c>
      <c r="ES253">
        <v>756.6000001430511</v>
      </c>
      <c r="ET253">
        <v>0</v>
      </c>
      <c r="EU253">
        <v>923.9971153846153</v>
      </c>
      <c r="EV253">
        <v>-22.52105984428206</v>
      </c>
      <c r="EW253">
        <v>-325.3435900828886</v>
      </c>
      <c r="EX253">
        <v>13744.40384615385</v>
      </c>
      <c r="EY253">
        <v>15</v>
      </c>
      <c r="EZ253">
        <v>1651857041.1</v>
      </c>
      <c r="FA253" t="s">
        <v>419</v>
      </c>
      <c r="FB253">
        <v>1651857019.6</v>
      </c>
      <c r="FC253">
        <v>1651857041.1</v>
      </c>
      <c r="FD253">
        <v>1</v>
      </c>
      <c r="FE253">
        <v>0.545</v>
      </c>
      <c r="FF253">
        <v>-0.002</v>
      </c>
      <c r="FG253">
        <v>-1.271</v>
      </c>
      <c r="FH253">
        <v>-0.09</v>
      </c>
      <c r="FI253">
        <v>400</v>
      </c>
      <c r="FJ253">
        <v>10</v>
      </c>
      <c r="FK253">
        <v>0.1</v>
      </c>
      <c r="FL253">
        <v>0.02</v>
      </c>
      <c r="FM253">
        <v>-64.10936</v>
      </c>
      <c r="FN253">
        <v>-0.3002634146341769</v>
      </c>
      <c r="FO253">
        <v>0.1022605979837778</v>
      </c>
      <c r="FP253">
        <v>-1</v>
      </c>
      <c r="FQ253">
        <v>6.39235025</v>
      </c>
      <c r="FR253">
        <v>-1.626909230769233</v>
      </c>
      <c r="FS253">
        <v>0.1566077713986043</v>
      </c>
      <c r="FT253">
        <v>-1</v>
      </c>
      <c r="FU253">
        <v>0</v>
      </c>
      <c r="FV253">
        <v>0</v>
      </c>
      <c r="FW253">
        <v>0</v>
      </c>
      <c r="FX253">
        <v>-1</v>
      </c>
      <c r="FY253">
        <v>0</v>
      </c>
      <c r="FZ253">
        <v>0</v>
      </c>
      <c r="GA253" t="s">
        <v>432</v>
      </c>
      <c r="GB253">
        <v>2.97989</v>
      </c>
      <c r="GC253">
        <v>2.70609</v>
      </c>
      <c r="GD253">
        <v>0.219452</v>
      </c>
      <c r="GE253">
        <v>0.222572</v>
      </c>
      <c r="GF253">
        <v>0.0864309</v>
      </c>
      <c r="GG253">
        <v>0.0630126</v>
      </c>
      <c r="GH253">
        <v>24627.3</v>
      </c>
      <c r="GI253">
        <v>24583.4</v>
      </c>
      <c r="GJ253">
        <v>29342.4</v>
      </c>
      <c r="GK253">
        <v>29257.1</v>
      </c>
      <c r="GL253">
        <v>35501.3</v>
      </c>
      <c r="GM253">
        <v>36509.8</v>
      </c>
      <c r="GN253">
        <v>41304.1</v>
      </c>
      <c r="GO253">
        <v>41754.3</v>
      </c>
      <c r="GP253">
        <v>1.95282</v>
      </c>
      <c r="GQ253">
        <v>1.84285</v>
      </c>
      <c r="GR253">
        <v>-0.0331849</v>
      </c>
      <c r="GS253">
        <v>0</v>
      </c>
      <c r="GT253">
        <v>25.5627</v>
      </c>
      <c r="GU253">
        <v>999.9</v>
      </c>
      <c r="GV253">
        <v>38.3</v>
      </c>
      <c r="GW253">
        <v>34</v>
      </c>
      <c r="GX253">
        <v>22.7224</v>
      </c>
      <c r="GY253">
        <v>62.5976</v>
      </c>
      <c r="GZ253">
        <v>35.4567</v>
      </c>
      <c r="HA253">
        <v>1</v>
      </c>
      <c r="HB253">
        <v>0.136308</v>
      </c>
      <c r="HC253">
        <v>2.7167</v>
      </c>
      <c r="HD253">
        <v>20.3123</v>
      </c>
      <c r="HE253">
        <v>5.21759</v>
      </c>
      <c r="HF253">
        <v>12.0099</v>
      </c>
      <c r="HG253">
        <v>4.98915</v>
      </c>
      <c r="HH253">
        <v>3.28853</v>
      </c>
      <c r="HI253">
        <v>857.3</v>
      </c>
      <c r="HJ253">
        <v>8532.5</v>
      </c>
      <c r="HK253">
        <v>5139.4</v>
      </c>
      <c r="HL253">
        <v>22.9</v>
      </c>
      <c r="HM253">
        <v>1.86752</v>
      </c>
      <c r="HN253">
        <v>1.86647</v>
      </c>
      <c r="HO253">
        <v>1.866</v>
      </c>
      <c r="HP253">
        <v>1.86585</v>
      </c>
      <c r="HQ253">
        <v>1.86771</v>
      </c>
      <c r="HR253">
        <v>1.87025</v>
      </c>
      <c r="HS253">
        <v>1.8689</v>
      </c>
      <c r="HT253">
        <v>1.87026</v>
      </c>
      <c r="HU253">
        <v>0</v>
      </c>
      <c r="HV253">
        <v>0</v>
      </c>
      <c r="HW253">
        <v>0</v>
      </c>
      <c r="HX253">
        <v>0</v>
      </c>
      <c r="HY253" t="s">
        <v>421</v>
      </c>
      <c r="HZ253" t="s">
        <v>422</v>
      </c>
      <c r="IA253" t="s">
        <v>423</v>
      </c>
      <c r="IB253" t="s">
        <v>423</v>
      </c>
      <c r="IC253" t="s">
        <v>423</v>
      </c>
      <c r="ID253" t="s">
        <v>423</v>
      </c>
      <c r="IE253">
        <v>0</v>
      </c>
      <c r="IF253">
        <v>100</v>
      </c>
      <c r="IG253">
        <v>100</v>
      </c>
      <c r="IH253">
        <v>-3.2</v>
      </c>
      <c r="II253">
        <v>-0.0001</v>
      </c>
      <c r="IJ253">
        <v>-0.4995723906072</v>
      </c>
      <c r="IK253">
        <v>-0.002077099775823331</v>
      </c>
      <c r="IL253">
        <v>4.593143279902166E-07</v>
      </c>
      <c r="IM253">
        <v>-1.865383991892071E-10</v>
      </c>
      <c r="IN253">
        <v>-0.07605349583632376</v>
      </c>
      <c r="IO253">
        <v>-0.01129461987421345</v>
      </c>
      <c r="IP253">
        <v>0.00116580895745559</v>
      </c>
      <c r="IQ253">
        <v>-1.679085872906199E-05</v>
      </c>
      <c r="IR253">
        <v>2</v>
      </c>
      <c r="IS253">
        <v>2290</v>
      </c>
      <c r="IT253">
        <v>0</v>
      </c>
      <c r="IU253">
        <v>32</v>
      </c>
      <c r="IV253">
        <v>12.3</v>
      </c>
      <c r="IW253">
        <v>11.9</v>
      </c>
      <c r="IX253">
        <v>2.97852</v>
      </c>
      <c r="IY253">
        <v>2.19604</v>
      </c>
      <c r="IZ253">
        <v>1.39648</v>
      </c>
      <c r="JA253">
        <v>2.3584</v>
      </c>
      <c r="JB253">
        <v>1.49536</v>
      </c>
      <c r="JC253">
        <v>2.33887</v>
      </c>
      <c r="JD253">
        <v>38.5014</v>
      </c>
      <c r="JE253">
        <v>24.035</v>
      </c>
      <c r="JF253">
        <v>18</v>
      </c>
      <c r="JG253">
        <v>513.011</v>
      </c>
      <c r="JH253">
        <v>427.71</v>
      </c>
      <c r="JI253">
        <v>22.0168</v>
      </c>
      <c r="JJ253">
        <v>29.0711</v>
      </c>
      <c r="JK253">
        <v>30.0001</v>
      </c>
      <c r="JL253">
        <v>29.0702</v>
      </c>
      <c r="JM253">
        <v>29.0138</v>
      </c>
      <c r="JN253">
        <v>59.5849</v>
      </c>
      <c r="JO253">
        <v>44.6002</v>
      </c>
      <c r="JP253">
        <v>0</v>
      </c>
      <c r="JQ253">
        <v>22.0142</v>
      </c>
      <c r="JR253">
        <v>1571.49</v>
      </c>
      <c r="JS253">
        <v>12.0731</v>
      </c>
      <c r="JT253">
        <v>100.303</v>
      </c>
      <c r="JU253">
        <v>100.218</v>
      </c>
    </row>
    <row r="254" spans="1:281">
      <c r="A254">
        <v>238</v>
      </c>
      <c r="B254">
        <v>1651857759.6</v>
      </c>
      <c r="C254">
        <v>759</v>
      </c>
      <c r="D254" t="s">
        <v>903</v>
      </c>
      <c r="E254" t="s">
        <v>904</v>
      </c>
      <c r="F254">
        <v>2</v>
      </c>
      <c r="G254" t="s">
        <v>413</v>
      </c>
      <c r="H254" t="s">
        <v>414</v>
      </c>
      <c r="I254">
        <v>1651857758.6</v>
      </c>
      <c r="J254">
        <f>(K254)/1000</f>
        <v>0</v>
      </c>
      <c r="K254">
        <f>IF(CZ254, AN254, AH254)</f>
        <v>0</v>
      </c>
      <c r="L254">
        <f>IF(CZ254, AI254, AG254)</f>
        <v>0</v>
      </c>
      <c r="M254">
        <f>DB254 - IF(AU254&gt;1, L254*CV254*100.0/(AW254*DP254), 0)</f>
        <v>0</v>
      </c>
      <c r="N254">
        <f>((T254-J254/2)*M254-L254)/(T254+J254/2)</f>
        <v>0</v>
      </c>
      <c r="O254">
        <f>N254*(DI254+DJ254)/1000.0</f>
        <v>0</v>
      </c>
      <c r="P254">
        <f>(DB254 - IF(AU254&gt;1, L254*CV254*100.0/(AW254*DP254), 0))*(DI254+DJ254)/1000.0</f>
        <v>0</v>
      </c>
      <c r="Q254">
        <f>2.0/((1/S254-1/R254)+SIGN(S254)*SQRT((1/S254-1/R254)*(1/S254-1/R254) + 4*CW254/((CW254+1)*(CW254+1))*(2*1/S254*1/R254-1/R254*1/R254)))</f>
        <v>0</v>
      </c>
      <c r="R254">
        <f>IF(LEFT(CX254,1)&lt;&gt;"0",IF(LEFT(CX254,1)="1",3.0,CY254),$D$5+$E$5*(DP254*DI254/($K$5*1000))+$F$5*(DP254*DI254/($K$5*1000))*MAX(MIN(CV254,$J$5),$I$5)*MAX(MIN(CV254,$J$5),$I$5)+$G$5*MAX(MIN(CV254,$J$5),$I$5)*(DP254*DI254/($K$5*1000))+$H$5*(DP254*DI254/($K$5*1000))*(DP254*DI254/($K$5*1000)))</f>
        <v>0</v>
      </c>
      <c r="S254">
        <f>J254*(1000-(1000*0.61365*exp(17.502*W254/(240.97+W254))/(DI254+DJ254)+DD254)/2)/(1000*0.61365*exp(17.502*W254/(240.97+W254))/(DI254+DJ254)-DD254)</f>
        <v>0</v>
      </c>
      <c r="T254">
        <f>1/((CW254+1)/(Q254/1.6)+1/(R254/1.37)) + CW254/((CW254+1)/(Q254/1.6) + CW254/(R254/1.37))</f>
        <v>0</v>
      </c>
      <c r="U254">
        <f>(CR254*CU254)</f>
        <v>0</v>
      </c>
      <c r="V254">
        <f>(DK254+(U254+2*0.95*5.67E-8*(((DK254+$B$7)+273)^4-(DK254+273)^4)-44100*J254)/(1.84*29.3*R254+8*0.95*5.67E-8*(DK254+273)^3))</f>
        <v>0</v>
      </c>
      <c r="W254">
        <f>($C$7*DL254+$D$7*DM254+$E$7*V254)</f>
        <v>0</v>
      </c>
      <c r="X254">
        <f>0.61365*exp(17.502*W254/(240.97+W254))</f>
        <v>0</v>
      </c>
      <c r="Y254">
        <f>(Z254/AA254*100)</f>
        <v>0</v>
      </c>
      <c r="Z254">
        <f>DD254*(DI254+DJ254)/1000</f>
        <v>0</v>
      </c>
      <c r="AA254">
        <f>0.61365*exp(17.502*DK254/(240.97+DK254))</f>
        <v>0</v>
      </c>
      <c r="AB254">
        <f>(X254-DD254*(DI254+DJ254)/1000)</f>
        <v>0</v>
      </c>
      <c r="AC254">
        <f>(-J254*44100)</f>
        <v>0</v>
      </c>
      <c r="AD254">
        <f>2*29.3*R254*0.92*(DK254-W254)</f>
        <v>0</v>
      </c>
      <c r="AE254">
        <f>2*0.95*5.67E-8*(((DK254+$B$7)+273)^4-(W254+273)^4)</f>
        <v>0</v>
      </c>
      <c r="AF254">
        <f>U254+AE254+AC254+AD254</f>
        <v>0</v>
      </c>
      <c r="AG254">
        <f>DH254*AU254*(DC254-DB254*(1000-AU254*DE254)/(1000-AU254*DD254))/(100*CV254)</f>
        <v>0</v>
      </c>
      <c r="AH254">
        <f>1000*DH254*AU254*(DD254-DE254)/(100*CV254*(1000-AU254*DD254))</f>
        <v>0</v>
      </c>
      <c r="AI254">
        <f>(AJ254 - AK254 - DI254*1E3/(8.314*(DK254+273.15)) * AM254/DH254 * AL254) * DH254/(100*CV254) * (1000 - DE254)/1000</f>
        <v>0</v>
      </c>
      <c r="AJ254">
        <v>1568.800278601185</v>
      </c>
      <c r="AK254">
        <v>1521.266787878788</v>
      </c>
      <c r="AL254">
        <v>3.418301889469653</v>
      </c>
      <c r="AM254">
        <v>66.38384787954378</v>
      </c>
      <c r="AN254">
        <f>(AP254 - AO254 + DI254*1E3/(8.314*(DK254+273.15)) * AR254/DH254 * AQ254) * DH254/(100*CV254) * 1000/(1000 - AP254)</f>
        <v>0</v>
      </c>
      <c r="AO254">
        <v>11.81246664570501</v>
      </c>
      <c r="AP254">
        <v>17.96590676470587</v>
      </c>
      <c r="AQ254">
        <v>-9.52262478990437E-05</v>
      </c>
      <c r="AR254">
        <v>80.44866334591464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MAX(0,($B$13+$C$13*DP254)/(1+$D$13*DP254)*DI254/(DK254+273)*$E$13)</f>
        <v>0</v>
      </c>
      <c r="AX254" t="s">
        <v>417</v>
      </c>
      <c r="AY254" t="s">
        <v>417</v>
      </c>
      <c r="AZ254">
        <v>0</v>
      </c>
      <c r="BA254">
        <v>0</v>
      </c>
      <c r="BB254">
        <f>1-AZ254/BA254</f>
        <v>0</v>
      </c>
      <c r="BC254">
        <v>0</v>
      </c>
      <c r="BD254" t="s">
        <v>417</v>
      </c>
      <c r="BE254" t="s">
        <v>417</v>
      </c>
      <c r="BF254">
        <v>0</v>
      </c>
      <c r="BG254">
        <v>0</v>
      </c>
      <c r="BH254">
        <f>1-BF254/BG254</f>
        <v>0</v>
      </c>
      <c r="BI254">
        <v>0.5</v>
      </c>
      <c r="BJ254">
        <f>CS254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417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1238</v>
      </c>
      <c r="CA254">
        <v>300</v>
      </c>
      <c r="CB254">
        <v>300</v>
      </c>
      <c r="CC254">
        <v>300</v>
      </c>
      <c r="CD254">
        <v>10440.5</v>
      </c>
      <c r="CE254">
        <v>1411.69</v>
      </c>
      <c r="CF254">
        <v>-0.00735121</v>
      </c>
      <c r="CG254">
        <v>-0.77</v>
      </c>
      <c r="CH254" t="s">
        <v>417</v>
      </c>
      <c r="CI254" t="s">
        <v>417</v>
      </c>
      <c r="CJ254" t="s">
        <v>417</v>
      </c>
      <c r="CK254" t="s">
        <v>417</v>
      </c>
      <c r="CL254" t="s">
        <v>417</v>
      </c>
      <c r="CM254" t="s">
        <v>417</v>
      </c>
      <c r="CN254" t="s">
        <v>417</v>
      </c>
      <c r="CO254" t="s">
        <v>417</v>
      </c>
      <c r="CP254" t="s">
        <v>417</v>
      </c>
      <c r="CQ254" t="s">
        <v>417</v>
      </c>
      <c r="CR254">
        <f>$B$11*DQ254+$C$11*DR254+$F$11*EC254*(1-EF254)</f>
        <v>0</v>
      </c>
      <c r="CS254">
        <f>CR254*CT254</f>
        <v>0</v>
      </c>
      <c r="CT254">
        <f>($B$11*$D$9+$C$11*$D$9+$F$11*((EP254+EH254)/MAX(EP254+EH254+EQ254, 0.1)*$I$9+EQ254/MAX(EP254+EH254+EQ254, 0.1)*$J$9))/($B$11+$C$11+$F$11)</f>
        <v>0</v>
      </c>
      <c r="CU254">
        <f>($B$11*$K$9+$C$11*$K$9+$F$11*((EP254+EH254)/MAX(EP254+EH254+EQ254, 0.1)*$P$9+EQ254/MAX(EP254+EH254+EQ254, 0.1)*$Q$9))/($B$11+$C$11+$F$11)</f>
        <v>0</v>
      </c>
      <c r="CV254">
        <v>6</v>
      </c>
      <c r="CW254">
        <v>0.5</v>
      </c>
      <c r="CX254" t="s">
        <v>418</v>
      </c>
      <c r="CY254">
        <v>2</v>
      </c>
      <c r="CZ254" t="b">
        <v>1</v>
      </c>
      <c r="DA254">
        <v>1651857758.6</v>
      </c>
      <c r="DB254">
        <v>1492.256666666667</v>
      </c>
      <c r="DC254">
        <v>1556.12</v>
      </c>
      <c r="DD254">
        <v>17.96636666666666</v>
      </c>
      <c r="DE254">
        <v>11.90313333333333</v>
      </c>
      <c r="DF254">
        <v>1495.463333333333</v>
      </c>
      <c r="DG254">
        <v>17.96636666666666</v>
      </c>
      <c r="DH254">
        <v>500.0206666666667</v>
      </c>
      <c r="DI254">
        <v>90.06303333333335</v>
      </c>
      <c r="DJ254">
        <v>0.1000023333333333</v>
      </c>
      <c r="DK254">
        <v>25.6976</v>
      </c>
      <c r="DL254">
        <v>25.0198</v>
      </c>
      <c r="DM254">
        <v>999.9</v>
      </c>
      <c r="DN254">
        <v>0</v>
      </c>
      <c r="DO254">
        <v>0</v>
      </c>
      <c r="DP254">
        <v>9998.546666666667</v>
      </c>
      <c r="DQ254">
        <v>0</v>
      </c>
      <c r="DR254">
        <v>3.20383</v>
      </c>
      <c r="DS254">
        <v>-63.86303333333333</v>
      </c>
      <c r="DT254">
        <v>1519.56</v>
      </c>
      <c r="DU254">
        <v>1574.866666666667</v>
      </c>
      <c r="DV254">
        <v>6.06319</v>
      </c>
      <c r="DW254">
        <v>1556.12</v>
      </c>
      <c r="DX254">
        <v>11.90313333333333</v>
      </c>
      <c r="DY254">
        <v>1.618103333333333</v>
      </c>
      <c r="DZ254">
        <v>1.072033333333333</v>
      </c>
      <c r="EA254">
        <v>14.1323</v>
      </c>
      <c r="EB254">
        <v>7.933956666666667</v>
      </c>
      <c r="EC254">
        <v>1500.04</v>
      </c>
      <c r="ED254">
        <v>0.972997</v>
      </c>
      <c r="EE254">
        <v>0.02700303333333333</v>
      </c>
      <c r="EF254">
        <v>0</v>
      </c>
      <c r="EG254">
        <v>920.811</v>
      </c>
      <c r="EH254">
        <v>5.00097</v>
      </c>
      <c r="EI254">
        <v>13699</v>
      </c>
      <c r="EJ254">
        <v>12491.9</v>
      </c>
      <c r="EK254">
        <v>37.5</v>
      </c>
      <c r="EL254">
        <v>39</v>
      </c>
      <c r="EM254">
        <v>37.875</v>
      </c>
      <c r="EN254">
        <v>38.75</v>
      </c>
      <c r="EO254">
        <v>38.333</v>
      </c>
      <c r="EP254">
        <v>1454.67</v>
      </c>
      <c r="EQ254">
        <v>40.37</v>
      </c>
      <c r="ER254">
        <v>0</v>
      </c>
      <c r="ES254">
        <v>758.4000000953674</v>
      </c>
      <c r="ET254">
        <v>0</v>
      </c>
      <c r="EU254">
        <v>923.21308</v>
      </c>
      <c r="EV254">
        <v>-22.44161535093249</v>
      </c>
      <c r="EW254">
        <v>-323.192307280349</v>
      </c>
      <c r="EX254">
        <v>13732.868</v>
      </c>
      <c r="EY254">
        <v>15</v>
      </c>
      <c r="EZ254">
        <v>1651857041.1</v>
      </c>
      <c r="FA254" t="s">
        <v>419</v>
      </c>
      <c r="FB254">
        <v>1651857019.6</v>
      </c>
      <c r="FC254">
        <v>1651857041.1</v>
      </c>
      <c r="FD254">
        <v>1</v>
      </c>
      <c r="FE254">
        <v>0.545</v>
      </c>
      <c r="FF254">
        <v>-0.002</v>
      </c>
      <c r="FG254">
        <v>-1.271</v>
      </c>
      <c r="FH254">
        <v>-0.09</v>
      </c>
      <c r="FI254">
        <v>400</v>
      </c>
      <c r="FJ254">
        <v>10</v>
      </c>
      <c r="FK254">
        <v>0.1</v>
      </c>
      <c r="FL254">
        <v>0.02</v>
      </c>
      <c r="FM254">
        <v>-64.059755</v>
      </c>
      <c r="FN254">
        <v>0.0341425891183437</v>
      </c>
      <c r="FO254">
        <v>0.1305041799139008</v>
      </c>
      <c r="FP254">
        <v>-1</v>
      </c>
      <c r="FQ254">
        <v>6.31084575</v>
      </c>
      <c r="FR254">
        <v>-1.626451969981242</v>
      </c>
      <c r="FS254">
        <v>0.1565544901925126</v>
      </c>
      <c r="FT254">
        <v>-1</v>
      </c>
      <c r="FU254">
        <v>0</v>
      </c>
      <c r="FV254">
        <v>0</v>
      </c>
      <c r="FW254">
        <v>0</v>
      </c>
      <c r="FX254">
        <v>-1</v>
      </c>
      <c r="FY254">
        <v>0</v>
      </c>
      <c r="FZ254">
        <v>0</v>
      </c>
      <c r="GA254" t="s">
        <v>432</v>
      </c>
      <c r="GB254">
        <v>2.98003</v>
      </c>
      <c r="GC254">
        <v>2.70619</v>
      </c>
      <c r="GD254">
        <v>0.220049</v>
      </c>
      <c r="GE254">
        <v>0.223163</v>
      </c>
      <c r="GF254">
        <v>0.0864345</v>
      </c>
      <c r="GG254">
        <v>0.06322419999999999</v>
      </c>
      <c r="GH254">
        <v>24608.4</v>
      </c>
      <c r="GI254">
        <v>24564.8</v>
      </c>
      <c r="GJ254">
        <v>29342.4</v>
      </c>
      <c r="GK254">
        <v>29257.3</v>
      </c>
      <c r="GL254">
        <v>35500.9</v>
      </c>
      <c r="GM254">
        <v>36501.7</v>
      </c>
      <c r="GN254">
        <v>41303.9</v>
      </c>
      <c r="GO254">
        <v>41754.4</v>
      </c>
      <c r="GP254">
        <v>1.95282</v>
      </c>
      <c r="GQ254">
        <v>1.84295</v>
      </c>
      <c r="GR254">
        <v>-0.033401</v>
      </c>
      <c r="GS254">
        <v>0</v>
      </c>
      <c r="GT254">
        <v>25.5627</v>
      </c>
      <c r="GU254">
        <v>999.9</v>
      </c>
      <c r="GV254">
        <v>38.3</v>
      </c>
      <c r="GW254">
        <v>34</v>
      </c>
      <c r="GX254">
        <v>22.7213</v>
      </c>
      <c r="GY254">
        <v>62.5476</v>
      </c>
      <c r="GZ254">
        <v>34.9679</v>
      </c>
      <c r="HA254">
        <v>1</v>
      </c>
      <c r="HB254">
        <v>0.136209</v>
      </c>
      <c r="HC254">
        <v>2.71436</v>
      </c>
      <c r="HD254">
        <v>20.3124</v>
      </c>
      <c r="HE254">
        <v>5.21759</v>
      </c>
      <c r="HF254">
        <v>12.0099</v>
      </c>
      <c r="HG254">
        <v>4.98885</v>
      </c>
      <c r="HH254">
        <v>3.28848</v>
      </c>
      <c r="HI254">
        <v>857.3</v>
      </c>
      <c r="HJ254">
        <v>8532.5</v>
      </c>
      <c r="HK254">
        <v>5139.4</v>
      </c>
      <c r="HL254">
        <v>22.9</v>
      </c>
      <c r="HM254">
        <v>1.86752</v>
      </c>
      <c r="HN254">
        <v>1.86647</v>
      </c>
      <c r="HO254">
        <v>1.866</v>
      </c>
      <c r="HP254">
        <v>1.86585</v>
      </c>
      <c r="HQ254">
        <v>1.86773</v>
      </c>
      <c r="HR254">
        <v>1.87026</v>
      </c>
      <c r="HS254">
        <v>1.8689</v>
      </c>
      <c r="HT254">
        <v>1.87026</v>
      </c>
      <c r="HU254">
        <v>0</v>
      </c>
      <c r="HV254">
        <v>0</v>
      </c>
      <c r="HW254">
        <v>0</v>
      </c>
      <c r="HX254">
        <v>0</v>
      </c>
      <c r="HY254" t="s">
        <v>421</v>
      </c>
      <c r="HZ254" t="s">
        <v>422</v>
      </c>
      <c r="IA254" t="s">
        <v>423</v>
      </c>
      <c r="IB254" t="s">
        <v>423</v>
      </c>
      <c r="IC254" t="s">
        <v>423</v>
      </c>
      <c r="ID254" t="s">
        <v>423</v>
      </c>
      <c r="IE254">
        <v>0</v>
      </c>
      <c r="IF254">
        <v>100</v>
      </c>
      <c r="IG254">
        <v>100</v>
      </c>
      <c r="IH254">
        <v>-3.21</v>
      </c>
      <c r="II254">
        <v>-0.0001</v>
      </c>
      <c r="IJ254">
        <v>-0.4995723906072</v>
      </c>
      <c r="IK254">
        <v>-0.002077099775823331</v>
      </c>
      <c r="IL254">
        <v>4.593143279902166E-07</v>
      </c>
      <c r="IM254">
        <v>-1.865383991892071E-10</v>
      </c>
      <c r="IN254">
        <v>-0.07605349583632376</v>
      </c>
      <c r="IO254">
        <v>-0.01129461987421345</v>
      </c>
      <c r="IP254">
        <v>0.00116580895745559</v>
      </c>
      <c r="IQ254">
        <v>-1.679085872906199E-05</v>
      </c>
      <c r="IR254">
        <v>2</v>
      </c>
      <c r="IS254">
        <v>2290</v>
      </c>
      <c r="IT254">
        <v>0</v>
      </c>
      <c r="IU254">
        <v>32</v>
      </c>
      <c r="IV254">
        <v>12.3</v>
      </c>
      <c r="IW254">
        <v>12</v>
      </c>
      <c r="IX254">
        <v>2.98828</v>
      </c>
      <c r="IY254">
        <v>2.19238</v>
      </c>
      <c r="IZ254">
        <v>1.39648</v>
      </c>
      <c r="JA254">
        <v>2.3584</v>
      </c>
      <c r="JB254">
        <v>1.49536</v>
      </c>
      <c r="JC254">
        <v>2.31689</v>
      </c>
      <c r="JD254">
        <v>38.5259</v>
      </c>
      <c r="JE254">
        <v>24.035</v>
      </c>
      <c r="JF254">
        <v>18</v>
      </c>
      <c r="JG254">
        <v>513.011</v>
      </c>
      <c r="JH254">
        <v>427.761</v>
      </c>
      <c r="JI254">
        <v>22.0089</v>
      </c>
      <c r="JJ254">
        <v>29.0711</v>
      </c>
      <c r="JK254">
        <v>30.0001</v>
      </c>
      <c r="JL254">
        <v>29.0702</v>
      </c>
      <c r="JM254">
        <v>29.0125</v>
      </c>
      <c r="JN254">
        <v>59.7819</v>
      </c>
      <c r="JO254">
        <v>44.3285</v>
      </c>
      <c r="JP254">
        <v>0</v>
      </c>
      <c r="JQ254">
        <v>21.9955</v>
      </c>
      <c r="JR254">
        <v>1578.16</v>
      </c>
      <c r="JS254">
        <v>12.1282</v>
      </c>
      <c r="JT254">
        <v>100.303</v>
      </c>
      <c r="JU254">
        <v>100.218</v>
      </c>
    </row>
    <row r="255" spans="1:281">
      <c r="A255">
        <v>239</v>
      </c>
      <c r="B255">
        <v>1651857761.6</v>
      </c>
      <c r="C255">
        <v>761</v>
      </c>
      <c r="D255" t="s">
        <v>905</v>
      </c>
      <c r="E255" t="s">
        <v>906</v>
      </c>
      <c r="F255">
        <v>2</v>
      </c>
      <c r="G255" t="s">
        <v>413</v>
      </c>
      <c r="H255" t="s">
        <v>414</v>
      </c>
      <c r="I255">
        <v>1651857760.225</v>
      </c>
      <c r="J255">
        <f>(K255)/1000</f>
        <v>0</v>
      </c>
      <c r="K255">
        <f>IF(CZ255, AN255, AH255)</f>
        <v>0</v>
      </c>
      <c r="L255">
        <f>IF(CZ255, AI255, AG255)</f>
        <v>0</v>
      </c>
      <c r="M255">
        <f>DB255 - IF(AU255&gt;1, L255*CV255*100.0/(AW255*DP255), 0)</f>
        <v>0</v>
      </c>
      <c r="N255">
        <f>((T255-J255/2)*M255-L255)/(T255+J255/2)</f>
        <v>0</v>
      </c>
      <c r="O255">
        <f>N255*(DI255+DJ255)/1000.0</f>
        <v>0</v>
      </c>
      <c r="P255">
        <f>(DB255 - IF(AU255&gt;1, L255*CV255*100.0/(AW255*DP255), 0))*(DI255+DJ255)/1000.0</f>
        <v>0</v>
      </c>
      <c r="Q255">
        <f>2.0/((1/S255-1/R255)+SIGN(S255)*SQRT((1/S255-1/R255)*(1/S255-1/R255) + 4*CW255/((CW255+1)*(CW255+1))*(2*1/S255*1/R255-1/R255*1/R255)))</f>
        <v>0</v>
      </c>
      <c r="R255">
        <f>IF(LEFT(CX255,1)&lt;&gt;"0",IF(LEFT(CX255,1)="1",3.0,CY255),$D$5+$E$5*(DP255*DI255/($K$5*1000))+$F$5*(DP255*DI255/($K$5*1000))*MAX(MIN(CV255,$J$5),$I$5)*MAX(MIN(CV255,$J$5),$I$5)+$G$5*MAX(MIN(CV255,$J$5),$I$5)*(DP255*DI255/($K$5*1000))+$H$5*(DP255*DI255/($K$5*1000))*(DP255*DI255/($K$5*1000)))</f>
        <v>0</v>
      </c>
      <c r="S255">
        <f>J255*(1000-(1000*0.61365*exp(17.502*W255/(240.97+W255))/(DI255+DJ255)+DD255)/2)/(1000*0.61365*exp(17.502*W255/(240.97+W255))/(DI255+DJ255)-DD255)</f>
        <v>0</v>
      </c>
      <c r="T255">
        <f>1/((CW255+1)/(Q255/1.6)+1/(R255/1.37)) + CW255/((CW255+1)/(Q255/1.6) + CW255/(R255/1.37))</f>
        <v>0</v>
      </c>
      <c r="U255">
        <f>(CR255*CU255)</f>
        <v>0</v>
      </c>
      <c r="V255">
        <f>(DK255+(U255+2*0.95*5.67E-8*(((DK255+$B$7)+273)^4-(DK255+273)^4)-44100*J255)/(1.84*29.3*R255+8*0.95*5.67E-8*(DK255+273)^3))</f>
        <v>0</v>
      </c>
      <c r="W255">
        <f>($C$7*DL255+$D$7*DM255+$E$7*V255)</f>
        <v>0</v>
      </c>
      <c r="X255">
        <f>0.61365*exp(17.502*W255/(240.97+W255))</f>
        <v>0</v>
      </c>
      <c r="Y255">
        <f>(Z255/AA255*100)</f>
        <v>0</v>
      </c>
      <c r="Z255">
        <f>DD255*(DI255+DJ255)/1000</f>
        <v>0</v>
      </c>
      <c r="AA255">
        <f>0.61365*exp(17.502*DK255/(240.97+DK255))</f>
        <v>0</v>
      </c>
      <c r="AB255">
        <f>(X255-DD255*(DI255+DJ255)/1000)</f>
        <v>0</v>
      </c>
      <c r="AC255">
        <f>(-J255*44100)</f>
        <v>0</v>
      </c>
      <c r="AD255">
        <f>2*29.3*R255*0.92*(DK255-W255)</f>
        <v>0</v>
      </c>
      <c r="AE255">
        <f>2*0.95*5.67E-8*(((DK255+$B$7)+273)^4-(W255+273)^4)</f>
        <v>0</v>
      </c>
      <c r="AF255">
        <f>U255+AE255+AC255+AD255</f>
        <v>0</v>
      </c>
      <c r="AG255">
        <f>DH255*AU255*(DC255-DB255*(1000-AU255*DE255)/(1000-AU255*DD255))/(100*CV255)</f>
        <v>0</v>
      </c>
      <c r="AH255">
        <f>1000*DH255*AU255*(DD255-DE255)/(100*CV255*(1000-AU255*DD255))</f>
        <v>0</v>
      </c>
      <c r="AI255">
        <f>(AJ255 - AK255 - DI255*1E3/(8.314*(DK255+273.15)) * AM255/DH255 * AL255) * DH255/(100*CV255) * (1000 - DE255)/1000</f>
        <v>0</v>
      </c>
      <c r="AJ255">
        <v>1575.659998888041</v>
      </c>
      <c r="AK255">
        <v>1528.150848484848</v>
      </c>
      <c r="AL255">
        <v>3.432127957918299</v>
      </c>
      <c r="AM255">
        <v>66.38384787954378</v>
      </c>
      <c r="AN255">
        <f>(AP255 - AO255 + DI255*1E3/(8.314*(DK255+273.15)) * AR255/DH255 * AQ255) * DH255/(100*CV255) * 1000/(1000 - AP255)</f>
        <v>0</v>
      </c>
      <c r="AO255">
        <v>11.86703275766602</v>
      </c>
      <c r="AP255">
        <v>17.96588117647058</v>
      </c>
      <c r="AQ255">
        <v>-8.353783170807732E-05</v>
      </c>
      <c r="AR255">
        <v>80.44866334591464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MAX(0,($B$13+$C$13*DP255)/(1+$D$13*DP255)*DI255/(DK255+273)*$E$13)</f>
        <v>0</v>
      </c>
      <c r="AX255" t="s">
        <v>417</v>
      </c>
      <c r="AY255" t="s">
        <v>417</v>
      </c>
      <c r="AZ255">
        <v>0</v>
      </c>
      <c r="BA255">
        <v>0</v>
      </c>
      <c r="BB255">
        <f>1-AZ255/BA255</f>
        <v>0</v>
      </c>
      <c r="BC255">
        <v>0</v>
      </c>
      <c r="BD255" t="s">
        <v>417</v>
      </c>
      <c r="BE255" t="s">
        <v>417</v>
      </c>
      <c r="BF255">
        <v>0</v>
      </c>
      <c r="BG255">
        <v>0</v>
      </c>
      <c r="BH255">
        <f>1-BF255/BG255</f>
        <v>0</v>
      </c>
      <c r="BI255">
        <v>0.5</v>
      </c>
      <c r="BJ255">
        <f>CS255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417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1238</v>
      </c>
      <c r="CA255">
        <v>300</v>
      </c>
      <c r="CB255">
        <v>300</v>
      </c>
      <c r="CC255">
        <v>300</v>
      </c>
      <c r="CD255">
        <v>10440.5</v>
      </c>
      <c r="CE255">
        <v>1411.69</v>
      </c>
      <c r="CF255">
        <v>-0.00735121</v>
      </c>
      <c r="CG255">
        <v>-0.77</v>
      </c>
      <c r="CH255" t="s">
        <v>417</v>
      </c>
      <c r="CI255" t="s">
        <v>417</v>
      </c>
      <c r="CJ255" t="s">
        <v>417</v>
      </c>
      <c r="CK255" t="s">
        <v>417</v>
      </c>
      <c r="CL255" t="s">
        <v>417</v>
      </c>
      <c r="CM255" t="s">
        <v>417</v>
      </c>
      <c r="CN255" t="s">
        <v>417</v>
      </c>
      <c r="CO255" t="s">
        <v>417</v>
      </c>
      <c r="CP255" t="s">
        <v>417</v>
      </c>
      <c r="CQ255" t="s">
        <v>417</v>
      </c>
      <c r="CR255">
        <f>$B$11*DQ255+$C$11*DR255+$F$11*EC255*(1-EF255)</f>
        <v>0</v>
      </c>
      <c r="CS255">
        <f>CR255*CT255</f>
        <v>0</v>
      </c>
      <c r="CT255">
        <f>($B$11*$D$9+$C$11*$D$9+$F$11*((EP255+EH255)/MAX(EP255+EH255+EQ255, 0.1)*$I$9+EQ255/MAX(EP255+EH255+EQ255, 0.1)*$J$9))/($B$11+$C$11+$F$11)</f>
        <v>0</v>
      </c>
      <c r="CU255">
        <f>($B$11*$K$9+$C$11*$K$9+$F$11*((EP255+EH255)/MAX(EP255+EH255+EQ255, 0.1)*$P$9+EQ255/MAX(EP255+EH255+EQ255, 0.1)*$Q$9))/($B$11+$C$11+$F$11)</f>
        <v>0</v>
      </c>
      <c r="CV255">
        <v>6</v>
      </c>
      <c r="CW255">
        <v>0.5</v>
      </c>
      <c r="CX255" t="s">
        <v>418</v>
      </c>
      <c r="CY255">
        <v>2</v>
      </c>
      <c r="CZ255" t="b">
        <v>1</v>
      </c>
      <c r="DA255">
        <v>1651857760.225</v>
      </c>
      <c r="DB255">
        <v>1497.735</v>
      </c>
      <c r="DC255">
        <v>1561.79</v>
      </c>
      <c r="DD255">
        <v>17.9655</v>
      </c>
      <c r="DE255">
        <v>11.95035</v>
      </c>
      <c r="DF255">
        <v>1500.95</v>
      </c>
      <c r="DG255">
        <v>17.965575</v>
      </c>
      <c r="DH255">
        <v>500.03525</v>
      </c>
      <c r="DI255">
        <v>90.063875</v>
      </c>
      <c r="DJ255">
        <v>0.100107825</v>
      </c>
      <c r="DK255">
        <v>25.694725</v>
      </c>
      <c r="DL255">
        <v>25.011175</v>
      </c>
      <c r="DM255">
        <v>999.9</v>
      </c>
      <c r="DN255">
        <v>0</v>
      </c>
      <c r="DO255">
        <v>0</v>
      </c>
      <c r="DP255">
        <v>9982.34</v>
      </c>
      <c r="DQ255">
        <v>0</v>
      </c>
      <c r="DR255">
        <v>3.20383</v>
      </c>
      <c r="DS255">
        <v>-64.056175</v>
      </c>
      <c r="DT255">
        <v>1525.135</v>
      </c>
      <c r="DU255">
        <v>1580.68</v>
      </c>
      <c r="DV255">
        <v>6.0151325</v>
      </c>
      <c r="DW255">
        <v>1561.79</v>
      </c>
      <c r="DX255">
        <v>11.95035</v>
      </c>
      <c r="DY255">
        <v>1.6180425</v>
      </c>
      <c r="DZ255">
        <v>1.076295</v>
      </c>
      <c r="EA255">
        <v>14.131725</v>
      </c>
      <c r="EB255">
        <v>7.992255</v>
      </c>
      <c r="EC255">
        <v>1499.9775</v>
      </c>
      <c r="ED255">
        <v>0.9729995</v>
      </c>
      <c r="EE255">
        <v>0.02700055</v>
      </c>
      <c r="EF255">
        <v>0</v>
      </c>
      <c r="EG255">
        <v>920.176</v>
      </c>
      <c r="EH255">
        <v>5.00097</v>
      </c>
      <c r="EI255">
        <v>13690.175</v>
      </c>
      <c r="EJ255">
        <v>12491.4</v>
      </c>
      <c r="EK255">
        <v>37.5</v>
      </c>
      <c r="EL255">
        <v>39</v>
      </c>
      <c r="EM255">
        <v>37.875</v>
      </c>
      <c r="EN255">
        <v>38.75</v>
      </c>
      <c r="EO255">
        <v>38.375</v>
      </c>
      <c r="EP255">
        <v>1454.6125</v>
      </c>
      <c r="EQ255">
        <v>40.365</v>
      </c>
      <c r="ER255">
        <v>0</v>
      </c>
      <c r="ES255">
        <v>760.8000001907349</v>
      </c>
      <c r="ET255">
        <v>0</v>
      </c>
      <c r="EU255">
        <v>922.3236400000002</v>
      </c>
      <c r="EV255">
        <v>-22.32292304468117</v>
      </c>
      <c r="EW255">
        <v>-324.1615379627661</v>
      </c>
      <c r="EX255">
        <v>13720.012</v>
      </c>
      <c r="EY255">
        <v>15</v>
      </c>
      <c r="EZ255">
        <v>1651857041.1</v>
      </c>
      <c r="FA255" t="s">
        <v>419</v>
      </c>
      <c r="FB255">
        <v>1651857019.6</v>
      </c>
      <c r="FC255">
        <v>1651857041.1</v>
      </c>
      <c r="FD255">
        <v>1</v>
      </c>
      <c r="FE255">
        <v>0.545</v>
      </c>
      <c r="FF255">
        <v>-0.002</v>
      </c>
      <c r="FG255">
        <v>-1.271</v>
      </c>
      <c r="FH255">
        <v>-0.09</v>
      </c>
      <c r="FI255">
        <v>400</v>
      </c>
      <c r="FJ255">
        <v>10</v>
      </c>
      <c r="FK255">
        <v>0.1</v>
      </c>
      <c r="FL255">
        <v>0.02</v>
      </c>
      <c r="FM255">
        <v>-64.052285</v>
      </c>
      <c r="FN255">
        <v>0.09153771106968879</v>
      </c>
      <c r="FO255">
        <v>0.1318766953445523</v>
      </c>
      <c r="FP255">
        <v>-1</v>
      </c>
      <c r="FQ255">
        <v>6.2833045</v>
      </c>
      <c r="FR255">
        <v>-1.619380863039414</v>
      </c>
      <c r="FS255">
        <v>0.1558621707623438</v>
      </c>
      <c r="FT255">
        <v>-1</v>
      </c>
      <c r="FU255">
        <v>0</v>
      </c>
      <c r="FV255">
        <v>0</v>
      </c>
      <c r="FW255">
        <v>0</v>
      </c>
      <c r="FX255">
        <v>-1</v>
      </c>
      <c r="FY255">
        <v>0</v>
      </c>
      <c r="FZ255">
        <v>0</v>
      </c>
      <c r="GA255" t="s">
        <v>432</v>
      </c>
      <c r="GB255">
        <v>2.98003</v>
      </c>
      <c r="GC255">
        <v>2.70605</v>
      </c>
      <c r="GD255">
        <v>0.220648</v>
      </c>
      <c r="GE255">
        <v>0.223769</v>
      </c>
      <c r="GF255">
        <v>0.0864307</v>
      </c>
      <c r="GG255">
        <v>0.0634552</v>
      </c>
      <c r="GH255">
        <v>24589.7</v>
      </c>
      <c r="GI255">
        <v>24545.6</v>
      </c>
      <c r="GJ255">
        <v>29342.6</v>
      </c>
      <c r="GK255">
        <v>29257.2</v>
      </c>
      <c r="GL255">
        <v>35501.4</v>
      </c>
      <c r="GM255">
        <v>36492.5</v>
      </c>
      <c r="GN255">
        <v>41304.2</v>
      </c>
      <c r="GO255">
        <v>41754.3</v>
      </c>
      <c r="GP255">
        <v>1.95292</v>
      </c>
      <c r="GQ255">
        <v>1.84288</v>
      </c>
      <c r="GR255">
        <v>-0.0339597</v>
      </c>
      <c r="GS255">
        <v>0</v>
      </c>
      <c r="GT255">
        <v>25.5627</v>
      </c>
      <c r="GU255">
        <v>999.9</v>
      </c>
      <c r="GV255">
        <v>38.3</v>
      </c>
      <c r="GW255">
        <v>34</v>
      </c>
      <c r="GX255">
        <v>22.723</v>
      </c>
      <c r="GY255">
        <v>62.6776</v>
      </c>
      <c r="GZ255">
        <v>35.4367</v>
      </c>
      <c r="HA255">
        <v>1</v>
      </c>
      <c r="HB255">
        <v>0.136517</v>
      </c>
      <c r="HC255">
        <v>2.72837</v>
      </c>
      <c r="HD255">
        <v>20.3123</v>
      </c>
      <c r="HE255">
        <v>5.21819</v>
      </c>
      <c r="HF255">
        <v>12.0099</v>
      </c>
      <c r="HG255">
        <v>4.98885</v>
      </c>
      <c r="HH255">
        <v>3.28858</v>
      </c>
      <c r="HI255">
        <v>857.5</v>
      </c>
      <c r="HJ255">
        <v>8534.299999999999</v>
      </c>
      <c r="HK255">
        <v>5139.4</v>
      </c>
      <c r="HL255">
        <v>22.9</v>
      </c>
      <c r="HM255">
        <v>1.86751</v>
      </c>
      <c r="HN255">
        <v>1.86646</v>
      </c>
      <c r="HO255">
        <v>1.866</v>
      </c>
      <c r="HP255">
        <v>1.86584</v>
      </c>
      <c r="HQ255">
        <v>1.86774</v>
      </c>
      <c r="HR255">
        <v>1.87027</v>
      </c>
      <c r="HS255">
        <v>1.8689</v>
      </c>
      <c r="HT255">
        <v>1.87026</v>
      </c>
      <c r="HU255">
        <v>0</v>
      </c>
      <c r="HV255">
        <v>0</v>
      </c>
      <c r="HW255">
        <v>0</v>
      </c>
      <c r="HX255">
        <v>0</v>
      </c>
      <c r="HY255" t="s">
        <v>421</v>
      </c>
      <c r="HZ255" t="s">
        <v>422</v>
      </c>
      <c r="IA255" t="s">
        <v>423</v>
      </c>
      <c r="IB255" t="s">
        <v>423</v>
      </c>
      <c r="IC255" t="s">
        <v>423</v>
      </c>
      <c r="ID255" t="s">
        <v>423</v>
      </c>
      <c r="IE255">
        <v>0</v>
      </c>
      <c r="IF255">
        <v>100</v>
      </c>
      <c r="IG255">
        <v>100</v>
      </c>
      <c r="IH255">
        <v>-3.23</v>
      </c>
      <c r="II255">
        <v>0</v>
      </c>
      <c r="IJ255">
        <v>-0.4995723906072</v>
      </c>
      <c r="IK255">
        <v>-0.002077099775823331</v>
      </c>
      <c r="IL255">
        <v>4.593143279902166E-07</v>
      </c>
      <c r="IM255">
        <v>-1.865383991892071E-10</v>
      </c>
      <c r="IN255">
        <v>-0.07605349583632376</v>
      </c>
      <c r="IO255">
        <v>-0.01129461987421345</v>
      </c>
      <c r="IP255">
        <v>0.00116580895745559</v>
      </c>
      <c r="IQ255">
        <v>-1.679085872906199E-05</v>
      </c>
      <c r="IR255">
        <v>2</v>
      </c>
      <c r="IS255">
        <v>2290</v>
      </c>
      <c r="IT255">
        <v>0</v>
      </c>
      <c r="IU255">
        <v>32</v>
      </c>
      <c r="IV255">
        <v>12.4</v>
      </c>
      <c r="IW255">
        <v>12</v>
      </c>
      <c r="IX255">
        <v>2.99805</v>
      </c>
      <c r="IY255">
        <v>2.19849</v>
      </c>
      <c r="IZ255">
        <v>1.39648</v>
      </c>
      <c r="JA255">
        <v>2.35962</v>
      </c>
      <c r="JB255">
        <v>1.49536</v>
      </c>
      <c r="JC255">
        <v>2.33032</v>
      </c>
      <c r="JD255">
        <v>38.5259</v>
      </c>
      <c r="JE255">
        <v>24.035</v>
      </c>
      <c r="JF255">
        <v>18</v>
      </c>
      <c r="JG255">
        <v>513.077</v>
      </c>
      <c r="JH255">
        <v>427.711</v>
      </c>
      <c r="JI255">
        <v>22.0014</v>
      </c>
      <c r="JJ255">
        <v>29.0711</v>
      </c>
      <c r="JK255">
        <v>30.0001</v>
      </c>
      <c r="JL255">
        <v>29.0702</v>
      </c>
      <c r="JM255">
        <v>29.0119</v>
      </c>
      <c r="JN255">
        <v>59.9852</v>
      </c>
      <c r="JO255">
        <v>44.3285</v>
      </c>
      <c r="JP255">
        <v>0</v>
      </c>
      <c r="JQ255">
        <v>21.9955</v>
      </c>
      <c r="JR255">
        <v>1584.84</v>
      </c>
      <c r="JS255">
        <v>12.1797</v>
      </c>
      <c r="JT255">
        <v>100.304</v>
      </c>
      <c r="JU255">
        <v>100.218</v>
      </c>
    </row>
    <row r="256" spans="1:281">
      <c r="A256">
        <v>240</v>
      </c>
      <c r="B256">
        <v>1651857763.6</v>
      </c>
      <c r="C256">
        <v>763</v>
      </c>
      <c r="D256" t="s">
        <v>907</v>
      </c>
      <c r="E256" t="s">
        <v>908</v>
      </c>
      <c r="F256">
        <v>2</v>
      </c>
      <c r="G256" t="s">
        <v>413</v>
      </c>
      <c r="H256" t="s">
        <v>414</v>
      </c>
      <c r="I256">
        <v>1651857762.6</v>
      </c>
      <c r="J256">
        <f>(K256)/1000</f>
        <v>0</v>
      </c>
      <c r="K256">
        <f>IF(CZ256, AN256, AH256)</f>
        <v>0</v>
      </c>
      <c r="L256">
        <f>IF(CZ256, AI256, AG256)</f>
        <v>0</v>
      </c>
      <c r="M256">
        <f>DB256 - IF(AU256&gt;1, L256*CV256*100.0/(AW256*DP256), 0)</f>
        <v>0</v>
      </c>
      <c r="N256">
        <f>((T256-J256/2)*M256-L256)/(T256+J256/2)</f>
        <v>0</v>
      </c>
      <c r="O256">
        <f>N256*(DI256+DJ256)/1000.0</f>
        <v>0</v>
      </c>
      <c r="P256">
        <f>(DB256 - IF(AU256&gt;1, L256*CV256*100.0/(AW256*DP256), 0))*(DI256+DJ256)/1000.0</f>
        <v>0</v>
      </c>
      <c r="Q256">
        <f>2.0/((1/S256-1/R256)+SIGN(S256)*SQRT((1/S256-1/R256)*(1/S256-1/R256) + 4*CW256/((CW256+1)*(CW256+1))*(2*1/S256*1/R256-1/R256*1/R256)))</f>
        <v>0</v>
      </c>
      <c r="R256">
        <f>IF(LEFT(CX256,1)&lt;&gt;"0",IF(LEFT(CX256,1)="1",3.0,CY256),$D$5+$E$5*(DP256*DI256/($K$5*1000))+$F$5*(DP256*DI256/($K$5*1000))*MAX(MIN(CV256,$J$5),$I$5)*MAX(MIN(CV256,$J$5),$I$5)+$G$5*MAX(MIN(CV256,$J$5),$I$5)*(DP256*DI256/($K$5*1000))+$H$5*(DP256*DI256/($K$5*1000))*(DP256*DI256/($K$5*1000)))</f>
        <v>0</v>
      </c>
      <c r="S256">
        <f>J256*(1000-(1000*0.61365*exp(17.502*W256/(240.97+W256))/(DI256+DJ256)+DD256)/2)/(1000*0.61365*exp(17.502*W256/(240.97+W256))/(DI256+DJ256)-DD256)</f>
        <v>0</v>
      </c>
      <c r="T256">
        <f>1/((CW256+1)/(Q256/1.6)+1/(R256/1.37)) + CW256/((CW256+1)/(Q256/1.6) + CW256/(R256/1.37))</f>
        <v>0</v>
      </c>
      <c r="U256">
        <f>(CR256*CU256)</f>
        <v>0</v>
      </c>
      <c r="V256">
        <f>(DK256+(U256+2*0.95*5.67E-8*(((DK256+$B$7)+273)^4-(DK256+273)^4)-44100*J256)/(1.84*29.3*R256+8*0.95*5.67E-8*(DK256+273)^3))</f>
        <v>0</v>
      </c>
      <c r="W256">
        <f>($C$7*DL256+$D$7*DM256+$E$7*V256)</f>
        <v>0</v>
      </c>
      <c r="X256">
        <f>0.61365*exp(17.502*W256/(240.97+W256))</f>
        <v>0</v>
      </c>
      <c r="Y256">
        <f>(Z256/AA256*100)</f>
        <v>0</v>
      </c>
      <c r="Z256">
        <f>DD256*(DI256+DJ256)/1000</f>
        <v>0</v>
      </c>
      <c r="AA256">
        <f>0.61365*exp(17.502*DK256/(240.97+DK256))</f>
        <v>0</v>
      </c>
      <c r="AB256">
        <f>(X256-DD256*(DI256+DJ256)/1000)</f>
        <v>0</v>
      </c>
      <c r="AC256">
        <f>(-J256*44100)</f>
        <v>0</v>
      </c>
      <c r="AD256">
        <f>2*29.3*R256*0.92*(DK256-W256)</f>
        <v>0</v>
      </c>
      <c r="AE256">
        <f>2*0.95*5.67E-8*(((DK256+$B$7)+273)^4-(W256+273)^4)</f>
        <v>0</v>
      </c>
      <c r="AF256">
        <f>U256+AE256+AC256+AD256</f>
        <v>0</v>
      </c>
      <c r="AG256">
        <f>DH256*AU256*(DC256-DB256*(1000-AU256*DE256)/(1000-AU256*DD256))/(100*CV256)</f>
        <v>0</v>
      </c>
      <c r="AH256">
        <f>1000*DH256*AU256*(DD256-DE256)/(100*CV256*(1000-AU256*DD256))</f>
        <v>0</v>
      </c>
      <c r="AI256">
        <f>(AJ256 - AK256 - DI256*1E3/(8.314*(DK256+273.15)) * AM256/DH256 * AL256) * DH256/(100*CV256) * (1000 - DE256)/1000</f>
        <v>0</v>
      </c>
      <c r="AJ256">
        <v>1582.849475325781</v>
      </c>
      <c r="AK256">
        <v>1535.059636363635</v>
      </c>
      <c r="AL256">
        <v>3.451763726337187</v>
      </c>
      <c r="AM256">
        <v>66.38384787954378</v>
      </c>
      <c r="AN256">
        <f>(AP256 - AO256 + DI256*1E3/(8.314*(DK256+273.15)) * AR256/DH256 * AQ256) * DH256/(100*CV256) * 1000/(1000 - AP256)</f>
        <v>0</v>
      </c>
      <c r="AO256">
        <v>11.91747723731143</v>
      </c>
      <c r="AP256">
        <v>17.96557294117646</v>
      </c>
      <c r="AQ256">
        <v>-1.861748314325153E-05</v>
      </c>
      <c r="AR256">
        <v>80.44866334591464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MAX(0,($B$13+$C$13*DP256)/(1+$D$13*DP256)*DI256/(DK256+273)*$E$13)</f>
        <v>0</v>
      </c>
      <c r="AX256" t="s">
        <v>417</v>
      </c>
      <c r="AY256" t="s">
        <v>417</v>
      </c>
      <c r="AZ256">
        <v>0</v>
      </c>
      <c r="BA256">
        <v>0</v>
      </c>
      <c r="BB256">
        <f>1-AZ256/BA256</f>
        <v>0</v>
      </c>
      <c r="BC256">
        <v>0</v>
      </c>
      <c r="BD256" t="s">
        <v>417</v>
      </c>
      <c r="BE256" t="s">
        <v>417</v>
      </c>
      <c r="BF256">
        <v>0</v>
      </c>
      <c r="BG256">
        <v>0</v>
      </c>
      <c r="BH256">
        <f>1-BF256/BG256</f>
        <v>0</v>
      </c>
      <c r="BI256">
        <v>0.5</v>
      </c>
      <c r="BJ256">
        <f>CS256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417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1238</v>
      </c>
      <c r="CA256">
        <v>300</v>
      </c>
      <c r="CB256">
        <v>300</v>
      </c>
      <c r="CC256">
        <v>300</v>
      </c>
      <c r="CD256">
        <v>10440.5</v>
      </c>
      <c r="CE256">
        <v>1411.69</v>
      </c>
      <c r="CF256">
        <v>-0.00735121</v>
      </c>
      <c r="CG256">
        <v>-0.77</v>
      </c>
      <c r="CH256" t="s">
        <v>417</v>
      </c>
      <c r="CI256" t="s">
        <v>417</v>
      </c>
      <c r="CJ256" t="s">
        <v>417</v>
      </c>
      <c r="CK256" t="s">
        <v>417</v>
      </c>
      <c r="CL256" t="s">
        <v>417</v>
      </c>
      <c r="CM256" t="s">
        <v>417</v>
      </c>
      <c r="CN256" t="s">
        <v>417</v>
      </c>
      <c r="CO256" t="s">
        <v>417</v>
      </c>
      <c r="CP256" t="s">
        <v>417</v>
      </c>
      <c r="CQ256" t="s">
        <v>417</v>
      </c>
      <c r="CR256">
        <f>$B$11*DQ256+$C$11*DR256+$F$11*EC256*(1-EF256)</f>
        <v>0</v>
      </c>
      <c r="CS256">
        <f>CR256*CT256</f>
        <v>0</v>
      </c>
      <c r="CT256">
        <f>($B$11*$D$9+$C$11*$D$9+$F$11*((EP256+EH256)/MAX(EP256+EH256+EQ256, 0.1)*$I$9+EQ256/MAX(EP256+EH256+EQ256, 0.1)*$J$9))/($B$11+$C$11+$F$11)</f>
        <v>0</v>
      </c>
      <c r="CU256">
        <f>($B$11*$K$9+$C$11*$K$9+$F$11*((EP256+EH256)/MAX(EP256+EH256+EQ256, 0.1)*$P$9+EQ256/MAX(EP256+EH256+EQ256, 0.1)*$Q$9))/($B$11+$C$11+$F$11)</f>
        <v>0</v>
      </c>
      <c r="CV256">
        <v>6</v>
      </c>
      <c r="CW256">
        <v>0.5</v>
      </c>
      <c r="CX256" t="s">
        <v>418</v>
      </c>
      <c r="CY256">
        <v>2</v>
      </c>
      <c r="CZ256" t="b">
        <v>1</v>
      </c>
      <c r="DA256">
        <v>1651857762.6</v>
      </c>
      <c r="DB256">
        <v>1505.783333333333</v>
      </c>
      <c r="DC256">
        <v>1570.04</v>
      </c>
      <c r="DD256">
        <v>17.9656</v>
      </c>
      <c r="DE256">
        <v>12.02123333333333</v>
      </c>
      <c r="DF256">
        <v>1509.01</v>
      </c>
      <c r="DG256">
        <v>17.96563333333333</v>
      </c>
      <c r="DH256">
        <v>500.0546666666667</v>
      </c>
      <c r="DI256">
        <v>90.06333333333333</v>
      </c>
      <c r="DJ256">
        <v>0.09985483333333334</v>
      </c>
      <c r="DK256">
        <v>25.691</v>
      </c>
      <c r="DL256">
        <v>25.0024</v>
      </c>
      <c r="DM256">
        <v>999.9</v>
      </c>
      <c r="DN256">
        <v>0</v>
      </c>
      <c r="DO256">
        <v>0</v>
      </c>
      <c r="DP256">
        <v>9995.833333333334</v>
      </c>
      <c r="DQ256">
        <v>0</v>
      </c>
      <c r="DR256">
        <v>3.20383</v>
      </c>
      <c r="DS256">
        <v>-64.25783333333334</v>
      </c>
      <c r="DT256">
        <v>1533.326666666667</v>
      </c>
      <c r="DU256">
        <v>1589.14</v>
      </c>
      <c r="DV256">
        <v>5.94437</v>
      </c>
      <c r="DW256">
        <v>1570.04</v>
      </c>
      <c r="DX256">
        <v>12.02123333333333</v>
      </c>
      <c r="DY256">
        <v>1.61804</v>
      </c>
      <c r="DZ256">
        <v>1.08267</v>
      </c>
      <c r="EA256">
        <v>14.13166666666667</v>
      </c>
      <c r="EB256">
        <v>8.079096666666667</v>
      </c>
      <c r="EC256">
        <v>1500.12</v>
      </c>
      <c r="ED256">
        <v>0.972997</v>
      </c>
      <c r="EE256">
        <v>0.0270029</v>
      </c>
      <c r="EF256">
        <v>0</v>
      </c>
      <c r="EG256">
        <v>919.5369999999999</v>
      </c>
      <c r="EH256">
        <v>5.00097</v>
      </c>
      <c r="EI256">
        <v>13679.96666666667</v>
      </c>
      <c r="EJ256">
        <v>12492.6</v>
      </c>
      <c r="EK256">
        <v>37.5</v>
      </c>
      <c r="EL256">
        <v>39</v>
      </c>
      <c r="EM256">
        <v>37.875</v>
      </c>
      <c r="EN256">
        <v>38.75</v>
      </c>
      <c r="EO256">
        <v>38.375</v>
      </c>
      <c r="EP256">
        <v>1454.746666666667</v>
      </c>
      <c r="EQ256">
        <v>40.37333333333333</v>
      </c>
      <c r="ER256">
        <v>0</v>
      </c>
      <c r="ES256">
        <v>762.6000001430511</v>
      </c>
      <c r="ET256">
        <v>0</v>
      </c>
      <c r="EU256">
        <v>921.7751153846154</v>
      </c>
      <c r="EV256">
        <v>-22.02478633610681</v>
      </c>
      <c r="EW256">
        <v>-318.5914532161364</v>
      </c>
      <c r="EX256">
        <v>13711.9</v>
      </c>
      <c r="EY256">
        <v>15</v>
      </c>
      <c r="EZ256">
        <v>1651857041.1</v>
      </c>
      <c r="FA256" t="s">
        <v>419</v>
      </c>
      <c r="FB256">
        <v>1651857019.6</v>
      </c>
      <c r="FC256">
        <v>1651857041.1</v>
      </c>
      <c r="FD256">
        <v>1</v>
      </c>
      <c r="FE256">
        <v>0.545</v>
      </c>
      <c r="FF256">
        <v>-0.002</v>
      </c>
      <c r="FG256">
        <v>-1.271</v>
      </c>
      <c r="FH256">
        <v>-0.09</v>
      </c>
      <c r="FI256">
        <v>400</v>
      </c>
      <c r="FJ256">
        <v>10</v>
      </c>
      <c r="FK256">
        <v>0.1</v>
      </c>
      <c r="FL256">
        <v>0.02</v>
      </c>
      <c r="FM256">
        <v>-64.09084250000001</v>
      </c>
      <c r="FN256">
        <v>0.03136547842419694</v>
      </c>
      <c r="FO256">
        <v>0.134726784433348</v>
      </c>
      <c r="FP256">
        <v>-1</v>
      </c>
      <c r="FQ256">
        <v>6.20148625</v>
      </c>
      <c r="FR256">
        <v>-1.634209418386495</v>
      </c>
      <c r="FS256">
        <v>0.1572932892829109</v>
      </c>
      <c r="FT256">
        <v>-1</v>
      </c>
      <c r="FU256">
        <v>0</v>
      </c>
      <c r="FV256">
        <v>0</v>
      </c>
      <c r="FW256">
        <v>0</v>
      </c>
      <c r="FX256">
        <v>-1</v>
      </c>
      <c r="FY256">
        <v>0</v>
      </c>
      <c r="FZ256">
        <v>0</v>
      </c>
      <c r="GA256" t="s">
        <v>432</v>
      </c>
      <c r="GB256">
        <v>2.97992</v>
      </c>
      <c r="GC256">
        <v>2.70597</v>
      </c>
      <c r="GD256">
        <v>0.221246</v>
      </c>
      <c r="GE256">
        <v>0.224357</v>
      </c>
      <c r="GF256">
        <v>0.0864327</v>
      </c>
      <c r="GG256">
        <v>0.06366140000000001</v>
      </c>
      <c r="GH256">
        <v>24570.7</v>
      </c>
      <c r="GI256">
        <v>24527.1</v>
      </c>
      <c r="GJ256">
        <v>29342.5</v>
      </c>
      <c r="GK256">
        <v>29257.3</v>
      </c>
      <c r="GL256">
        <v>35501.1</v>
      </c>
      <c r="GM256">
        <v>36484.7</v>
      </c>
      <c r="GN256">
        <v>41304</v>
      </c>
      <c r="GO256">
        <v>41754.5</v>
      </c>
      <c r="GP256">
        <v>1.95275</v>
      </c>
      <c r="GQ256">
        <v>1.8432</v>
      </c>
      <c r="GR256">
        <v>-0.0340641</v>
      </c>
      <c r="GS256">
        <v>0</v>
      </c>
      <c r="GT256">
        <v>25.5627</v>
      </c>
      <c r="GU256">
        <v>999.9</v>
      </c>
      <c r="GV256">
        <v>38.2</v>
      </c>
      <c r="GW256">
        <v>34</v>
      </c>
      <c r="GX256">
        <v>22.6624</v>
      </c>
      <c r="GY256">
        <v>62.2976</v>
      </c>
      <c r="GZ256">
        <v>35.1002</v>
      </c>
      <c r="HA256">
        <v>1</v>
      </c>
      <c r="HB256">
        <v>0.136529</v>
      </c>
      <c r="HC256">
        <v>2.7086</v>
      </c>
      <c r="HD256">
        <v>20.3127</v>
      </c>
      <c r="HE256">
        <v>5.21804</v>
      </c>
      <c r="HF256">
        <v>12.0099</v>
      </c>
      <c r="HG256">
        <v>4.989</v>
      </c>
      <c r="HH256">
        <v>3.28865</v>
      </c>
      <c r="HI256">
        <v>857.5</v>
      </c>
      <c r="HJ256">
        <v>8534.299999999999</v>
      </c>
      <c r="HK256">
        <v>5139.4</v>
      </c>
      <c r="HL256">
        <v>22.9</v>
      </c>
      <c r="HM256">
        <v>1.86751</v>
      </c>
      <c r="HN256">
        <v>1.86647</v>
      </c>
      <c r="HO256">
        <v>1.866</v>
      </c>
      <c r="HP256">
        <v>1.86584</v>
      </c>
      <c r="HQ256">
        <v>1.86775</v>
      </c>
      <c r="HR256">
        <v>1.87026</v>
      </c>
      <c r="HS256">
        <v>1.8689</v>
      </c>
      <c r="HT256">
        <v>1.87026</v>
      </c>
      <c r="HU256">
        <v>0</v>
      </c>
      <c r="HV256">
        <v>0</v>
      </c>
      <c r="HW256">
        <v>0</v>
      </c>
      <c r="HX256">
        <v>0</v>
      </c>
      <c r="HY256" t="s">
        <v>421</v>
      </c>
      <c r="HZ256" t="s">
        <v>422</v>
      </c>
      <c r="IA256" t="s">
        <v>423</v>
      </c>
      <c r="IB256" t="s">
        <v>423</v>
      </c>
      <c r="IC256" t="s">
        <v>423</v>
      </c>
      <c r="ID256" t="s">
        <v>423</v>
      </c>
      <c r="IE256">
        <v>0</v>
      </c>
      <c r="IF256">
        <v>100</v>
      </c>
      <c r="IG256">
        <v>100</v>
      </c>
      <c r="IH256">
        <v>-3.24</v>
      </c>
      <c r="II256">
        <v>-0.0001</v>
      </c>
      <c r="IJ256">
        <v>-0.4995723906072</v>
      </c>
      <c r="IK256">
        <v>-0.002077099775823331</v>
      </c>
      <c r="IL256">
        <v>4.593143279902166E-07</v>
      </c>
      <c r="IM256">
        <v>-1.865383991892071E-10</v>
      </c>
      <c r="IN256">
        <v>-0.07605349583632376</v>
      </c>
      <c r="IO256">
        <v>-0.01129461987421345</v>
      </c>
      <c r="IP256">
        <v>0.00116580895745559</v>
      </c>
      <c r="IQ256">
        <v>-1.679085872906199E-05</v>
      </c>
      <c r="IR256">
        <v>2</v>
      </c>
      <c r="IS256">
        <v>2290</v>
      </c>
      <c r="IT256">
        <v>0</v>
      </c>
      <c r="IU256">
        <v>32</v>
      </c>
      <c r="IV256">
        <v>12.4</v>
      </c>
      <c r="IW256">
        <v>12</v>
      </c>
      <c r="IX256">
        <v>3.00781</v>
      </c>
      <c r="IY256">
        <v>2.19238</v>
      </c>
      <c r="IZ256">
        <v>1.39648</v>
      </c>
      <c r="JA256">
        <v>2.35962</v>
      </c>
      <c r="JB256">
        <v>1.49536</v>
      </c>
      <c r="JC256">
        <v>2.34131</v>
      </c>
      <c r="JD256">
        <v>38.5259</v>
      </c>
      <c r="JE256">
        <v>24.0437</v>
      </c>
      <c r="JF256">
        <v>18</v>
      </c>
      <c r="JG256">
        <v>512.962</v>
      </c>
      <c r="JH256">
        <v>427.906</v>
      </c>
      <c r="JI256">
        <v>21.9932</v>
      </c>
      <c r="JJ256">
        <v>29.0711</v>
      </c>
      <c r="JK256">
        <v>30</v>
      </c>
      <c r="JL256">
        <v>29.0702</v>
      </c>
      <c r="JM256">
        <v>29.0119</v>
      </c>
      <c r="JN256">
        <v>60.1822</v>
      </c>
      <c r="JO256">
        <v>44.0537</v>
      </c>
      <c r="JP256">
        <v>0</v>
      </c>
      <c r="JQ256">
        <v>21.9862</v>
      </c>
      <c r="JR256">
        <v>1591.52</v>
      </c>
      <c r="JS256">
        <v>12.2334</v>
      </c>
      <c r="JT256">
        <v>100.303</v>
      </c>
      <c r="JU256">
        <v>100.218</v>
      </c>
    </row>
    <row r="257" spans="1:281">
      <c r="A257">
        <v>241</v>
      </c>
      <c r="B257">
        <v>1651857765.6</v>
      </c>
      <c r="C257">
        <v>765</v>
      </c>
      <c r="D257" t="s">
        <v>909</v>
      </c>
      <c r="E257" t="s">
        <v>910</v>
      </c>
      <c r="F257">
        <v>2</v>
      </c>
      <c r="G257" t="s">
        <v>413</v>
      </c>
      <c r="H257" t="s">
        <v>414</v>
      </c>
      <c r="I257">
        <v>1651857764.225</v>
      </c>
      <c r="J257">
        <f>(K257)/1000</f>
        <v>0</v>
      </c>
      <c r="K257">
        <f>IF(CZ257, AN257, AH257)</f>
        <v>0</v>
      </c>
      <c r="L257">
        <f>IF(CZ257, AI257, AG257)</f>
        <v>0</v>
      </c>
      <c r="M257">
        <f>DB257 - IF(AU257&gt;1, L257*CV257*100.0/(AW257*DP257), 0)</f>
        <v>0</v>
      </c>
      <c r="N257">
        <f>((T257-J257/2)*M257-L257)/(T257+J257/2)</f>
        <v>0</v>
      </c>
      <c r="O257">
        <f>N257*(DI257+DJ257)/1000.0</f>
        <v>0</v>
      </c>
      <c r="P257">
        <f>(DB257 - IF(AU257&gt;1, L257*CV257*100.0/(AW257*DP257), 0))*(DI257+DJ257)/1000.0</f>
        <v>0</v>
      </c>
      <c r="Q257">
        <f>2.0/((1/S257-1/R257)+SIGN(S257)*SQRT((1/S257-1/R257)*(1/S257-1/R257) + 4*CW257/((CW257+1)*(CW257+1))*(2*1/S257*1/R257-1/R257*1/R257)))</f>
        <v>0</v>
      </c>
      <c r="R257">
        <f>IF(LEFT(CX257,1)&lt;&gt;"0",IF(LEFT(CX257,1)="1",3.0,CY257),$D$5+$E$5*(DP257*DI257/($K$5*1000))+$F$5*(DP257*DI257/($K$5*1000))*MAX(MIN(CV257,$J$5),$I$5)*MAX(MIN(CV257,$J$5),$I$5)+$G$5*MAX(MIN(CV257,$J$5),$I$5)*(DP257*DI257/($K$5*1000))+$H$5*(DP257*DI257/($K$5*1000))*(DP257*DI257/($K$5*1000)))</f>
        <v>0</v>
      </c>
      <c r="S257">
        <f>J257*(1000-(1000*0.61365*exp(17.502*W257/(240.97+W257))/(DI257+DJ257)+DD257)/2)/(1000*0.61365*exp(17.502*W257/(240.97+W257))/(DI257+DJ257)-DD257)</f>
        <v>0</v>
      </c>
      <c r="T257">
        <f>1/((CW257+1)/(Q257/1.6)+1/(R257/1.37)) + CW257/((CW257+1)/(Q257/1.6) + CW257/(R257/1.37))</f>
        <v>0</v>
      </c>
      <c r="U257">
        <f>(CR257*CU257)</f>
        <v>0</v>
      </c>
      <c r="V257">
        <f>(DK257+(U257+2*0.95*5.67E-8*(((DK257+$B$7)+273)^4-(DK257+273)^4)-44100*J257)/(1.84*29.3*R257+8*0.95*5.67E-8*(DK257+273)^3))</f>
        <v>0</v>
      </c>
      <c r="W257">
        <f>($C$7*DL257+$D$7*DM257+$E$7*V257)</f>
        <v>0</v>
      </c>
      <c r="X257">
        <f>0.61365*exp(17.502*W257/(240.97+W257))</f>
        <v>0</v>
      </c>
      <c r="Y257">
        <f>(Z257/AA257*100)</f>
        <v>0</v>
      </c>
      <c r="Z257">
        <f>DD257*(DI257+DJ257)/1000</f>
        <v>0</v>
      </c>
      <c r="AA257">
        <f>0.61365*exp(17.502*DK257/(240.97+DK257))</f>
        <v>0</v>
      </c>
      <c r="AB257">
        <f>(X257-DD257*(DI257+DJ257)/1000)</f>
        <v>0</v>
      </c>
      <c r="AC257">
        <f>(-J257*44100)</f>
        <v>0</v>
      </c>
      <c r="AD257">
        <f>2*29.3*R257*0.92*(DK257-W257)</f>
        <v>0</v>
      </c>
      <c r="AE257">
        <f>2*0.95*5.67E-8*(((DK257+$B$7)+273)^4-(W257+273)^4)</f>
        <v>0</v>
      </c>
      <c r="AF257">
        <f>U257+AE257+AC257+AD257</f>
        <v>0</v>
      </c>
      <c r="AG257">
        <f>DH257*AU257*(DC257-DB257*(1000-AU257*DE257)/(1000-AU257*DD257))/(100*CV257)</f>
        <v>0</v>
      </c>
      <c r="AH257">
        <f>1000*DH257*AU257*(DD257-DE257)/(100*CV257*(1000-AU257*DD257))</f>
        <v>0</v>
      </c>
      <c r="AI257">
        <f>(AJ257 - AK257 - DI257*1E3/(8.314*(DK257+273.15)) * AM257/DH257 * AL257) * DH257/(100*CV257) * (1000 - DE257)/1000</f>
        <v>0</v>
      </c>
      <c r="AJ257">
        <v>1589.962048581555</v>
      </c>
      <c r="AK257">
        <v>1541.87703030303</v>
      </c>
      <c r="AL257">
        <v>3.428233545582653</v>
      </c>
      <c r="AM257">
        <v>66.38384787954378</v>
      </c>
      <c r="AN257">
        <f>(AP257 - AO257 + DI257*1E3/(8.314*(DK257+273.15)) * AR257/DH257 * AQ257) * DH257/(100*CV257) * 1000/(1000 - AP257)</f>
        <v>0</v>
      </c>
      <c r="AO257">
        <v>11.97730737703368</v>
      </c>
      <c r="AP257">
        <v>17.96862264705882</v>
      </c>
      <c r="AQ257">
        <v>-4.218710228779638E-05</v>
      </c>
      <c r="AR257">
        <v>80.44866334591464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MAX(0,($B$13+$C$13*DP257)/(1+$D$13*DP257)*DI257/(DK257+273)*$E$13)</f>
        <v>0</v>
      </c>
      <c r="AX257" t="s">
        <v>417</v>
      </c>
      <c r="AY257" t="s">
        <v>417</v>
      </c>
      <c r="AZ257">
        <v>0</v>
      </c>
      <c r="BA257">
        <v>0</v>
      </c>
      <c r="BB257">
        <f>1-AZ257/BA257</f>
        <v>0</v>
      </c>
      <c r="BC257">
        <v>0</v>
      </c>
      <c r="BD257" t="s">
        <v>417</v>
      </c>
      <c r="BE257" t="s">
        <v>417</v>
      </c>
      <c r="BF257">
        <v>0</v>
      </c>
      <c r="BG257">
        <v>0</v>
      </c>
      <c r="BH257">
        <f>1-BF257/BG257</f>
        <v>0</v>
      </c>
      <c r="BI257">
        <v>0.5</v>
      </c>
      <c r="BJ257">
        <f>CS257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417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1238</v>
      </c>
      <c r="CA257">
        <v>300</v>
      </c>
      <c r="CB257">
        <v>300</v>
      </c>
      <c r="CC257">
        <v>300</v>
      </c>
      <c r="CD257">
        <v>10440.5</v>
      </c>
      <c r="CE257">
        <v>1411.69</v>
      </c>
      <c r="CF257">
        <v>-0.00735121</v>
      </c>
      <c r="CG257">
        <v>-0.77</v>
      </c>
      <c r="CH257" t="s">
        <v>417</v>
      </c>
      <c r="CI257" t="s">
        <v>417</v>
      </c>
      <c r="CJ257" t="s">
        <v>417</v>
      </c>
      <c r="CK257" t="s">
        <v>417</v>
      </c>
      <c r="CL257" t="s">
        <v>417</v>
      </c>
      <c r="CM257" t="s">
        <v>417</v>
      </c>
      <c r="CN257" t="s">
        <v>417</v>
      </c>
      <c r="CO257" t="s">
        <v>417</v>
      </c>
      <c r="CP257" t="s">
        <v>417</v>
      </c>
      <c r="CQ257" t="s">
        <v>417</v>
      </c>
      <c r="CR257">
        <f>$B$11*DQ257+$C$11*DR257+$F$11*EC257*(1-EF257)</f>
        <v>0</v>
      </c>
      <c r="CS257">
        <f>CR257*CT257</f>
        <v>0</v>
      </c>
      <c r="CT257">
        <f>($B$11*$D$9+$C$11*$D$9+$F$11*((EP257+EH257)/MAX(EP257+EH257+EQ257, 0.1)*$I$9+EQ257/MAX(EP257+EH257+EQ257, 0.1)*$J$9))/($B$11+$C$11+$F$11)</f>
        <v>0</v>
      </c>
      <c r="CU257">
        <f>($B$11*$K$9+$C$11*$K$9+$F$11*((EP257+EH257)/MAX(EP257+EH257+EQ257, 0.1)*$P$9+EQ257/MAX(EP257+EH257+EQ257, 0.1)*$Q$9))/($B$11+$C$11+$F$11)</f>
        <v>0</v>
      </c>
      <c r="CV257">
        <v>6</v>
      </c>
      <c r="CW257">
        <v>0.5</v>
      </c>
      <c r="CX257" t="s">
        <v>418</v>
      </c>
      <c r="CY257">
        <v>2</v>
      </c>
      <c r="CZ257" t="b">
        <v>1</v>
      </c>
      <c r="DA257">
        <v>1651857764.225</v>
      </c>
      <c r="DB257">
        <v>1511.245</v>
      </c>
      <c r="DC257">
        <v>1575.3725</v>
      </c>
      <c r="DD257">
        <v>17.96755</v>
      </c>
      <c r="DE257">
        <v>12.0569</v>
      </c>
      <c r="DF257">
        <v>1514.4825</v>
      </c>
      <c r="DG257">
        <v>17.967575</v>
      </c>
      <c r="DH257">
        <v>500.023</v>
      </c>
      <c r="DI257">
        <v>90.06235</v>
      </c>
      <c r="DJ257">
        <v>0.099787525</v>
      </c>
      <c r="DK257">
        <v>25.69025</v>
      </c>
      <c r="DL257">
        <v>25.0093</v>
      </c>
      <c r="DM257">
        <v>999.9</v>
      </c>
      <c r="DN257">
        <v>0</v>
      </c>
      <c r="DO257">
        <v>0</v>
      </c>
      <c r="DP257">
        <v>10007.825</v>
      </c>
      <c r="DQ257">
        <v>0</v>
      </c>
      <c r="DR257">
        <v>3.20383</v>
      </c>
      <c r="DS257">
        <v>-64.128925</v>
      </c>
      <c r="DT257">
        <v>1538.8925</v>
      </c>
      <c r="DU257">
        <v>1594.5975</v>
      </c>
      <c r="DV257">
        <v>5.9106575</v>
      </c>
      <c r="DW257">
        <v>1575.3725</v>
      </c>
      <c r="DX257">
        <v>12.0569</v>
      </c>
      <c r="DY257">
        <v>1.6181975</v>
      </c>
      <c r="DZ257">
        <v>1.0858725</v>
      </c>
      <c r="EA257">
        <v>14.1332</v>
      </c>
      <c r="EB257">
        <v>8.122529999999999</v>
      </c>
      <c r="EC257">
        <v>1500.12</v>
      </c>
      <c r="ED257">
        <v>0.97299575</v>
      </c>
      <c r="EE257">
        <v>0.027004175</v>
      </c>
      <c r="EF257">
        <v>0</v>
      </c>
      <c r="EG257">
        <v>918.938</v>
      </c>
      <c r="EH257">
        <v>5.00097</v>
      </c>
      <c r="EI257">
        <v>13670.675</v>
      </c>
      <c r="EJ257">
        <v>12492.575</v>
      </c>
      <c r="EK257">
        <v>37.5</v>
      </c>
      <c r="EL257">
        <v>39</v>
      </c>
      <c r="EM257">
        <v>37.875</v>
      </c>
      <c r="EN257">
        <v>38.75</v>
      </c>
      <c r="EO257">
        <v>38.375</v>
      </c>
      <c r="EP257">
        <v>1454.745</v>
      </c>
      <c r="EQ257">
        <v>40.375</v>
      </c>
      <c r="ER257">
        <v>0</v>
      </c>
      <c r="ES257">
        <v>764.4000000953674</v>
      </c>
      <c r="ET257">
        <v>0</v>
      </c>
      <c r="EU257">
        <v>921.029</v>
      </c>
      <c r="EV257">
        <v>-21.67299995947597</v>
      </c>
      <c r="EW257">
        <v>-318.2769225498198</v>
      </c>
      <c r="EX257">
        <v>13700.904</v>
      </c>
      <c r="EY257">
        <v>15</v>
      </c>
      <c r="EZ257">
        <v>1651857041.1</v>
      </c>
      <c r="FA257" t="s">
        <v>419</v>
      </c>
      <c r="FB257">
        <v>1651857019.6</v>
      </c>
      <c r="FC257">
        <v>1651857041.1</v>
      </c>
      <c r="FD257">
        <v>1</v>
      </c>
      <c r="FE257">
        <v>0.545</v>
      </c>
      <c r="FF257">
        <v>-0.002</v>
      </c>
      <c r="FG257">
        <v>-1.271</v>
      </c>
      <c r="FH257">
        <v>-0.09</v>
      </c>
      <c r="FI257">
        <v>400</v>
      </c>
      <c r="FJ257">
        <v>10</v>
      </c>
      <c r="FK257">
        <v>0.1</v>
      </c>
      <c r="FL257">
        <v>0.02</v>
      </c>
      <c r="FM257">
        <v>-64.10029268292683</v>
      </c>
      <c r="FN257">
        <v>-0.08519163763063832</v>
      </c>
      <c r="FO257">
        <v>0.1385144553348281</v>
      </c>
      <c r="FP257">
        <v>-1</v>
      </c>
      <c r="FQ257">
        <v>6.168179756097562</v>
      </c>
      <c r="FR257">
        <v>-1.635419372822302</v>
      </c>
      <c r="FS257">
        <v>0.1613373980580312</v>
      </c>
      <c r="FT257">
        <v>-1</v>
      </c>
      <c r="FU257">
        <v>0</v>
      </c>
      <c r="FV257">
        <v>0</v>
      </c>
      <c r="FW257">
        <v>0</v>
      </c>
      <c r="FX257">
        <v>-1</v>
      </c>
      <c r="FY257">
        <v>0</v>
      </c>
      <c r="FZ257">
        <v>0</v>
      </c>
      <c r="GA257" t="s">
        <v>432</v>
      </c>
      <c r="GB257">
        <v>2.98003</v>
      </c>
      <c r="GC257">
        <v>2.70615</v>
      </c>
      <c r="GD257">
        <v>0.221838</v>
      </c>
      <c r="GE257">
        <v>0.224902</v>
      </c>
      <c r="GF257">
        <v>0.08644110000000001</v>
      </c>
      <c r="GG257">
        <v>0.0638316</v>
      </c>
      <c r="GH257">
        <v>24552</v>
      </c>
      <c r="GI257">
        <v>24509.9</v>
      </c>
      <c r="GJ257">
        <v>29342.4</v>
      </c>
      <c r="GK257">
        <v>29257.4</v>
      </c>
      <c r="GL257">
        <v>35500.8</v>
      </c>
      <c r="GM257">
        <v>36478.2</v>
      </c>
      <c r="GN257">
        <v>41304</v>
      </c>
      <c r="GO257">
        <v>41754.8</v>
      </c>
      <c r="GP257">
        <v>1.95278</v>
      </c>
      <c r="GQ257">
        <v>1.8435</v>
      </c>
      <c r="GR257">
        <v>-0.0333488</v>
      </c>
      <c r="GS257">
        <v>0</v>
      </c>
      <c r="GT257">
        <v>25.5616</v>
      </c>
      <c r="GU257">
        <v>999.9</v>
      </c>
      <c r="GV257">
        <v>38.2</v>
      </c>
      <c r="GW257">
        <v>34</v>
      </c>
      <c r="GX257">
        <v>22.6639</v>
      </c>
      <c r="GY257">
        <v>62.7576</v>
      </c>
      <c r="GZ257">
        <v>35.2324</v>
      </c>
      <c r="HA257">
        <v>1</v>
      </c>
      <c r="HB257">
        <v>0.136141</v>
      </c>
      <c r="HC257">
        <v>2.70578</v>
      </c>
      <c r="HD257">
        <v>20.3127</v>
      </c>
      <c r="HE257">
        <v>5.21819</v>
      </c>
      <c r="HF257">
        <v>12.0099</v>
      </c>
      <c r="HG257">
        <v>4.9891</v>
      </c>
      <c r="HH257">
        <v>3.28865</v>
      </c>
      <c r="HI257">
        <v>857.5</v>
      </c>
      <c r="HJ257">
        <v>8534.299999999999</v>
      </c>
      <c r="HK257">
        <v>5139.4</v>
      </c>
      <c r="HL257">
        <v>22.9</v>
      </c>
      <c r="HM257">
        <v>1.86751</v>
      </c>
      <c r="HN257">
        <v>1.86647</v>
      </c>
      <c r="HO257">
        <v>1.866</v>
      </c>
      <c r="HP257">
        <v>1.86584</v>
      </c>
      <c r="HQ257">
        <v>1.86773</v>
      </c>
      <c r="HR257">
        <v>1.87026</v>
      </c>
      <c r="HS257">
        <v>1.8689</v>
      </c>
      <c r="HT257">
        <v>1.87026</v>
      </c>
      <c r="HU257">
        <v>0</v>
      </c>
      <c r="HV257">
        <v>0</v>
      </c>
      <c r="HW257">
        <v>0</v>
      </c>
      <c r="HX257">
        <v>0</v>
      </c>
      <c r="HY257" t="s">
        <v>421</v>
      </c>
      <c r="HZ257" t="s">
        <v>422</v>
      </c>
      <c r="IA257" t="s">
        <v>423</v>
      </c>
      <c r="IB257" t="s">
        <v>423</v>
      </c>
      <c r="IC257" t="s">
        <v>423</v>
      </c>
      <c r="ID257" t="s">
        <v>423</v>
      </c>
      <c r="IE257">
        <v>0</v>
      </c>
      <c r="IF257">
        <v>100</v>
      </c>
      <c r="IG257">
        <v>100</v>
      </c>
      <c r="IH257">
        <v>-3.25</v>
      </c>
      <c r="II257">
        <v>0</v>
      </c>
      <c r="IJ257">
        <v>-0.4995723906072</v>
      </c>
      <c r="IK257">
        <v>-0.002077099775823331</v>
      </c>
      <c r="IL257">
        <v>4.593143279902166E-07</v>
      </c>
      <c r="IM257">
        <v>-1.865383991892071E-10</v>
      </c>
      <c r="IN257">
        <v>-0.07605349583632376</v>
      </c>
      <c r="IO257">
        <v>-0.01129461987421345</v>
      </c>
      <c r="IP257">
        <v>0.00116580895745559</v>
      </c>
      <c r="IQ257">
        <v>-1.679085872906199E-05</v>
      </c>
      <c r="IR257">
        <v>2</v>
      </c>
      <c r="IS257">
        <v>2290</v>
      </c>
      <c r="IT257">
        <v>0</v>
      </c>
      <c r="IU257">
        <v>32</v>
      </c>
      <c r="IV257">
        <v>12.4</v>
      </c>
      <c r="IW257">
        <v>12.1</v>
      </c>
      <c r="IX257">
        <v>3.0188</v>
      </c>
      <c r="IY257">
        <v>2.20215</v>
      </c>
      <c r="IZ257">
        <v>1.39648</v>
      </c>
      <c r="JA257">
        <v>2.35962</v>
      </c>
      <c r="JB257">
        <v>1.49536</v>
      </c>
      <c r="JC257">
        <v>2.29492</v>
      </c>
      <c r="JD257">
        <v>38.5259</v>
      </c>
      <c r="JE257">
        <v>24.035</v>
      </c>
      <c r="JF257">
        <v>18</v>
      </c>
      <c r="JG257">
        <v>512.978</v>
      </c>
      <c r="JH257">
        <v>428.086</v>
      </c>
      <c r="JI257">
        <v>21.9885</v>
      </c>
      <c r="JJ257">
        <v>29.0711</v>
      </c>
      <c r="JK257">
        <v>29.9999</v>
      </c>
      <c r="JL257">
        <v>29.07</v>
      </c>
      <c r="JM257">
        <v>29.0119</v>
      </c>
      <c r="JN257">
        <v>60.3942</v>
      </c>
      <c r="JO257">
        <v>43.7124</v>
      </c>
      <c r="JP257">
        <v>0</v>
      </c>
      <c r="JQ257">
        <v>21.9862</v>
      </c>
      <c r="JR257">
        <v>1598.2</v>
      </c>
      <c r="JS257">
        <v>12.2875</v>
      </c>
      <c r="JT257">
        <v>100.303</v>
      </c>
      <c r="JU257">
        <v>100.219</v>
      </c>
    </row>
    <row r="258" spans="1:281">
      <c r="A258">
        <v>242</v>
      </c>
      <c r="B258">
        <v>1651857767.6</v>
      </c>
      <c r="C258">
        <v>767</v>
      </c>
      <c r="D258" t="s">
        <v>911</v>
      </c>
      <c r="E258" t="s">
        <v>912</v>
      </c>
      <c r="F258">
        <v>2</v>
      </c>
      <c r="G258" t="s">
        <v>413</v>
      </c>
      <c r="H258" t="s">
        <v>414</v>
      </c>
      <c r="I258">
        <v>1651857766.6</v>
      </c>
      <c r="J258">
        <f>(K258)/1000</f>
        <v>0</v>
      </c>
      <c r="K258">
        <f>IF(CZ258, AN258, AH258)</f>
        <v>0</v>
      </c>
      <c r="L258">
        <f>IF(CZ258, AI258, AG258)</f>
        <v>0</v>
      </c>
      <c r="M258">
        <f>DB258 - IF(AU258&gt;1, L258*CV258*100.0/(AW258*DP258), 0)</f>
        <v>0</v>
      </c>
      <c r="N258">
        <f>((T258-J258/2)*M258-L258)/(T258+J258/2)</f>
        <v>0</v>
      </c>
      <c r="O258">
        <f>N258*(DI258+DJ258)/1000.0</f>
        <v>0</v>
      </c>
      <c r="P258">
        <f>(DB258 - IF(AU258&gt;1, L258*CV258*100.0/(AW258*DP258), 0))*(DI258+DJ258)/1000.0</f>
        <v>0</v>
      </c>
      <c r="Q258">
        <f>2.0/((1/S258-1/R258)+SIGN(S258)*SQRT((1/S258-1/R258)*(1/S258-1/R258) + 4*CW258/((CW258+1)*(CW258+1))*(2*1/S258*1/R258-1/R258*1/R258)))</f>
        <v>0</v>
      </c>
      <c r="R258">
        <f>IF(LEFT(CX258,1)&lt;&gt;"0",IF(LEFT(CX258,1)="1",3.0,CY258),$D$5+$E$5*(DP258*DI258/($K$5*1000))+$F$5*(DP258*DI258/($K$5*1000))*MAX(MIN(CV258,$J$5),$I$5)*MAX(MIN(CV258,$J$5),$I$5)+$G$5*MAX(MIN(CV258,$J$5),$I$5)*(DP258*DI258/($K$5*1000))+$H$5*(DP258*DI258/($K$5*1000))*(DP258*DI258/($K$5*1000)))</f>
        <v>0</v>
      </c>
      <c r="S258">
        <f>J258*(1000-(1000*0.61365*exp(17.502*W258/(240.97+W258))/(DI258+DJ258)+DD258)/2)/(1000*0.61365*exp(17.502*W258/(240.97+W258))/(DI258+DJ258)-DD258)</f>
        <v>0</v>
      </c>
      <c r="T258">
        <f>1/((CW258+1)/(Q258/1.6)+1/(R258/1.37)) + CW258/((CW258+1)/(Q258/1.6) + CW258/(R258/1.37))</f>
        <v>0</v>
      </c>
      <c r="U258">
        <f>(CR258*CU258)</f>
        <v>0</v>
      </c>
      <c r="V258">
        <f>(DK258+(U258+2*0.95*5.67E-8*(((DK258+$B$7)+273)^4-(DK258+273)^4)-44100*J258)/(1.84*29.3*R258+8*0.95*5.67E-8*(DK258+273)^3))</f>
        <v>0</v>
      </c>
      <c r="W258">
        <f>($C$7*DL258+$D$7*DM258+$E$7*V258)</f>
        <v>0</v>
      </c>
      <c r="X258">
        <f>0.61365*exp(17.502*W258/(240.97+W258))</f>
        <v>0</v>
      </c>
      <c r="Y258">
        <f>(Z258/AA258*100)</f>
        <v>0</v>
      </c>
      <c r="Z258">
        <f>DD258*(DI258+DJ258)/1000</f>
        <v>0</v>
      </c>
      <c r="AA258">
        <f>0.61365*exp(17.502*DK258/(240.97+DK258))</f>
        <v>0</v>
      </c>
      <c r="AB258">
        <f>(X258-DD258*(DI258+DJ258)/1000)</f>
        <v>0</v>
      </c>
      <c r="AC258">
        <f>(-J258*44100)</f>
        <v>0</v>
      </c>
      <c r="AD258">
        <f>2*29.3*R258*0.92*(DK258-W258)</f>
        <v>0</v>
      </c>
      <c r="AE258">
        <f>2*0.95*5.67E-8*(((DK258+$B$7)+273)^4-(W258+273)^4)</f>
        <v>0</v>
      </c>
      <c r="AF258">
        <f>U258+AE258+AC258+AD258</f>
        <v>0</v>
      </c>
      <c r="AG258">
        <f>DH258*AU258*(DC258-DB258*(1000-AU258*DE258)/(1000-AU258*DD258))/(100*CV258)</f>
        <v>0</v>
      </c>
      <c r="AH258">
        <f>1000*DH258*AU258*(DD258-DE258)/(100*CV258*(1000-AU258*DD258))</f>
        <v>0</v>
      </c>
      <c r="AI258">
        <f>(AJ258 - AK258 - DI258*1E3/(8.314*(DK258+273.15)) * AM258/DH258 * AL258) * DH258/(100*CV258) * (1000 - DE258)/1000</f>
        <v>0</v>
      </c>
      <c r="AJ258">
        <v>1596.610023556491</v>
      </c>
      <c r="AK258">
        <v>1548.629757575757</v>
      </c>
      <c r="AL258">
        <v>3.389384217509228</v>
      </c>
      <c r="AM258">
        <v>66.38384787954378</v>
      </c>
      <c r="AN258">
        <f>(AP258 - AO258 + DI258*1E3/(8.314*(DK258+273.15)) * AR258/DH258 * AQ258) * DH258/(100*CV258) * 1000/(1000 - AP258)</f>
        <v>0</v>
      </c>
      <c r="AO258">
        <v>12.03226001307156</v>
      </c>
      <c r="AP258">
        <v>17.96885294117647</v>
      </c>
      <c r="AQ258">
        <v>3.807945407071068E-05</v>
      </c>
      <c r="AR258">
        <v>80.44866334591464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MAX(0,($B$13+$C$13*DP258)/(1+$D$13*DP258)*DI258/(DK258+273)*$E$13)</f>
        <v>0</v>
      </c>
      <c r="AX258" t="s">
        <v>417</v>
      </c>
      <c r="AY258" t="s">
        <v>417</v>
      </c>
      <c r="AZ258">
        <v>0</v>
      </c>
      <c r="BA258">
        <v>0</v>
      </c>
      <c r="BB258">
        <f>1-AZ258/BA258</f>
        <v>0</v>
      </c>
      <c r="BC258">
        <v>0</v>
      </c>
      <c r="BD258" t="s">
        <v>417</v>
      </c>
      <c r="BE258" t="s">
        <v>417</v>
      </c>
      <c r="BF258">
        <v>0</v>
      </c>
      <c r="BG258">
        <v>0</v>
      </c>
      <c r="BH258">
        <f>1-BF258/BG258</f>
        <v>0</v>
      </c>
      <c r="BI258">
        <v>0.5</v>
      </c>
      <c r="BJ258">
        <f>CS258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417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1238</v>
      </c>
      <c r="CA258">
        <v>300</v>
      </c>
      <c r="CB258">
        <v>300</v>
      </c>
      <c r="CC258">
        <v>300</v>
      </c>
      <c r="CD258">
        <v>10440.5</v>
      </c>
      <c r="CE258">
        <v>1411.69</v>
      </c>
      <c r="CF258">
        <v>-0.00735121</v>
      </c>
      <c r="CG258">
        <v>-0.77</v>
      </c>
      <c r="CH258" t="s">
        <v>417</v>
      </c>
      <c r="CI258" t="s">
        <v>417</v>
      </c>
      <c r="CJ258" t="s">
        <v>417</v>
      </c>
      <c r="CK258" t="s">
        <v>417</v>
      </c>
      <c r="CL258" t="s">
        <v>417</v>
      </c>
      <c r="CM258" t="s">
        <v>417</v>
      </c>
      <c r="CN258" t="s">
        <v>417</v>
      </c>
      <c r="CO258" t="s">
        <v>417</v>
      </c>
      <c r="CP258" t="s">
        <v>417</v>
      </c>
      <c r="CQ258" t="s">
        <v>417</v>
      </c>
      <c r="CR258">
        <f>$B$11*DQ258+$C$11*DR258+$F$11*EC258*(1-EF258)</f>
        <v>0</v>
      </c>
      <c r="CS258">
        <f>CR258*CT258</f>
        <v>0</v>
      </c>
      <c r="CT258">
        <f>($B$11*$D$9+$C$11*$D$9+$F$11*((EP258+EH258)/MAX(EP258+EH258+EQ258, 0.1)*$I$9+EQ258/MAX(EP258+EH258+EQ258, 0.1)*$J$9))/($B$11+$C$11+$F$11)</f>
        <v>0</v>
      </c>
      <c r="CU258">
        <f>($B$11*$K$9+$C$11*$K$9+$F$11*((EP258+EH258)/MAX(EP258+EH258+EQ258, 0.1)*$P$9+EQ258/MAX(EP258+EH258+EQ258, 0.1)*$Q$9))/($B$11+$C$11+$F$11)</f>
        <v>0</v>
      </c>
      <c r="CV258">
        <v>6</v>
      </c>
      <c r="CW258">
        <v>0.5</v>
      </c>
      <c r="CX258" t="s">
        <v>418</v>
      </c>
      <c r="CY258">
        <v>2</v>
      </c>
      <c r="CZ258" t="b">
        <v>1</v>
      </c>
      <c r="DA258">
        <v>1651857766.6</v>
      </c>
      <c r="DB258">
        <v>1519.143333333333</v>
      </c>
      <c r="DC258">
        <v>1582.986666666667</v>
      </c>
      <c r="DD258">
        <v>17.96833333333333</v>
      </c>
      <c r="DE258">
        <v>12.1051</v>
      </c>
      <c r="DF258">
        <v>1522.4</v>
      </c>
      <c r="DG258">
        <v>17.96833333333333</v>
      </c>
      <c r="DH258">
        <v>500.0393333333333</v>
      </c>
      <c r="DI258">
        <v>90.0625</v>
      </c>
      <c r="DJ258">
        <v>0.0999119</v>
      </c>
      <c r="DK258">
        <v>25.69006666666667</v>
      </c>
      <c r="DL258">
        <v>25.01756666666667</v>
      </c>
      <c r="DM258">
        <v>999.9</v>
      </c>
      <c r="DN258">
        <v>0</v>
      </c>
      <c r="DO258">
        <v>0</v>
      </c>
      <c r="DP258">
        <v>10012.7</v>
      </c>
      <c r="DQ258">
        <v>0</v>
      </c>
      <c r="DR258">
        <v>3.20383</v>
      </c>
      <c r="DS258">
        <v>-63.83953333333333</v>
      </c>
      <c r="DT258">
        <v>1546.943333333333</v>
      </c>
      <c r="DU258">
        <v>1602.383333333333</v>
      </c>
      <c r="DV258">
        <v>5.863263333333333</v>
      </c>
      <c r="DW258">
        <v>1582.986666666667</v>
      </c>
      <c r="DX258">
        <v>12.1051</v>
      </c>
      <c r="DY258">
        <v>1.618276666666667</v>
      </c>
      <c r="DZ258">
        <v>1.090216666666667</v>
      </c>
      <c r="EA258">
        <v>14.1339</v>
      </c>
      <c r="EB258">
        <v>8.181236666666667</v>
      </c>
      <c r="EC258">
        <v>1500.13</v>
      </c>
      <c r="ED258">
        <v>0.972992</v>
      </c>
      <c r="EE258">
        <v>0.027008</v>
      </c>
      <c r="EF258">
        <v>0</v>
      </c>
      <c r="EG258">
        <v>918.2786666666666</v>
      </c>
      <c r="EH258">
        <v>5.00097</v>
      </c>
      <c r="EI258">
        <v>13658.53333333333</v>
      </c>
      <c r="EJ258">
        <v>12492.63333333333</v>
      </c>
      <c r="EK258">
        <v>37.5</v>
      </c>
      <c r="EL258">
        <v>39</v>
      </c>
      <c r="EM258">
        <v>37.875</v>
      </c>
      <c r="EN258">
        <v>38.75</v>
      </c>
      <c r="EO258">
        <v>38.375</v>
      </c>
      <c r="EP258">
        <v>1454.75</v>
      </c>
      <c r="EQ258">
        <v>40.38</v>
      </c>
      <c r="ER258">
        <v>0</v>
      </c>
      <c r="ES258">
        <v>766.2000000476837</v>
      </c>
      <c r="ET258">
        <v>0</v>
      </c>
      <c r="EU258">
        <v>920.4913076923077</v>
      </c>
      <c r="EV258">
        <v>-20.27035898644069</v>
      </c>
      <c r="EW258">
        <v>-313.5658121325189</v>
      </c>
      <c r="EX258">
        <v>13693.22307692308</v>
      </c>
      <c r="EY258">
        <v>15</v>
      </c>
      <c r="EZ258">
        <v>1651857041.1</v>
      </c>
      <c r="FA258" t="s">
        <v>419</v>
      </c>
      <c r="FB258">
        <v>1651857019.6</v>
      </c>
      <c r="FC258">
        <v>1651857041.1</v>
      </c>
      <c r="FD258">
        <v>1</v>
      </c>
      <c r="FE258">
        <v>0.545</v>
      </c>
      <c r="FF258">
        <v>-0.002</v>
      </c>
      <c r="FG258">
        <v>-1.271</v>
      </c>
      <c r="FH258">
        <v>-0.09</v>
      </c>
      <c r="FI258">
        <v>400</v>
      </c>
      <c r="FJ258">
        <v>10</v>
      </c>
      <c r="FK258">
        <v>0.1</v>
      </c>
      <c r="FL258">
        <v>0.02</v>
      </c>
      <c r="FM258">
        <v>-64.0900225</v>
      </c>
      <c r="FN258">
        <v>0.1260213883678095</v>
      </c>
      <c r="FO258">
        <v>0.1457847874222469</v>
      </c>
      <c r="FP258">
        <v>-1</v>
      </c>
      <c r="FQ258">
        <v>6.12119575</v>
      </c>
      <c r="FR258">
        <v>-1.611897073170755</v>
      </c>
      <c r="FS258">
        <v>0.1551660901403315</v>
      </c>
      <c r="FT258">
        <v>-1</v>
      </c>
      <c r="FU258">
        <v>0</v>
      </c>
      <c r="FV258">
        <v>0</v>
      </c>
      <c r="FW258">
        <v>0</v>
      </c>
      <c r="FX258">
        <v>-1</v>
      </c>
      <c r="FY258">
        <v>0</v>
      </c>
      <c r="FZ258">
        <v>0</v>
      </c>
      <c r="GA258" t="s">
        <v>432</v>
      </c>
      <c r="GB258">
        <v>2.97992</v>
      </c>
      <c r="GC258">
        <v>2.70626</v>
      </c>
      <c r="GD258">
        <v>0.222424</v>
      </c>
      <c r="GE258">
        <v>0.225461</v>
      </c>
      <c r="GF258">
        <v>0.0864364</v>
      </c>
      <c r="GG258">
        <v>0.0639856</v>
      </c>
      <c r="GH258">
        <v>24533.3</v>
      </c>
      <c r="GI258">
        <v>24492.1</v>
      </c>
      <c r="GJ258">
        <v>29342.2</v>
      </c>
      <c r="GK258">
        <v>29257.2</v>
      </c>
      <c r="GL258">
        <v>35500.9</v>
      </c>
      <c r="GM258">
        <v>36472</v>
      </c>
      <c r="GN258">
        <v>41303.9</v>
      </c>
      <c r="GO258">
        <v>41754.5</v>
      </c>
      <c r="GP258">
        <v>1.95273</v>
      </c>
      <c r="GQ258">
        <v>1.84355</v>
      </c>
      <c r="GR258">
        <v>-0.0332221</v>
      </c>
      <c r="GS258">
        <v>0</v>
      </c>
      <c r="GT258">
        <v>25.5605</v>
      </c>
      <c r="GU258">
        <v>999.9</v>
      </c>
      <c r="GV258">
        <v>38.2</v>
      </c>
      <c r="GW258">
        <v>34</v>
      </c>
      <c r="GX258">
        <v>22.662</v>
      </c>
      <c r="GY258">
        <v>62.3476</v>
      </c>
      <c r="GZ258">
        <v>35.3245</v>
      </c>
      <c r="HA258">
        <v>1</v>
      </c>
      <c r="HB258">
        <v>0.136113</v>
      </c>
      <c r="HC258">
        <v>2.69999</v>
      </c>
      <c r="HD258">
        <v>20.3128</v>
      </c>
      <c r="HE258">
        <v>5.21834</v>
      </c>
      <c r="HF258">
        <v>12.0099</v>
      </c>
      <c r="HG258">
        <v>4.9892</v>
      </c>
      <c r="HH258">
        <v>3.28865</v>
      </c>
      <c r="HI258">
        <v>857.5</v>
      </c>
      <c r="HJ258">
        <v>8534.299999999999</v>
      </c>
      <c r="HK258">
        <v>5139.4</v>
      </c>
      <c r="HL258">
        <v>22.9</v>
      </c>
      <c r="HM258">
        <v>1.86752</v>
      </c>
      <c r="HN258">
        <v>1.86647</v>
      </c>
      <c r="HO258">
        <v>1.866</v>
      </c>
      <c r="HP258">
        <v>1.86584</v>
      </c>
      <c r="HQ258">
        <v>1.86772</v>
      </c>
      <c r="HR258">
        <v>1.87026</v>
      </c>
      <c r="HS258">
        <v>1.8689</v>
      </c>
      <c r="HT258">
        <v>1.87027</v>
      </c>
      <c r="HU258">
        <v>0</v>
      </c>
      <c r="HV258">
        <v>0</v>
      </c>
      <c r="HW258">
        <v>0</v>
      </c>
      <c r="HX258">
        <v>0</v>
      </c>
      <c r="HY258" t="s">
        <v>421</v>
      </c>
      <c r="HZ258" t="s">
        <v>422</v>
      </c>
      <c r="IA258" t="s">
        <v>423</v>
      </c>
      <c r="IB258" t="s">
        <v>423</v>
      </c>
      <c r="IC258" t="s">
        <v>423</v>
      </c>
      <c r="ID258" t="s">
        <v>423</v>
      </c>
      <c r="IE258">
        <v>0</v>
      </c>
      <c r="IF258">
        <v>100</v>
      </c>
      <c r="IG258">
        <v>100</v>
      </c>
      <c r="IH258">
        <v>-3.26</v>
      </c>
      <c r="II258">
        <v>0</v>
      </c>
      <c r="IJ258">
        <v>-0.4995723906072</v>
      </c>
      <c r="IK258">
        <v>-0.002077099775823331</v>
      </c>
      <c r="IL258">
        <v>4.593143279902166E-07</v>
      </c>
      <c r="IM258">
        <v>-1.865383991892071E-10</v>
      </c>
      <c r="IN258">
        <v>-0.07605349583632376</v>
      </c>
      <c r="IO258">
        <v>-0.01129461987421345</v>
      </c>
      <c r="IP258">
        <v>0.00116580895745559</v>
      </c>
      <c r="IQ258">
        <v>-1.679085872906199E-05</v>
      </c>
      <c r="IR258">
        <v>2</v>
      </c>
      <c r="IS258">
        <v>2290</v>
      </c>
      <c r="IT258">
        <v>0</v>
      </c>
      <c r="IU258">
        <v>32</v>
      </c>
      <c r="IV258">
        <v>12.5</v>
      </c>
      <c r="IW258">
        <v>12.1</v>
      </c>
      <c r="IX258">
        <v>3.02856</v>
      </c>
      <c r="IY258">
        <v>2.19116</v>
      </c>
      <c r="IZ258">
        <v>1.39648</v>
      </c>
      <c r="JA258">
        <v>2.35962</v>
      </c>
      <c r="JB258">
        <v>1.49536</v>
      </c>
      <c r="JC258">
        <v>2.3584</v>
      </c>
      <c r="JD258">
        <v>38.5259</v>
      </c>
      <c r="JE258">
        <v>24.035</v>
      </c>
      <c r="JF258">
        <v>18</v>
      </c>
      <c r="JG258">
        <v>512.934</v>
      </c>
      <c r="JH258">
        <v>428.116</v>
      </c>
      <c r="JI258">
        <v>21.9842</v>
      </c>
      <c r="JJ258">
        <v>29.0711</v>
      </c>
      <c r="JK258">
        <v>30</v>
      </c>
      <c r="JL258">
        <v>29.0688</v>
      </c>
      <c r="JM258">
        <v>29.0119</v>
      </c>
      <c r="JN258">
        <v>60.5922</v>
      </c>
      <c r="JO258">
        <v>43.4353</v>
      </c>
      <c r="JP258">
        <v>0</v>
      </c>
      <c r="JQ258">
        <v>21.9862</v>
      </c>
      <c r="JR258">
        <v>1604.88</v>
      </c>
      <c r="JS258">
        <v>12.3466</v>
      </c>
      <c r="JT258">
        <v>100.303</v>
      </c>
      <c r="JU258">
        <v>100.218</v>
      </c>
    </row>
    <row r="259" spans="1:281">
      <c r="A259">
        <v>243</v>
      </c>
      <c r="B259">
        <v>1651859328</v>
      </c>
      <c r="C259">
        <v>2327.400000095367</v>
      </c>
      <c r="D259" t="s">
        <v>913</v>
      </c>
      <c r="E259" t="s">
        <v>914</v>
      </c>
      <c r="F259">
        <v>2</v>
      </c>
      <c r="G259" t="s">
        <v>915</v>
      </c>
      <c r="H259" t="s">
        <v>414</v>
      </c>
      <c r="I259">
        <v>1651859326.75</v>
      </c>
      <c r="J259">
        <f>(K259)/1000</f>
        <v>0</v>
      </c>
      <c r="K259">
        <f>IF(CZ259, AN259, AH259)</f>
        <v>0</v>
      </c>
      <c r="L259">
        <f>IF(CZ259, AI259, AG259)</f>
        <v>0</v>
      </c>
      <c r="M259">
        <f>DB259 - IF(AU259&gt;1, L259*CV259*100.0/(AW259*DP259), 0)</f>
        <v>0</v>
      </c>
      <c r="N259">
        <f>((T259-J259/2)*M259-L259)/(T259+J259/2)</f>
        <v>0</v>
      </c>
      <c r="O259">
        <f>N259*(DI259+DJ259)/1000.0</f>
        <v>0</v>
      </c>
      <c r="P259">
        <f>(DB259 - IF(AU259&gt;1, L259*CV259*100.0/(AW259*DP259), 0))*(DI259+DJ259)/1000.0</f>
        <v>0</v>
      </c>
      <c r="Q259">
        <f>2.0/((1/S259-1/R259)+SIGN(S259)*SQRT((1/S259-1/R259)*(1/S259-1/R259) + 4*CW259/((CW259+1)*(CW259+1))*(2*1/S259*1/R259-1/R259*1/R259)))</f>
        <v>0</v>
      </c>
      <c r="R259">
        <f>IF(LEFT(CX259,1)&lt;&gt;"0",IF(LEFT(CX259,1)="1",3.0,CY259),$D$5+$E$5*(DP259*DI259/($K$5*1000))+$F$5*(DP259*DI259/($K$5*1000))*MAX(MIN(CV259,$J$5),$I$5)*MAX(MIN(CV259,$J$5),$I$5)+$G$5*MAX(MIN(CV259,$J$5),$I$5)*(DP259*DI259/($K$5*1000))+$H$5*(DP259*DI259/($K$5*1000))*(DP259*DI259/($K$5*1000)))</f>
        <v>0</v>
      </c>
      <c r="S259">
        <f>J259*(1000-(1000*0.61365*exp(17.502*W259/(240.97+W259))/(DI259+DJ259)+DD259)/2)/(1000*0.61365*exp(17.502*W259/(240.97+W259))/(DI259+DJ259)-DD259)</f>
        <v>0</v>
      </c>
      <c r="T259">
        <f>1/((CW259+1)/(Q259/1.6)+1/(R259/1.37)) + CW259/((CW259+1)/(Q259/1.6) + CW259/(R259/1.37))</f>
        <v>0</v>
      </c>
      <c r="U259">
        <f>(CR259*CU259)</f>
        <v>0</v>
      </c>
      <c r="V259">
        <f>(DK259+(U259+2*0.95*5.67E-8*(((DK259+$B$7)+273)^4-(DK259+273)^4)-44100*J259)/(1.84*29.3*R259+8*0.95*5.67E-8*(DK259+273)^3))</f>
        <v>0</v>
      </c>
      <c r="W259">
        <f>($C$7*DL259+$D$7*DM259+$E$7*V259)</f>
        <v>0</v>
      </c>
      <c r="X259">
        <f>0.61365*exp(17.502*W259/(240.97+W259))</f>
        <v>0</v>
      </c>
      <c r="Y259">
        <f>(Z259/AA259*100)</f>
        <v>0</v>
      </c>
      <c r="Z259">
        <f>DD259*(DI259+DJ259)/1000</f>
        <v>0</v>
      </c>
      <c r="AA259">
        <f>0.61365*exp(17.502*DK259/(240.97+DK259))</f>
        <v>0</v>
      </c>
      <c r="AB259">
        <f>(X259-DD259*(DI259+DJ259)/1000)</f>
        <v>0</v>
      </c>
      <c r="AC259">
        <f>(-J259*44100)</f>
        <v>0</v>
      </c>
      <c r="AD259">
        <f>2*29.3*R259*0.92*(DK259-W259)</f>
        <v>0</v>
      </c>
      <c r="AE259">
        <f>2*0.95*5.67E-8*(((DK259+$B$7)+273)^4-(W259+273)^4)</f>
        <v>0</v>
      </c>
      <c r="AF259">
        <f>U259+AE259+AC259+AD259</f>
        <v>0</v>
      </c>
      <c r="AG259">
        <f>DH259*AU259*(DC259-DB259*(1000-AU259*DE259)/(1000-AU259*DD259))/(100*CV259)</f>
        <v>0</v>
      </c>
      <c r="AH259">
        <f>1000*DH259*AU259*(DD259-DE259)/(100*CV259*(1000-AU259*DD259))</f>
        <v>0</v>
      </c>
      <c r="AI259">
        <f>(AJ259 - AK259 - DI259*1E3/(8.314*(DK259+273.15)) * AM259/DH259 * AL259) * DH259/(100*CV259) * (1000 - DE259)/1000</f>
        <v>0</v>
      </c>
      <c r="AJ259">
        <v>403.7489570596057</v>
      </c>
      <c r="AK259">
        <v>375.6568424242425</v>
      </c>
      <c r="AL259">
        <v>-0.0002980320140644055</v>
      </c>
      <c r="AM259">
        <v>66.38384787954378</v>
      </c>
      <c r="AN259">
        <f>(AP259 - AO259 + DI259*1E3/(8.314*(DK259+273.15)) * AR259/DH259 * AQ259) * DH259/(100*CV259) * 1000/(1000 - AP259)</f>
        <v>0</v>
      </c>
      <c r="AO259">
        <v>9.048499292875896</v>
      </c>
      <c r="AP259">
        <v>18.48733294117646</v>
      </c>
      <c r="AQ259">
        <v>0.0001175971286200324</v>
      </c>
      <c r="AR259">
        <v>80.44866334591464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MAX(0,($B$13+$C$13*DP259)/(1+$D$13*DP259)*DI259/(DK259+273)*$E$13)</f>
        <v>0</v>
      </c>
      <c r="AX259" t="s">
        <v>415</v>
      </c>
      <c r="AY259">
        <v>10510</v>
      </c>
      <c r="AZ259">
        <v>590.42</v>
      </c>
      <c r="BA259">
        <v>2650.6</v>
      </c>
      <c r="BB259">
        <f>1-AZ259/BA259</f>
        <v>0</v>
      </c>
      <c r="BC259">
        <v>-1.816883183993991</v>
      </c>
      <c r="BD259" t="s">
        <v>916</v>
      </c>
      <c r="BE259">
        <v>10445.2</v>
      </c>
      <c r="BF259">
        <v>1042.0508</v>
      </c>
      <c r="BG259">
        <v>1419.44</v>
      </c>
      <c r="BH259">
        <f>1-BF259/BG259</f>
        <v>0</v>
      </c>
      <c r="BI259">
        <v>0.5</v>
      </c>
      <c r="BJ259">
        <f>CS259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417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1239</v>
      </c>
      <c r="CA259">
        <v>300</v>
      </c>
      <c r="CB259">
        <v>300</v>
      </c>
      <c r="CC259">
        <v>300</v>
      </c>
      <c r="CD259">
        <v>10445.2</v>
      </c>
      <c r="CE259">
        <v>1354.89</v>
      </c>
      <c r="CF259">
        <v>-0.0073547</v>
      </c>
      <c r="CG259">
        <v>0.04</v>
      </c>
      <c r="CH259" t="s">
        <v>417</v>
      </c>
      <c r="CI259" t="s">
        <v>417</v>
      </c>
      <c r="CJ259" t="s">
        <v>417</v>
      </c>
      <c r="CK259" t="s">
        <v>417</v>
      </c>
      <c r="CL259" t="s">
        <v>417</v>
      </c>
      <c r="CM259" t="s">
        <v>417</v>
      </c>
      <c r="CN259" t="s">
        <v>417</v>
      </c>
      <c r="CO259" t="s">
        <v>417</v>
      </c>
      <c r="CP259" t="s">
        <v>417</v>
      </c>
      <c r="CQ259" t="s">
        <v>417</v>
      </c>
      <c r="CR259">
        <f>$B$11*DQ259+$C$11*DR259+$F$11*EC259*(1-EF259)</f>
        <v>0</v>
      </c>
      <c r="CS259">
        <f>CR259*CT259</f>
        <v>0</v>
      </c>
      <c r="CT259">
        <f>($B$11*$D$9+$C$11*$D$9+$F$11*((EP259+EH259)/MAX(EP259+EH259+EQ259, 0.1)*$I$9+EQ259/MAX(EP259+EH259+EQ259, 0.1)*$J$9))/($B$11+$C$11+$F$11)</f>
        <v>0</v>
      </c>
      <c r="CU259">
        <f>($B$11*$K$9+$C$11*$K$9+$F$11*((EP259+EH259)/MAX(EP259+EH259+EQ259, 0.1)*$P$9+EQ259/MAX(EP259+EH259+EQ259, 0.1)*$Q$9))/($B$11+$C$11+$F$11)</f>
        <v>0</v>
      </c>
      <c r="CV259">
        <v>6</v>
      </c>
      <c r="CW259">
        <v>0.5</v>
      </c>
      <c r="CX259" t="s">
        <v>418</v>
      </c>
      <c r="CY259">
        <v>2</v>
      </c>
      <c r="CZ259" t="b">
        <v>1</v>
      </c>
      <c r="DA259">
        <v>1651859326.75</v>
      </c>
      <c r="DB259">
        <v>368.72025</v>
      </c>
      <c r="DC259">
        <v>400.10275</v>
      </c>
      <c r="DD259">
        <v>18.48935</v>
      </c>
      <c r="DE259">
        <v>9.045642500000001</v>
      </c>
      <c r="DF259">
        <v>369.935</v>
      </c>
      <c r="DG259">
        <v>18.481925</v>
      </c>
      <c r="DH259">
        <v>500.035</v>
      </c>
      <c r="DI259">
        <v>90.036125</v>
      </c>
      <c r="DJ259">
        <v>0.10013175</v>
      </c>
      <c r="DK259">
        <v>25.7911</v>
      </c>
      <c r="DL259">
        <v>24.9942</v>
      </c>
      <c r="DM259">
        <v>999.9</v>
      </c>
      <c r="DN259">
        <v>0</v>
      </c>
      <c r="DO259">
        <v>0</v>
      </c>
      <c r="DP259">
        <v>9987.1875</v>
      </c>
      <c r="DQ259">
        <v>0</v>
      </c>
      <c r="DR259">
        <v>3.20137</v>
      </c>
      <c r="DS259">
        <v>-31.382125</v>
      </c>
      <c r="DT259">
        <v>375.66625</v>
      </c>
      <c r="DU259">
        <v>403.7547499999999</v>
      </c>
      <c r="DV259">
        <v>9.443705</v>
      </c>
      <c r="DW259">
        <v>400.10275</v>
      </c>
      <c r="DX259">
        <v>9.045642500000001</v>
      </c>
      <c r="DY259">
        <v>1.66471</v>
      </c>
      <c r="DZ259">
        <v>0.8144342500000001</v>
      </c>
      <c r="EA259">
        <v>14.5712</v>
      </c>
      <c r="EB259">
        <v>3.9614075</v>
      </c>
      <c r="EC259">
        <v>1500.03</v>
      </c>
      <c r="ED259">
        <v>0.9729935000000001</v>
      </c>
      <c r="EE259">
        <v>0.0270065</v>
      </c>
      <c r="EF259">
        <v>0</v>
      </c>
      <c r="EG259">
        <v>1042.3925</v>
      </c>
      <c r="EH259">
        <v>5.00097</v>
      </c>
      <c r="EI259">
        <v>15430.225</v>
      </c>
      <c r="EJ259">
        <v>12491.825</v>
      </c>
      <c r="EK259">
        <v>36.875</v>
      </c>
      <c r="EL259">
        <v>38.312</v>
      </c>
      <c r="EM259">
        <v>37.25</v>
      </c>
      <c r="EN259">
        <v>38.062</v>
      </c>
      <c r="EO259">
        <v>37.812</v>
      </c>
      <c r="EP259">
        <v>1454.6575</v>
      </c>
      <c r="EQ259">
        <v>40.3725</v>
      </c>
      <c r="ER259">
        <v>0</v>
      </c>
      <c r="ES259">
        <v>2326.800000190735</v>
      </c>
      <c r="ET259">
        <v>0</v>
      </c>
      <c r="EU259">
        <v>1042.0508</v>
      </c>
      <c r="EV259">
        <v>3.603846145704308</v>
      </c>
      <c r="EW259">
        <v>41.93076919556707</v>
      </c>
      <c r="EX259">
        <v>15426.116</v>
      </c>
      <c r="EY259">
        <v>15</v>
      </c>
      <c r="EZ259">
        <v>1651857041.1</v>
      </c>
      <c r="FA259" t="s">
        <v>419</v>
      </c>
      <c r="FB259">
        <v>1651857019.6</v>
      </c>
      <c r="FC259">
        <v>1651857041.1</v>
      </c>
      <c r="FD259">
        <v>1</v>
      </c>
      <c r="FE259">
        <v>0.545</v>
      </c>
      <c r="FF259">
        <v>-0.002</v>
      </c>
      <c r="FG259">
        <v>-1.271</v>
      </c>
      <c r="FH259">
        <v>-0.09</v>
      </c>
      <c r="FI259">
        <v>400</v>
      </c>
      <c r="FJ259">
        <v>10</v>
      </c>
      <c r="FK259">
        <v>0.1</v>
      </c>
      <c r="FL259">
        <v>0.02</v>
      </c>
      <c r="FM259">
        <v>-31.3841775</v>
      </c>
      <c r="FN259">
        <v>0.04087992495318141</v>
      </c>
      <c r="FO259">
        <v>0.03480849384489362</v>
      </c>
      <c r="FP259">
        <v>-1</v>
      </c>
      <c r="FQ259">
        <v>9.447602249999999</v>
      </c>
      <c r="FR259">
        <v>-0.004095872420289879</v>
      </c>
      <c r="FS259">
        <v>0.008529369404446041</v>
      </c>
      <c r="FT259">
        <v>-1</v>
      </c>
      <c r="FU259">
        <v>0</v>
      </c>
      <c r="FV259">
        <v>0</v>
      </c>
      <c r="FW259">
        <v>0</v>
      </c>
      <c r="FX259">
        <v>-1</v>
      </c>
      <c r="FY259">
        <v>0</v>
      </c>
      <c r="FZ259">
        <v>0</v>
      </c>
      <c r="GA259" t="s">
        <v>432</v>
      </c>
      <c r="GB259">
        <v>2.98066</v>
      </c>
      <c r="GC259">
        <v>2.70614</v>
      </c>
      <c r="GD259">
        <v>0.0848044</v>
      </c>
      <c r="GE259">
        <v>0.08919390000000001</v>
      </c>
      <c r="GF259">
        <v>0.0883133</v>
      </c>
      <c r="GG259">
        <v>0.0513143</v>
      </c>
      <c r="GH259">
        <v>28908.2</v>
      </c>
      <c r="GI259">
        <v>28829</v>
      </c>
      <c r="GJ259">
        <v>29368.7</v>
      </c>
      <c r="GK259">
        <v>29279.8</v>
      </c>
      <c r="GL259">
        <v>35455</v>
      </c>
      <c r="GM259">
        <v>36997.9</v>
      </c>
      <c r="GN259">
        <v>41340.3</v>
      </c>
      <c r="GO259">
        <v>41790.1</v>
      </c>
      <c r="GP259">
        <v>1.96213</v>
      </c>
      <c r="GQ259">
        <v>1.8412</v>
      </c>
      <c r="GR259">
        <v>-0.014022</v>
      </c>
      <c r="GS259">
        <v>0</v>
      </c>
      <c r="GT259">
        <v>25.2224</v>
      </c>
      <c r="GU259">
        <v>999.9</v>
      </c>
      <c r="GV259">
        <v>36.4</v>
      </c>
      <c r="GW259">
        <v>34.3</v>
      </c>
      <c r="GX259">
        <v>21.9679</v>
      </c>
      <c r="GY259">
        <v>62.4578</v>
      </c>
      <c r="GZ259">
        <v>35.5809</v>
      </c>
      <c r="HA259">
        <v>1</v>
      </c>
      <c r="HB259">
        <v>0.0836281</v>
      </c>
      <c r="HC259">
        <v>1.71168</v>
      </c>
      <c r="HD259">
        <v>20.3266</v>
      </c>
      <c r="HE259">
        <v>5.22613</v>
      </c>
      <c r="HF259">
        <v>12.0099</v>
      </c>
      <c r="HG259">
        <v>4.9912</v>
      </c>
      <c r="HH259">
        <v>3.29</v>
      </c>
      <c r="HI259">
        <v>889.3</v>
      </c>
      <c r="HJ259">
        <v>8802.799999999999</v>
      </c>
      <c r="HK259">
        <v>5139.4</v>
      </c>
      <c r="HL259">
        <v>23.4</v>
      </c>
      <c r="HM259">
        <v>1.8675</v>
      </c>
      <c r="HN259">
        <v>1.86646</v>
      </c>
      <c r="HO259">
        <v>1.866</v>
      </c>
      <c r="HP259">
        <v>1.86586</v>
      </c>
      <c r="HQ259">
        <v>1.86769</v>
      </c>
      <c r="HR259">
        <v>1.8702</v>
      </c>
      <c r="HS259">
        <v>1.8689</v>
      </c>
      <c r="HT259">
        <v>1.87027</v>
      </c>
      <c r="HU259">
        <v>0</v>
      </c>
      <c r="HV259">
        <v>0</v>
      </c>
      <c r="HW259">
        <v>0</v>
      </c>
      <c r="HX259">
        <v>0</v>
      </c>
      <c r="HY259" t="s">
        <v>421</v>
      </c>
      <c r="HZ259" t="s">
        <v>422</v>
      </c>
      <c r="IA259" t="s">
        <v>423</v>
      </c>
      <c r="IB259" t="s">
        <v>423</v>
      </c>
      <c r="IC259" t="s">
        <v>423</v>
      </c>
      <c r="ID259" t="s">
        <v>423</v>
      </c>
      <c r="IE259">
        <v>0</v>
      </c>
      <c r="IF259">
        <v>100</v>
      </c>
      <c r="IG259">
        <v>100</v>
      </c>
      <c r="IH259">
        <v>-1.215</v>
      </c>
      <c r="II259">
        <v>0.0074</v>
      </c>
      <c r="IJ259">
        <v>-0.4995723906072</v>
      </c>
      <c r="IK259">
        <v>-0.002077099775823331</v>
      </c>
      <c r="IL259">
        <v>4.593143279902166E-07</v>
      </c>
      <c r="IM259">
        <v>-1.865383991892071E-10</v>
      </c>
      <c r="IN259">
        <v>-0.07605349583632376</v>
      </c>
      <c r="IO259">
        <v>-0.01129461987421345</v>
      </c>
      <c r="IP259">
        <v>0.00116580895745559</v>
      </c>
      <c r="IQ259">
        <v>-1.679085872906199E-05</v>
      </c>
      <c r="IR259">
        <v>2</v>
      </c>
      <c r="IS259">
        <v>2290</v>
      </c>
      <c r="IT259">
        <v>0</v>
      </c>
      <c r="IU259">
        <v>32</v>
      </c>
      <c r="IV259">
        <v>38.5</v>
      </c>
      <c r="IW259">
        <v>38.1</v>
      </c>
      <c r="IX259">
        <v>0.997314</v>
      </c>
      <c r="IY259">
        <v>2.2229</v>
      </c>
      <c r="IZ259">
        <v>1.39648</v>
      </c>
      <c r="JA259">
        <v>2.3584</v>
      </c>
      <c r="JB259">
        <v>1.49536</v>
      </c>
      <c r="JC259">
        <v>2.2876</v>
      </c>
      <c r="JD259">
        <v>38.2812</v>
      </c>
      <c r="JE259">
        <v>24.035</v>
      </c>
      <c r="JF259">
        <v>18</v>
      </c>
      <c r="JG259">
        <v>513.92</v>
      </c>
      <c r="JH259">
        <v>422.358</v>
      </c>
      <c r="JI259">
        <v>23.0059</v>
      </c>
      <c r="JJ259">
        <v>28.4131</v>
      </c>
      <c r="JK259">
        <v>29.9997</v>
      </c>
      <c r="JL259">
        <v>28.458</v>
      </c>
      <c r="JM259">
        <v>28.4049</v>
      </c>
      <c r="JN259">
        <v>19.9671</v>
      </c>
      <c r="JO259">
        <v>54.0033</v>
      </c>
      <c r="JP259">
        <v>0</v>
      </c>
      <c r="JQ259">
        <v>23.0133</v>
      </c>
      <c r="JR259">
        <v>400.068</v>
      </c>
      <c r="JS259">
        <v>9.047779999999999</v>
      </c>
      <c r="JT259">
        <v>100.392</v>
      </c>
      <c r="JU259">
        <v>100.301</v>
      </c>
    </row>
    <row r="260" spans="1:281">
      <c r="A260">
        <v>244</v>
      </c>
      <c r="B260">
        <v>1651859483</v>
      </c>
      <c r="C260">
        <v>2482.400000095367</v>
      </c>
      <c r="D260" t="s">
        <v>917</v>
      </c>
      <c r="E260" t="s">
        <v>918</v>
      </c>
      <c r="F260">
        <v>2</v>
      </c>
      <c r="G260" t="s">
        <v>915</v>
      </c>
      <c r="H260" t="s">
        <v>414</v>
      </c>
      <c r="I260">
        <v>1651859481.75</v>
      </c>
      <c r="J260">
        <f>(K260)/1000</f>
        <v>0</v>
      </c>
      <c r="K260">
        <f>IF(CZ260, AN260, AH260)</f>
        <v>0</v>
      </c>
      <c r="L260">
        <f>IF(CZ260, AI260, AG260)</f>
        <v>0</v>
      </c>
      <c r="M260">
        <f>DB260 - IF(AU260&gt;1, L260*CV260*100.0/(AW260*DP260), 0)</f>
        <v>0</v>
      </c>
      <c r="N260">
        <f>((T260-J260/2)*M260-L260)/(T260+J260/2)</f>
        <v>0</v>
      </c>
      <c r="O260">
        <f>N260*(DI260+DJ260)/1000.0</f>
        <v>0</v>
      </c>
      <c r="P260">
        <f>(DB260 - IF(AU260&gt;1, L260*CV260*100.0/(AW260*DP260), 0))*(DI260+DJ260)/1000.0</f>
        <v>0</v>
      </c>
      <c r="Q260">
        <f>2.0/((1/S260-1/R260)+SIGN(S260)*SQRT((1/S260-1/R260)*(1/S260-1/R260) + 4*CW260/((CW260+1)*(CW260+1))*(2*1/S260*1/R260-1/R260*1/R260)))</f>
        <v>0</v>
      </c>
      <c r="R260">
        <f>IF(LEFT(CX260,1)&lt;&gt;"0",IF(LEFT(CX260,1)="1",3.0,CY260),$D$5+$E$5*(DP260*DI260/($K$5*1000))+$F$5*(DP260*DI260/($K$5*1000))*MAX(MIN(CV260,$J$5),$I$5)*MAX(MIN(CV260,$J$5),$I$5)+$G$5*MAX(MIN(CV260,$J$5),$I$5)*(DP260*DI260/($K$5*1000))+$H$5*(DP260*DI260/($K$5*1000))*(DP260*DI260/($K$5*1000)))</f>
        <v>0</v>
      </c>
      <c r="S260">
        <f>J260*(1000-(1000*0.61365*exp(17.502*W260/(240.97+W260))/(DI260+DJ260)+DD260)/2)/(1000*0.61365*exp(17.502*W260/(240.97+W260))/(DI260+DJ260)-DD260)</f>
        <v>0</v>
      </c>
      <c r="T260">
        <f>1/((CW260+1)/(Q260/1.6)+1/(R260/1.37)) + CW260/((CW260+1)/(Q260/1.6) + CW260/(R260/1.37))</f>
        <v>0</v>
      </c>
      <c r="U260">
        <f>(CR260*CU260)</f>
        <v>0</v>
      </c>
      <c r="V260">
        <f>(DK260+(U260+2*0.95*5.67E-8*(((DK260+$B$7)+273)^4-(DK260+273)^4)-44100*J260)/(1.84*29.3*R260+8*0.95*5.67E-8*(DK260+273)^3))</f>
        <v>0</v>
      </c>
      <c r="W260">
        <f>($C$7*DL260+$D$7*DM260+$E$7*V260)</f>
        <v>0</v>
      </c>
      <c r="X260">
        <f>0.61365*exp(17.502*W260/(240.97+W260))</f>
        <v>0</v>
      </c>
      <c r="Y260">
        <f>(Z260/AA260*100)</f>
        <v>0</v>
      </c>
      <c r="Z260">
        <f>DD260*(DI260+DJ260)/1000</f>
        <v>0</v>
      </c>
      <c r="AA260">
        <f>0.61365*exp(17.502*DK260/(240.97+DK260))</f>
        <v>0</v>
      </c>
      <c r="AB260">
        <f>(X260-DD260*(DI260+DJ260)/1000)</f>
        <v>0</v>
      </c>
      <c r="AC260">
        <f>(-J260*44100)</f>
        <v>0</v>
      </c>
      <c r="AD260">
        <f>2*29.3*R260*0.92*(DK260-W260)</f>
        <v>0</v>
      </c>
      <c r="AE260">
        <f>2*0.95*5.67E-8*(((DK260+$B$7)+273)^4-(W260+273)^4)</f>
        <v>0</v>
      </c>
      <c r="AF260">
        <f>U260+AE260+AC260+AD260</f>
        <v>0</v>
      </c>
      <c r="AG260">
        <f>DH260*AU260*(DC260-DB260*(1000-AU260*DE260)/(1000-AU260*DD260))/(100*CV260)</f>
        <v>0</v>
      </c>
      <c r="AH260">
        <f>1000*DH260*AU260*(DD260-DE260)/(100*CV260*(1000-AU260*DD260))</f>
        <v>0</v>
      </c>
      <c r="AI260">
        <f>(AJ260 - AK260 - DI260*1E3/(8.314*(DK260+273.15)) * AM260/DH260 * AL260) * DH260/(100*CV260) * (1000 - DE260)/1000</f>
        <v>0</v>
      </c>
      <c r="AJ260">
        <v>403.7653105491875</v>
      </c>
      <c r="AK260">
        <v>375.7389696969697</v>
      </c>
      <c r="AL260">
        <v>0.004090580354661996</v>
      </c>
      <c r="AM260">
        <v>66.38384787954378</v>
      </c>
      <c r="AN260">
        <f>(AP260 - AO260 + DI260*1E3/(8.314*(DK260+273.15)) * AR260/DH260 * AQ260) * DH260/(100*CV260) * 1000/(1000 - AP260)</f>
        <v>0</v>
      </c>
      <c r="AO260">
        <v>9.273580708431053</v>
      </c>
      <c r="AP260">
        <v>18.45335411764707</v>
      </c>
      <c r="AQ260">
        <v>0.005141991726325533</v>
      </c>
      <c r="AR260">
        <v>80.44866334591464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MAX(0,($B$13+$C$13*DP260)/(1+$D$13*DP260)*DI260/(DK260+273)*$E$13)</f>
        <v>0</v>
      </c>
      <c r="AX260" t="s">
        <v>415</v>
      </c>
      <c r="AY260">
        <v>10510</v>
      </c>
      <c r="AZ260">
        <v>590.42</v>
      </c>
      <c r="BA260">
        <v>2650.6</v>
      </c>
      <c r="BB260">
        <f>1-AZ260/BA260</f>
        <v>0</v>
      </c>
      <c r="BC260">
        <v>-1.816883183993991</v>
      </c>
      <c r="BD260" t="s">
        <v>919</v>
      </c>
      <c r="BE260">
        <v>10445.4</v>
      </c>
      <c r="BF260">
        <v>1045.902307692308</v>
      </c>
      <c r="BG260">
        <v>1428.38</v>
      </c>
      <c r="BH260">
        <f>1-BF260/BG260</f>
        <v>0</v>
      </c>
      <c r="BI260">
        <v>0.5</v>
      </c>
      <c r="BJ260">
        <f>CS260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417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1240</v>
      </c>
      <c r="CA260">
        <v>300</v>
      </c>
      <c r="CB260">
        <v>300</v>
      </c>
      <c r="CC260">
        <v>300</v>
      </c>
      <c r="CD260">
        <v>10445.4</v>
      </c>
      <c r="CE260">
        <v>1361.98</v>
      </c>
      <c r="CF260">
        <v>-0.0073551</v>
      </c>
      <c r="CG260">
        <v>-0.63</v>
      </c>
      <c r="CH260" t="s">
        <v>417</v>
      </c>
      <c r="CI260" t="s">
        <v>417</v>
      </c>
      <c r="CJ260" t="s">
        <v>417</v>
      </c>
      <c r="CK260" t="s">
        <v>417</v>
      </c>
      <c r="CL260" t="s">
        <v>417</v>
      </c>
      <c r="CM260" t="s">
        <v>417</v>
      </c>
      <c r="CN260" t="s">
        <v>417</v>
      </c>
      <c r="CO260" t="s">
        <v>417</v>
      </c>
      <c r="CP260" t="s">
        <v>417</v>
      </c>
      <c r="CQ260" t="s">
        <v>417</v>
      </c>
      <c r="CR260">
        <f>$B$11*DQ260+$C$11*DR260+$F$11*EC260*(1-EF260)</f>
        <v>0</v>
      </c>
      <c r="CS260">
        <f>CR260*CT260</f>
        <v>0</v>
      </c>
      <c r="CT260">
        <f>($B$11*$D$9+$C$11*$D$9+$F$11*((EP260+EH260)/MAX(EP260+EH260+EQ260, 0.1)*$I$9+EQ260/MAX(EP260+EH260+EQ260, 0.1)*$J$9))/($B$11+$C$11+$F$11)</f>
        <v>0</v>
      </c>
      <c r="CU260">
        <f>($B$11*$K$9+$C$11*$K$9+$F$11*((EP260+EH260)/MAX(EP260+EH260+EQ260, 0.1)*$P$9+EQ260/MAX(EP260+EH260+EQ260, 0.1)*$Q$9))/($B$11+$C$11+$F$11)</f>
        <v>0</v>
      </c>
      <c r="CV260">
        <v>6</v>
      </c>
      <c r="CW260">
        <v>0.5</v>
      </c>
      <c r="CX260" t="s">
        <v>418</v>
      </c>
      <c r="CY260">
        <v>2</v>
      </c>
      <c r="CZ260" t="b">
        <v>1</v>
      </c>
      <c r="DA260">
        <v>1651859481.75</v>
      </c>
      <c r="DB260">
        <v>368.7785</v>
      </c>
      <c r="DC260">
        <v>400.01075</v>
      </c>
      <c r="DD260">
        <v>18.357275</v>
      </c>
      <c r="DE260">
        <v>9.274292499999998</v>
      </c>
      <c r="DF260">
        <v>370.0055</v>
      </c>
      <c r="DG260">
        <v>18.447275</v>
      </c>
      <c r="DH260">
        <v>500.014</v>
      </c>
      <c r="DI260">
        <v>90.01349999999999</v>
      </c>
      <c r="DJ260">
        <v>0.0998979</v>
      </c>
      <c r="DK260">
        <v>25.788975</v>
      </c>
      <c r="DL260">
        <v>25.01035</v>
      </c>
      <c r="DM260">
        <v>999.9</v>
      </c>
      <c r="DN260">
        <v>0</v>
      </c>
      <c r="DO260">
        <v>0</v>
      </c>
      <c r="DP260">
        <v>10001.225</v>
      </c>
      <c r="DQ260">
        <v>0</v>
      </c>
      <c r="DR260">
        <v>3.20383</v>
      </c>
      <c r="DS260">
        <v>-31.2204</v>
      </c>
      <c r="DT260">
        <v>375.7245</v>
      </c>
      <c r="DU260">
        <v>403.7555</v>
      </c>
      <c r="DV260">
        <v>9.1798775</v>
      </c>
      <c r="DW260">
        <v>400.01075</v>
      </c>
      <c r="DX260">
        <v>9.274292499999998</v>
      </c>
      <c r="DY260">
        <v>1.6611225</v>
      </c>
      <c r="DZ260">
        <v>0.83481125</v>
      </c>
      <c r="EA260">
        <v>14.537825</v>
      </c>
      <c r="EB260">
        <v>4.3134275</v>
      </c>
      <c r="EC260">
        <v>1500.1325</v>
      </c>
      <c r="ED260">
        <v>0.9729935000000001</v>
      </c>
      <c r="EE260">
        <v>0.0270065</v>
      </c>
      <c r="EF260">
        <v>0</v>
      </c>
      <c r="EG260">
        <v>1046.035</v>
      </c>
      <c r="EH260">
        <v>5.00097</v>
      </c>
      <c r="EI260">
        <v>15479.55</v>
      </c>
      <c r="EJ260">
        <v>12492.65</v>
      </c>
      <c r="EK260">
        <v>36.812</v>
      </c>
      <c r="EL260">
        <v>38.25</v>
      </c>
      <c r="EM260">
        <v>37.187</v>
      </c>
      <c r="EN260">
        <v>38</v>
      </c>
      <c r="EO260">
        <v>37.75</v>
      </c>
      <c r="EP260">
        <v>1454.7525</v>
      </c>
      <c r="EQ260">
        <v>40.375</v>
      </c>
      <c r="ER260">
        <v>0</v>
      </c>
      <c r="ES260">
        <v>154.6000001430511</v>
      </c>
      <c r="ET260">
        <v>0</v>
      </c>
      <c r="EU260">
        <v>1045.902307692308</v>
      </c>
      <c r="EV260">
        <v>0.2947008501460113</v>
      </c>
      <c r="EW260">
        <v>9.080342047212305</v>
      </c>
      <c r="EX260">
        <v>15476.76153846154</v>
      </c>
      <c r="EY260">
        <v>15</v>
      </c>
      <c r="EZ260">
        <v>1651859523.5</v>
      </c>
      <c r="FA260" t="s">
        <v>920</v>
      </c>
      <c r="FB260">
        <v>1651859512</v>
      </c>
      <c r="FC260">
        <v>1651857041.1</v>
      </c>
      <c r="FD260">
        <v>2</v>
      </c>
      <c r="FE260">
        <v>0.044</v>
      </c>
      <c r="FF260">
        <v>-0.002</v>
      </c>
      <c r="FG260">
        <v>-1.227</v>
      </c>
      <c r="FH260">
        <v>-0.09</v>
      </c>
      <c r="FI260">
        <v>400</v>
      </c>
      <c r="FJ260">
        <v>10</v>
      </c>
      <c r="FK260">
        <v>0.04</v>
      </c>
      <c r="FL260">
        <v>0.02</v>
      </c>
      <c r="FM260">
        <v>-31.2454375</v>
      </c>
      <c r="FN260">
        <v>-0.2538045028142082</v>
      </c>
      <c r="FO260">
        <v>0.04671013106115224</v>
      </c>
      <c r="FP260">
        <v>-1</v>
      </c>
      <c r="FQ260">
        <v>9.20406375</v>
      </c>
      <c r="FR260">
        <v>-0.294288742964388</v>
      </c>
      <c r="FS260">
        <v>0.03292730475513458</v>
      </c>
      <c r="FT260">
        <v>-1</v>
      </c>
      <c r="FU260">
        <v>0</v>
      </c>
      <c r="FV260">
        <v>0</v>
      </c>
      <c r="FW260">
        <v>0</v>
      </c>
      <c r="FX260">
        <v>-1</v>
      </c>
      <c r="FY260">
        <v>0</v>
      </c>
      <c r="FZ260">
        <v>0</v>
      </c>
      <c r="GA260" t="s">
        <v>432</v>
      </c>
      <c r="GB260">
        <v>2.981</v>
      </c>
      <c r="GC260">
        <v>2.70618</v>
      </c>
      <c r="GD260">
        <v>0.084829</v>
      </c>
      <c r="GE260">
        <v>0.0891827</v>
      </c>
      <c r="GF260">
        <v>0.08819970000000001</v>
      </c>
      <c r="GG260">
        <v>0.0523183</v>
      </c>
      <c r="GH260">
        <v>28911.6</v>
      </c>
      <c r="GI260">
        <v>28834.5</v>
      </c>
      <c r="GJ260">
        <v>29372.2</v>
      </c>
      <c r="GK260">
        <v>29284.5</v>
      </c>
      <c r="GL260">
        <v>35463.7</v>
      </c>
      <c r="GM260">
        <v>36964.9</v>
      </c>
      <c r="GN260">
        <v>41345.3</v>
      </c>
      <c r="GO260">
        <v>41797</v>
      </c>
      <c r="GP260">
        <v>1.96285</v>
      </c>
      <c r="GQ260">
        <v>1.84255</v>
      </c>
      <c r="GR260">
        <v>-0.0145435</v>
      </c>
      <c r="GS260">
        <v>0</v>
      </c>
      <c r="GT260">
        <v>25.2501</v>
      </c>
      <c r="GU260">
        <v>999.9</v>
      </c>
      <c r="GV260">
        <v>36.2</v>
      </c>
      <c r="GW260">
        <v>34.3</v>
      </c>
      <c r="GX260">
        <v>21.8501</v>
      </c>
      <c r="GY260">
        <v>62.5578</v>
      </c>
      <c r="GZ260">
        <v>35.3806</v>
      </c>
      <c r="HA260">
        <v>1</v>
      </c>
      <c r="HB260">
        <v>0.0755488</v>
      </c>
      <c r="HC260">
        <v>1.78708</v>
      </c>
      <c r="HD260">
        <v>20.3259</v>
      </c>
      <c r="HE260">
        <v>5.22568</v>
      </c>
      <c r="HF260">
        <v>12.0099</v>
      </c>
      <c r="HG260">
        <v>4.99085</v>
      </c>
      <c r="HH260">
        <v>3.29</v>
      </c>
      <c r="HI260">
        <v>892.5</v>
      </c>
      <c r="HJ260">
        <v>8833.6</v>
      </c>
      <c r="HK260">
        <v>5139.4</v>
      </c>
      <c r="HL260">
        <v>23.4</v>
      </c>
      <c r="HM260">
        <v>1.8675</v>
      </c>
      <c r="HN260">
        <v>1.86646</v>
      </c>
      <c r="HO260">
        <v>1.866</v>
      </c>
      <c r="HP260">
        <v>1.86584</v>
      </c>
      <c r="HQ260">
        <v>1.86768</v>
      </c>
      <c r="HR260">
        <v>1.87023</v>
      </c>
      <c r="HS260">
        <v>1.8689</v>
      </c>
      <c r="HT260">
        <v>1.87027</v>
      </c>
      <c r="HU260">
        <v>0</v>
      </c>
      <c r="HV260">
        <v>0</v>
      </c>
      <c r="HW260">
        <v>0</v>
      </c>
      <c r="HX260">
        <v>0</v>
      </c>
      <c r="HY260" t="s">
        <v>421</v>
      </c>
      <c r="HZ260" t="s">
        <v>422</v>
      </c>
      <c r="IA260" t="s">
        <v>423</v>
      </c>
      <c r="IB260" t="s">
        <v>423</v>
      </c>
      <c r="IC260" t="s">
        <v>423</v>
      </c>
      <c r="ID260" t="s">
        <v>423</v>
      </c>
      <c r="IE260">
        <v>0</v>
      </c>
      <c r="IF260">
        <v>100</v>
      </c>
      <c r="IG260">
        <v>100</v>
      </c>
      <c r="IH260">
        <v>-1.227</v>
      </c>
      <c r="II260">
        <v>-0.09</v>
      </c>
      <c r="IJ260">
        <v>-0.4995723906072</v>
      </c>
      <c r="IK260">
        <v>-0.002077099775823331</v>
      </c>
      <c r="IL260">
        <v>4.593143279902166E-07</v>
      </c>
      <c r="IM260">
        <v>-1.865383991892071E-10</v>
      </c>
      <c r="IN260">
        <v>-0.07605349583632376</v>
      </c>
      <c r="IO260">
        <v>-0.01129461987421345</v>
      </c>
      <c r="IP260">
        <v>0.00116580895745559</v>
      </c>
      <c r="IQ260">
        <v>-1.679085872906199E-05</v>
      </c>
      <c r="IR260">
        <v>2</v>
      </c>
      <c r="IS260">
        <v>2290</v>
      </c>
      <c r="IT260">
        <v>0</v>
      </c>
      <c r="IU260">
        <v>32</v>
      </c>
      <c r="IV260">
        <v>41.1</v>
      </c>
      <c r="IW260">
        <v>40.7</v>
      </c>
      <c r="IX260">
        <v>0.997314</v>
      </c>
      <c r="IY260">
        <v>2.21924</v>
      </c>
      <c r="IZ260">
        <v>1.39648</v>
      </c>
      <c r="JA260">
        <v>2.3584</v>
      </c>
      <c r="JB260">
        <v>1.49536</v>
      </c>
      <c r="JC260">
        <v>2.33643</v>
      </c>
      <c r="JD260">
        <v>38.3056</v>
      </c>
      <c r="JE260">
        <v>24.0437</v>
      </c>
      <c r="JF260">
        <v>18</v>
      </c>
      <c r="JG260">
        <v>513.403</v>
      </c>
      <c r="JH260">
        <v>422.324</v>
      </c>
      <c r="JI260">
        <v>22.9746</v>
      </c>
      <c r="JJ260">
        <v>28.3042</v>
      </c>
      <c r="JK260">
        <v>29.9998</v>
      </c>
      <c r="JL260">
        <v>28.3418</v>
      </c>
      <c r="JM260">
        <v>28.2887</v>
      </c>
      <c r="JN260">
        <v>19.9712</v>
      </c>
      <c r="JO260">
        <v>52.9632</v>
      </c>
      <c r="JP260">
        <v>0</v>
      </c>
      <c r="JQ260">
        <v>22.9627</v>
      </c>
      <c r="JR260">
        <v>400</v>
      </c>
      <c r="JS260">
        <v>9.26552</v>
      </c>
      <c r="JT260">
        <v>100.404</v>
      </c>
      <c r="JU260">
        <v>100.317</v>
      </c>
    </row>
    <row r="261" spans="1:281">
      <c r="A261">
        <v>245</v>
      </c>
      <c r="B261">
        <v>1651859589.5</v>
      </c>
      <c r="C261">
        <v>2588.900000095367</v>
      </c>
      <c r="D261" t="s">
        <v>921</v>
      </c>
      <c r="E261" t="s">
        <v>922</v>
      </c>
      <c r="F261">
        <v>2</v>
      </c>
      <c r="G261" t="s">
        <v>915</v>
      </c>
      <c r="H261" t="s">
        <v>414</v>
      </c>
      <c r="I261">
        <v>1651859588</v>
      </c>
      <c r="J261">
        <f>(K261)/1000</f>
        <v>0</v>
      </c>
      <c r="K261">
        <f>IF(CZ261, AN261, AH261)</f>
        <v>0</v>
      </c>
      <c r="L261">
        <f>IF(CZ261, AI261, AG261)</f>
        <v>0</v>
      </c>
      <c r="M261">
        <f>DB261 - IF(AU261&gt;1, L261*CV261*100.0/(AW261*DP261), 0)</f>
        <v>0</v>
      </c>
      <c r="N261">
        <f>((T261-J261/2)*M261-L261)/(T261+J261/2)</f>
        <v>0</v>
      </c>
      <c r="O261">
        <f>N261*(DI261+DJ261)/1000.0</f>
        <v>0</v>
      </c>
      <c r="P261">
        <f>(DB261 - IF(AU261&gt;1, L261*CV261*100.0/(AW261*DP261), 0))*(DI261+DJ261)/1000.0</f>
        <v>0</v>
      </c>
      <c r="Q261">
        <f>2.0/((1/S261-1/R261)+SIGN(S261)*SQRT((1/S261-1/R261)*(1/S261-1/R261) + 4*CW261/((CW261+1)*(CW261+1))*(2*1/S261*1/R261-1/R261*1/R261)))</f>
        <v>0</v>
      </c>
      <c r="R261">
        <f>IF(LEFT(CX261,1)&lt;&gt;"0",IF(LEFT(CX261,1)="1",3.0,CY261),$D$5+$E$5*(DP261*DI261/($K$5*1000))+$F$5*(DP261*DI261/($K$5*1000))*MAX(MIN(CV261,$J$5),$I$5)*MAX(MIN(CV261,$J$5),$I$5)+$G$5*MAX(MIN(CV261,$J$5),$I$5)*(DP261*DI261/($K$5*1000))+$H$5*(DP261*DI261/($K$5*1000))*(DP261*DI261/($K$5*1000)))</f>
        <v>0</v>
      </c>
      <c r="S261">
        <f>J261*(1000-(1000*0.61365*exp(17.502*W261/(240.97+W261))/(DI261+DJ261)+DD261)/2)/(1000*0.61365*exp(17.502*W261/(240.97+W261))/(DI261+DJ261)-DD261)</f>
        <v>0</v>
      </c>
      <c r="T261">
        <f>1/((CW261+1)/(Q261/1.6)+1/(R261/1.37)) + CW261/((CW261+1)/(Q261/1.6) + CW261/(R261/1.37))</f>
        <v>0</v>
      </c>
      <c r="U261">
        <f>(CR261*CU261)</f>
        <v>0</v>
      </c>
      <c r="V261">
        <f>(DK261+(U261+2*0.95*5.67E-8*(((DK261+$B$7)+273)^4-(DK261+273)^4)-44100*J261)/(1.84*29.3*R261+8*0.95*5.67E-8*(DK261+273)^3))</f>
        <v>0</v>
      </c>
      <c r="W261">
        <f>($C$7*DL261+$D$7*DM261+$E$7*V261)</f>
        <v>0</v>
      </c>
      <c r="X261">
        <f>0.61365*exp(17.502*W261/(240.97+W261))</f>
        <v>0</v>
      </c>
      <c r="Y261">
        <f>(Z261/AA261*100)</f>
        <v>0</v>
      </c>
      <c r="Z261">
        <f>DD261*(DI261+DJ261)/1000</f>
        <v>0</v>
      </c>
      <c r="AA261">
        <f>0.61365*exp(17.502*DK261/(240.97+DK261))</f>
        <v>0</v>
      </c>
      <c r="AB261">
        <f>(X261-DD261*(DI261+DJ261)/1000)</f>
        <v>0</v>
      </c>
      <c r="AC261">
        <f>(-J261*44100)</f>
        <v>0</v>
      </c>
      <c r="AD261">
        <f>2*29.3*R261*0.92*(DK261-W261)</f>
        <v>0</v>
      </c>
      <c r="AE261">
        <f>2*0.95*5.67E-8*(((DK261+$B$7)+273)^4-(W261+273)^4)</f>
        <v>0</v>
      </c>
      <c r="AF261">
        <f>U261+AE261+AC261+AD261</f>
        <v>0</v>
      </c>
      <c r="AG261">
        <f>DH261*AU261*(DC261-DB261*(1000-AU261*DE261)/(1000-AU261*DD261))/(100*CV261)</f>
        <v>0</v>
      </c>
      <c r="AH261">
        <f>1000*DH261*AU261*(DD261-DE261)/(100*CV261*(1000-AU261*DD261))</f>
        <v>0</v>
      </c>
      <c r="AI261">
        <f>(AJ261 - AK261 - DI261*1E3/(8.314*(DK261+273.15)) * AM261/DH261 * AL261) * DH261/(100*CV261) * (1000 - DE261)/1000</f>
        <v>0</v>
      </c>
      <c r="AJ261">
        <v>302.9408568649204</v>
      </c>
      <c r="AK261">
        <v>281.4516484848485</v>
      </c>
      <c r="AL261">
        <v>-6.646552807750822E-05</v>
      </c>
      <c r="AM261">
        <v>66.384697367245</v>
      </c>
      <c r="AN261">
        <f>(AP261 - AO261 + DI261*1E3/(8.314*(DK261+273.15)) * AR261/DH261 * AQ261) * DH261/(100*CV261) * 1000/(1000 - AP261)</f>
        <v>0</v>
      </c>
      <c r="AO261">
        <v>9.58309318964093</v>
      </c>
      <c r="AP261">
        <v>18.47755294117647</v>
      </c>
      <c r="AQ261">
        <v>-0.0001865537903563008</v>
      </c>
      <c r="AR261">
        <v>80.4400498365742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MAX(0,($B$13+$C$13*DP261)/(1+$D$13*DP261)*DI261/(DK261+273)*$E$13)</f>
        <v>0</v>
      </c>
      <c r="AX261" t="s">
        <v>415</v>
      </c>
      <c r="AY261">
        <v>10510</v>
      </c>
      <c r="AZ261">
        <v>590.42</v>
      </c>
      <c r="BA261">
        <v>2650.6</v>
      </c>
      <c r="BB261">
        <f>1-AZ261/BA261</f>
        <v>0</v>
      </c>
      <c r="BC261">
        <v>-1.816883183993991</v>
      </c>
      <c r="BD261" t="s">
        <v>923</v>
      </c>
      <c r="BE261">
        <v>10444.4</v>
      </c>
      <c r="BF261">
        <v>976.3016153846153</v>
      </c>
      <c r="BG261">
        <v>1304.79</v>
      </c>
      <c r="BH261">
        <f>1-BF261/BG261</f>
        <v>0</v>
      </c>
      <c r="BI261">
        <v>0.5</v>
      </c>
      <c r="BJ261">
        <f>CS261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417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1241</v>
      </c>
      <c r="CA261">
        <v>300</v>
      </c>
      <c r="CB261">
        <v>300</v>
      </c>
      <c r="CC261">
        <v>300</v>
      </c>
      <c r="CD261">
        <v>10444.4</v>
      </c>
      <c r="CE261">
        <v>1246.06</v>
      </c>
      <c r="CF261">
        <v>-0.00735434</v>
      </c>
      <c r="CG261">
        <v>-1.28</v>
      </c>
      <c r="CH261" t="s">
        <v>417</v>
      </c>
      <c r="CI261" t="s">
        <v>417</v>
      </c>
      <c r="CJ261" t="s">
        <v>417</v>
      </c>
      <c r="CK261" t="s">
        <v>417</v>
      </c>
      <c r="CL261" t="s">
        <v>417</v>
      </c>
      <c r="CM261" t="s">
        <v>417</v>
      </c>
      <c r="CN261" t="s">
        <v>417</v>
      </c>
      <c r="CO261" t="s">
        <v>417</v>
      </c>
      <c r="CP261" t="s">
        <v>417</v>
      </c>
      <c r="CQ261" t="s">
        <v>417</v>
      </c>
      <c r="CR261">
        <f>$B$11*DQ261+$C$11*DR261+$F$11*EC261*(1-EF261)</f>
        <v>0</v>
      </c>
      <c r="CS261">
        <f>CR261*CT261</f>
        <v>0</v>
      </c>
      <c r="CT261">
        <f>($B$11*$D$9+$C$11*$D$9+$F$11*((EP261+EH261)/MAX(EP261+EH261+EQ261, 0.1)*$I$9+EQ261/MAX(EP261+EH261+EQ261, 0.1)*$J$9))/($B$11+$C$11+$F$11)</f>
        <v>0</v>
      </c>
      <c r="CU261">
        <f>($B$11*$K$9+$C$11*$K$9+$F$11*((EP261+EH261)/MAX(EP261+EH261+EQ261, 0.1)*$P$9+EQ261/MAX(EP261+EH261+EQ261, 0.1)*$Q$9))/($B$11+$C$11+$F$11)</f>
        <v>0</v>
      </c>
      <c r="CV261">
        <v>6</v>
      </c>
      <c r="CW261">
        <v>0.5</v>
      </c>
      <c r="CX261" t="s">
        <v>418</v>
      </c>
      <c r="CY261">
        <v>2</v>
      </c>
      <c r="CZ261" t="b">
        <v>1</v>
      </c>
      <c r="DA261">
        <v>1651859588</v>
      </c>
      <c r="DB261">
        <v>276.2554</v>
      </c>
      <c r="DC261">
        <v>300.042</v>
      </c>
      <c r="DD261">
        <v>18.39414</v>
      </c>
      <c r="DE261">
        <v>9.581976000000001</v>
      </c>
      <c r="DF261">
        <v>277.2556</v>
      </c>
      <c r="DG261">
        <v>18.47214</v>
      </c>
      <c r="DH261">
        <v>500.0484</v>
      </c>
      <c r="DI261">
        <v>90.00880000000001</v>
      </c>
      <c r="DJ261">
        <v>0.09996649999999999</v>
      </c>
      <c r="DK261">
        <v>25.76062</v>
      </c>
      <c r="DL261">
        <v>24.99642</v>
      </c>
      <c r="DM261">
        <v>999.9</v>
      </c>
      <c r="DN261">
        <v>0</v>
      </c>
      <c r="DO261">
        <v>0</v>
      </c>
      <c r="DP261">
        <v>10005</v>
      </c>
      <c r="DQ261">
        <v>0</v>
      </c>
      <c r="DR261">
        <v>3.20383</v>
      </c>
      <c r="DS261">
        <v>-23.78672</v>
      </c>
      <c r="DT261">
        <v>281.4566</v>
      </c>
      <c r="DU261">
        <v>302.945</v>
      </c>
      <c r="DV261">
        <v>8.89742</v>
      </c>
      <c r="DW261">
        <v>300.042</v>
      </c>
      <c r="DX261">
        <v>9.581976000000001</v>
      </c>
      <c r="DY261">
        <v>1.663306</v>
      </c>
      <c r="DZ261">
        <v>0.8624624000000001</v>
      </c>
      <c r="EA261">
        <v>14.55816</v>
      </c>
      <c r="EB261">
        <v>4.779154</v>
      </c>
      <c r="EC261">
        <v>1500.048</v>
      </c>
      <c r="ED261">
        <v>0.972996</v>
      </c>
      <c r="EE261">
        <v>0.0270038</v>
      </c>
      <c r="EF261">
        <v>0</v>
      </c>
      <c r="EG261">
        <v>975.9232</v>
      </c>
      <c r="EH261">
        <v>5.00097</v>
      </c>
      <c r="EI261">
        <v>14441.52</v>
      </c>
      <c r="EJ261">
        <v>12491.98</v>
      </c>
      <c r="EK261">
        <v>36.7748</v>
      </c>
      <c r="EL261">
        <v>38.187</v>
      </c>
      <c r="EM261">
        <v>37.125</v>
      </c>
      <c r="EN261">
        <v>37.937</v>
      </c>
      <c r="EO261">
        <v>37.75</v>
      </c>
      <c r="EP261">
        <v>1454.678</v>
      </c>
      <c r="EQ261">
        <v>40.37</v>
      </c>
      <c r="ER261">
        <v>0</v>
      </c>
      <c r="ES261">
        <v>106.2000000476837</v>
      </c>
      <c r="ET261">
        <v>0</v>
      </c>
      <c r="EU261">
        <v>976.3016153846153</v>
      </c>
      <c r="EV261">
        <v>-5.947008556149901</v>
      </c>
      <c r="EW261">
        <v>-93.05299145829356</v>
      </c>
      <c r="EX261">
        <v>14449.1</v>
      </c>
      <c r="EY261">
        <v>15</v>
      </c>
      <c r="EZ261">
        <v>1651859627</v>
      </c>
      <c r="FA261" t="s">
        <v>924</v>
      </c>
      <c r="FB261">
        <v>1651859512</v>
      </c>
      <c r="FC261">
        <v>1651859627</v>
      </c>
      <c r="FD261">
        <v>3</v>
      </c>
      <c r="FE261">
        <v>0.044</v>
      </c>
      <c r="FF261">
        <v>0.014</v>
      </c>
      <c r="FG261">
        <v>-1.227</v>
      </c>
      <c r="FH261">
        <v>-0.078</v>
      </c>
      <c r="FI261">
        <v>400</v>
      </c>
      <c r="FJ261">
        <v>10</v>
      </c>
      <c r="FK261">
        <v>0.04</v>
      </c>
      <c r="FL261">
        <v>0.01</v>
      </c>
      <c r="FM261">
        <v>-23.7031025</v>
      </c>
      <c r="FN261">
        <v>-0.5800378986866368</v>
      </c>
      <c r="FO261">
        <v>0.05921733482477931</v>
      </c>
      <c r="FP261">
        <v>-1</v>
      </c>
      <c r="FQ261">
        <v>8.913701999999999</v>
      </c>
      <c r="FR261">
        <v>-0.1020470544090357</v>
      </c>
      <c r="FS261">
        <v>0.009983725557125518</v>
      </c>
      <c r="FT261">
        <v>-1</v>
      </c>
      <c r="FU261">
        <v>0</v>
      </c>
      <c r="FV261">
        <v>0</v>
      </c>
      <c r="FW261">
        <v>0</v>
      </c>
      <c r="FX261">
        <v>-1</v>
      </c>
      <c r="FY261">
        <v>0</v>
      </c>
      <c r="FZ261">
        <v>0</v>
      </c>
      <c r="GA261" t="s">
        <v>432</v>
      </c>
      <c r="GB261">
        <v>2.981</v>
      </c>
      <c r="GC261">
        <v>2.70614</v>
      </c>
      <c r="GD261">
        <v>0.06716709999999999</v>
      </c>
      <c r="GE261">
        <v>0.0709919</v>
      </c>
      <c r="GF261">
        <v>0.0882927</v>
      </c>
      <c r="GG261">
        <v>0.0536455</v>
      </c>
      <c r="GH261">
        <v>29475</v>
      </c>
      <c r="GI261">
        <v>29416.2</v>
      </c>
      <c r="GJ261">
        <v>29377.2</v>
      </c>
      <c r="GK261">
        <v>29290</v>
      </c>
      <c r="GL261">
        <v>35465.4</v>
      </c>
      <c r="GM261">
        <v>36919.7</v>
      </c>
      <c r="GN261">
        <v>41352</v>
      </c>
      <c r="GO261">
        <v>41804.8</v>
      </c>
      <c r="GP261">
        <v>1.9631</v>
      </c>
      <c r="GQ261">
        <v>1.844</v>
      </c>
      <c r="GR261">
        <v>-0.0122674</v>
      </c>
      <c r="GS261">
        <v>0</v>
      </c>
      <c r="GT261">
        <v>25.2008</v>
      </c>
      <c r="GU261">
        <v>999.9</v>
      </c>
      <c r="GV261">
        <v>36</v>
      </c>
      <c r="GW261">
        <v>34.3</v>
      </c>
      <c r="GX261">
        <v>21.7317</v>
      </c>
      <c r="GY261">
        <v>62.5479</v>
      </c>
      <c r="GZ261">
        <v>35.3405</v>
      </c>
      <c r="HA261">
        <v>1</v>
      </c>
      <c r="HB261">
        <v>0.0690091</v>
      </c>
      <c r="HC261">
        <v>1.71091</v>
      </c>
      <c r="HD261">
        <v>20.3265</v>
      </c>
      <c r="HE261">
        <v>5.22343</v>
      </c>
      <c r="HF261">
        <v>12.0099</v>
      </c>
      <c r="HG261">
        <v>4.99075</v>
      </c>
      <c r="HH261">
        <v>3.29</v>
      </c>
      <c r="HI261">
        <v>894.5</v>
      </c>
      <c r="HJ261">
        <v>8851</v>
      </c>
      <c r="HK261">
        <v>5139.4</v>
      </c>
      <c r="HL261">
        <v>23.5</v>
      </c>
      <c r="HM261">
        <v>1.86752</v>
      </c>
      <c r="HN261">
        <v>1.86646</v>
      </c>
      <c r="HO261">
        <v>1.866</v>
      </c>
      <c r="HP261">
        <v>1.86586</v>
      </c>
      <c r="HQ261">
        <v>1.86768</v>
      </c>
      <c r="HR261">
        <v>1.87023</v>
      </c>
      <c r="HS261">
        <v>1.8689</v>
      </c>
      <c r="HT261">
        <v>1.87027</v>
      </c>
      <c r="HU261">
        <v>0</v>
      </c>
      <c r="HV261">
        <v>0</v>
      </c>
      <c r="HW261">
        <v>0</v>
      </c>
      <c r="HX261">
        <v>0</v>
      </c>
      <c r="HY261" t="s">
        <v>421</v>
      </c>
      <c r="HZ261" t="s">
        <v>422</v>
      </c>
      <c r="IA261" t="s">
        <v>423</v>
      </c>
      <c r="IB261" t="s">
        <v>423</v>
      </c>
      <c r="IC261" t="s">
        <v>423</v>
      </c>
      <c r="ID261" t="s">
        <v>423</v>
      </c>
      <c r="IE261">
        <v>0</v>
      </c>
      <c r="IF261">
        <v>100</v>
      </c>
      <c r="IG261">
        <v>100</v>
      </c>
      <c r="IH261">
        <v>-1</v>
      </c>
      <c r="II261">
        <v>-0.078</v>
      </c>
      <c r="IJ261">
        <v>-0.4555285053058977</v>
      </c>
      <c r="IK261">
        <v>-0.002077099775823331</v>
      </c>
      <c r="IL261">
        <v>4.593143279902166E-07</v>
      </c>
      <c r="IM261">
        <v>-1.865383991892071E-10</v>
      </c>
      <c r="IN261">
        <v>-0.07605349583632376</v>
      </c>
      <c r="IO261">
        <v>-0.01129461987421345</v>
      </c>
      <c r="IP261">
        <v>0.00116580895745559</v>
      </c>
      <c r="IQ261">
        <v>-1.679085872906199E-05</v>
      </c>
      <c r="IR261">
        <v>2</v>
      </c>
      <c r="IS261">
        <v>2290</v>
      </c>
      <c r="IT261">
        <v>0</v>
      </c>
      <c r="IU261">
        <v>32</v>
      </c>
      <c r="IV261">
        <v>1.3</v>
      </c>
      <c r="IW261">
        <v>42.5</v>
      </c>
      <c r="IX261">
        <v>0.794678</v>
      </c>
      <c r="IY261">
        <v>2.23389</v>
      </c>
      <c r="IZ261">
        <v>1.39648</v>
      </c>
      <c r="JA261">
        <v>2.3584</v>
      </c>
      <c r="JB261">
        <v>1.49536</v>
      </c>
      <c r="JC261">
        <v>2.34375</v>
      </c>
      <c r="JD261">
        <v>38.3056</v>
      </c>
      <c r="JE261">
        <v>24.0437</v>
      </c>
      <c r="JF261">
        <v>18</v>
      </c>
      <c r="JG261">
        <v>512.982</v>
      </c>
      <c r="JH261">
        <v>422.67</v>
      </c>
      <c r="JI261">
        <v>22.9313</v>
      </c>
      <c r="JJ261">
        <v>28.236</v>
      </c>
      <c r="JK261">
        <v>29.9999</v>
      </c>
      <c r="JL261">
        <v>28.2735</v>
      </c>
      <c r="JM261">
        <v>28.2176</v>
      </c>
      <c r="JN261">
        <v>15.9248</v>
      </c>
      <c r="JO261">
        <v>51.7716</v>
      </c>
      <c r="JP261">
        <v>0</v>
      </c>
      <c r="JQ261">
        <v>22.9308</v>
      </c>
      <c r="JR261">
        <v>300</v>
      </c>
      <c r="JS261">
        <v>9.63054</v>
      </c>
      <c r="JT261">
        <v>100.421</v>
      </c>
      <c r="JU261">
        <v>100.336</v>
      </c>
    </row>
    <row r="262" spans="1:281">
      <c r="A262">
        <v>246</v>
      </c>
      <c r="B262">
        <v>1651859693</v>
      </c>
      <c r="C262">
        <v>2692.400000095367</v>
      </c>
      <c r="D262" t="s">
        <v>925</v>
      </c>
      <c r="E262" t="s">
        <v>926</v>
      </c>
      <c r="F262">
        <v>2</v>
      </c>
      <c r="G262" t="s">
        <v>915</v>
      </c>
      <c r="H262" t="s">
        <v>414</v>
      </c>
      <c r="I262">
        <v>1651859691.5</v>
      </c>
      <c r="J262">
        <f>(K262)/1000</f>
        <v>0</v>
      </c>
      <c r="K262">
        <f>IF(CZ262, AN262, AH262)</f>
        <v>0</v>
      </c>
      <c r="L262">
        <f>IF(CZ262, AI262, AG262)</f>
        <v>0</v>
      </c>
      <c r="M262">
        <f>DB262 - IF(AU262&gt;1, L262*CV262*100.0/(AW262*DP262), 0)</f>
        <v>0</v>
      </c>
      <c r="N262">
        <f>((T262-J262/2)*M262-L262)/(T262+J262/2)</f>
        <v>0</v>
      </c>
      <c r="O262">
        <f>N262*(DI262+DJ262)/1000.0</f>
        <v>0</v>
      </c>
      <c r="P262">
        <f>(DB262 - IF(AU262&gt;1, L262*CV262*100.0/(AW262*DP262), 0))*(DI262+DJ262)/1000.0</f>
        <v>0</v>
      </c>
      <c r="Q262">
        <f>2.0/((1/S262-1/R262)+SIGN(S262)*SQRT((1/S262-1/R262)*(1/S262-1/R262) + 4*CW262/((CW262+1)*(CW262+1))*(2*1/S262*1/R262-1/R262*1/R262)))</f>
        <v>0</v>
      </c>
      <c r="R262">
        <f>IF(LEFT(CX262,1)&lt;&gt;"0",IF(LEFT(CX262,1)="1",3.0,CY262),$D$5+$E$5*(DP262*DI262/($K$5*1000))+$F$5*(DP262*DI262/($K$5*1000))*MAX(MIN(CV262,$J$5),$I$5)*MAX(MIN(CV262,$J$5),$I$5)+$G$5*MAX(MIN(CV262,$J$5),$I$5)*(DP262*DI262/($K$5*1000))+$H$5*(DP262*DI262/($K$5*1000))*(DP262*DI262/($K$5*1000)))</f>
        <v>0</v>
      </c>
      <c r="S262">
        <f>J262*(1000-(1000*0.61365*exp(17.502*W262/(240.97+W262))/(DI262+DJ262)+DD262)/2)/(1000*0.61365*exp(17.502*W262/(240.97+W262))/(DI262+DJ262)-DD262)</f>
        <v>0</v>
      </c>
      <c r="T262">
        <f>1/((CW262+1)/(Q262/1.6)+1/(R262/1.37)) + CW262/((CW262+1)/(Q262/1.6) + CW262/(R262/1.37))</f>
        <v>0</v>
      </c>
      <c r="U262">
        <f>(CR262*CU262)</f>
        <v>0</v>
      </c>
      <c r="V262">
        <f>(DK262+(U262+2*0.95*5.67E-8*(((DK262+$B$7)+273)^4-(DK262+273)^4)-44100*J262)/(1.84*29.3*R262+8*0.95*5.67E-8*(DK262+273)^3))</f>
        <v>0</v>
      </c>
      <c r="W262">
        <f>($C$7*DL262+$D$7*DM262+$E$7*V262)</f>
        <v>0</v>
      </c>
      <c r="X262">
        <f>0.61365*exp(17.502*W262/(240.97+W262))</f>
        <v>0</v>
      </c>
      <c r="Y262">
        <f>(Z262/AA262*100)</f>
        <v>0</v>
      </c>
      <c r="Z262">
        <f>DD262*(DI262+DJ262)/1000</f>
        <v>0</v>
      </c>
      <c r="AA262">
        <f>0.61365*exp(17.502*DK262/(240.97+DK262))</f>
        <v>0</v>
      </c>
      <c r="AB262">
        <f>(X262-DD262*(DI262+DJ262)/1000)</f>
        <v>0</v>
      </c>
      <c r="AC262">
        <f>(-J262*44100)</f>
        <v>0</v>
      </c>
      <c r="AD262">
        <f>2*29.3*R262*0.92*(DK262-W262)</f>
        <v>0</v>
      </c>
      <c r="AE262">
        <f>2*0.95*5.67E-8*(((DK262+$B$7)+273)^4-(W262+273)^4)</f>
        <v>0</v>
      </c>
      <c r="AF262">
        <f>U262+AE262+AC262+AD262</f>
        <v>0</v>
      </c>
      <c r="AG262">
        <f>DH262*AU262*(DC262-DB262*(1000-AU262*DE262)/(1000-AU262*DD262))/(100*CV262)</f>
        <v>0</v>
      </c>
      <c r="AH262">
        <f>1000*DH262*AU262*(DD262-DE262)/(100*CV262*(1000-AU262*DD262))</f>
        <v>0</v>
      </c>
      <c r="AI262">
        <f>(AJ262 - AK262 - DI262*1E3/(8.314*(DK262+273.15)) * AM262/DH262 * AL262) * DH262/(100*CV262) * (1000 - DE262)/1000</f>
        <v>0</v>
      </c>
      <c r="AJ262">
        <v>201.9336313978531</v>
      </c>
      <c r="AK262">
        <v>188.5071636363637</v>
      </c>
      <c r="AL262">
        <v>0.001490482218325862</v>
      </c>
      <c r="AM262">
        <v>66.38463811552596</v>
      </c>
      <c r="AN262">
        <f>(AP262 - AO262 + DI262*1E3/(8.314*(DK262+273.15)) * AR262/DH262 * AQ262) * DH262/(100*CV262) * 1000/(1000 - AP262)</f>
        <v>0</v>
      </c>
      <c r="AO262">
        <v>9.724002499294947</v>
      </c>
      <c r="AP262">
        <v>18.51365029411764</v>
      </c>
      <c r="AQ262">
        <v>-3.451794989067743E-06</v>
      </c>
      <c r="AR262">
        <v>80.44061424259318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MAX(0,($B$13+$C$13*DP262)/(1+$D$13*DP262)*DI262/(DK262+273)*$E$13)</f>
        <v>0</v>
      </c>
      <c r="AX262" t="s">
        <v>415</v>
      </c>
      <c r="AY262">
        <v>10510</v>
      </c>
      <c r="AZ262">
        <v>590.42</v>
      </c>
      <c r="BA262">
        <v>2650.6</v>
      </c>
      <c r="BB262">
        <f>1-AZ262/BA262</f>
        <v>0</v>
      </c>
      <c r="BC262">
        <v>-1.816883183993991</v>
      </c>
      <c r="BD262" t="s">
        <v>927</v>
      </c>
      <c r="BE262">
        <v>10443.1</v>
      </c>
      <c r="BF262">
        <v>889.4065384615385</v>
      </c>
      <c r="BG262">
        <v>1141.77</v>
      </c>
      <c r="BH262">
        <f>1-BF262/BG262</f>
        <v>0</v>
      </c>
      <c r="BI262">
        <v>0.5</v>
      </c>
      <c r="BJ262">
        <f>CS262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417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1242</v>
      </c>
      <c r="CA262">
        <v>300</v>
      </c>
      <c r="CB262">
        <v>300</v>
      </c>
      <c r="CC262">
        <v>300</v>
      </c>
      <c r="CD262">
        <v>10443.1</v>
      </c>
      <c r="CE262">
        <v>1093.35</v>
      </c>
      <c r="CF262">
        <v>-0.00735292</v>
      </c>
      <c r="CG262">
        <v>-0.25</v>
      </c>
      <c r="CH262" t="s">
        <v>417</v>
      </c>
      <c r="CI262" t="s">
        <v>417</v>
      </c>
      <c r="CJ262" t="s">
        <v>417</v>
      </c>
      <c r="CK262" t="s">
        <v>417</v>
      </c>
      <c r="CL262" t="s">
        <v>417</v>
      </c>
      <c r="CM262" t="s">
        <v>417</v>
      </c>
      <c r="CN262" t="s">
        <v>417</v>
      </c>
      <c r="CO262" t="s">
        <v>417</v>
      </c>
      <c r="CP262" t="s">
        <v>417</v>
      </c>
      <c r="CQ262" t="s">
        <v>417</v>
      </c>
      <c r="CR262">
        <f>$B$11*DQ262+$C$11*DR262+$F$11*EC262*(1-EF262)</f>
        <v>0</v>
      </c>
      <c r="CS262">
        <f>CR262*CT262</f>
        <v>0</v>
      </c>
      <c r="CT262">
        <f>($B$11*$D$9+$C$11*$D$9+$F$11*((EP262+EH262)/MAX(EP262+EH262+EQ262, 0.1)*$I$9+EQ262/MAX(EP262+EH262+EQ262, 0.1)*$J$9))/($B$11+$C$11+$F$11)</f>
        <v>0</v>
      </c>
      <c r="CU262">
        <f>($B$11*$K$9+$C$11*$K$9+$F$11*((EP262+EH262)/MAX(EP262+EH262+EQ262, 0.1)*$P$9+EQ262/MAX(EP262+EH262+EQ262, 0.1)*$Q$9))/($B$11+$C$11+$F$11)</f>
        <v>0</v>
      </c>
      <c r="CV262">
        <v>6</v>
      </c>
      <c r="CW262">
        <v>0.5</v>
      </c>
      <c r="CX262" t="s">
        <v>418</v>
      </c>
      <c r="CY262">
        <v>2</v>
      </c>
      <c r="CZ262" t="b">
        <v>1</v>
      </c>
      <c r="DA262">
        <v>1651859691.5</v>
      </c>
      <c r="DB262">
        <v>185.0054</v>
      </c>
      <c r="DC262">
        <v>200.0112</v>
      </c>
      <c r="DD262">
        <v>18.51442</v>
      </c>
      <c r="DE262">
        <v>9.721160000000001</v>
      </c>
      <c r="DF262">
        <v>185.8324</v>
      </c>
      <c r="DG262">
        <v>18.49332</v>
      </c>
      <c r="DH262">
        <v>500.05</v>
      </c>
      <c r="DI262">
        <v>90.01300000000001</v>
      </c>
      <c r="DJ262">
        <v>0.09997916</v>
      </c>
      <c r="DK262">
        <v>25.74898</v>
      </c>
      <c r="DL262">
        <v>24.98782</v>
      </c>
      <c r="DM262">
        <v>999.9</v>
      </c>
      <c r="DN262">
        <v>0</v>
      </c>
      <c r="DO262">
        <v>0</v>
      </c>
      <c r="DP262">
        <v>10010.73</v>
      </c>
      <c r="DQ262">
        <v>0</v>
      </c>
      <c r="DR262">
        <v>3.20383</v>
      </c>
      <c r="DS262">
        <v>-15.00576</v>
      </c>
      <c r="DT262">
        <v>188.4954</v>
      </c>
      <c r="DU262">
        <v>201.9748</v>
      </c>
      <c r="DV262">
        <v>8.793265999999999</v>
      </c>
      <c r="DW262">
        <v>200.0112</v>
      </c>
      <c r="DX262">
        <v>9.721160000000001</v>
      </c>
      <c r="DY262">
        <v>1.66654</v>
      </c>
      <c r="DZ262">
        <v>0.8750304</v>
      </c>
      <c r="EA262">
        <v>14.58822</v>
      </c>
      <c r="EB262">
        <v>4.986502</v>
      </c>
      <c r="EC262">
        <v>1500.028</v>
      </c>
      <c r="ED262">
        <v>0.9729972</v>
      </c>
      <c r="EE262">
        <v>0.02700274</v>
      </c>
      <c r="EF262">
        <v>0</v>
      </c>
      <c r="EG262">
        <v>887.3134</v>
      </c>
      <c r="EH262">
        <v>5.00097</v>
      </c>
      <c r="EI262">
        <v>13142.46</v>
      </c>
      <c r="EJ262">
        <v>12491.84</v>
      </c>
      <c r="EK262">
        <v>36.75</v>
      </c>
      <c r="EL262">
        <v>38.187</v>
      </c>
      <c r="EM262">
        <v>37.125</v>
      </c>
      <c r="EN262">
        <v>37.937</v>
      </c>
      <c r="EO262">
        <v>37.687</v>
      </c>
      <c r="EP262">
        <v>1454.656</v>
      </c>
      <c r="EQ262">
        <v>40.372</v>
      </c>
      <c r="ER262">
        <v>0</v>
      </c>
      <c r="ES262">
        <v>102.8000001907349</v>
      </c>
      <c r="ET262">
        <v>0</v>
      </c>
      <c r="EU262">
        <v>889.4065384615385</v>
      </c>
      <c r="EV262">
        <v>-21.06988033323636</v>
      </c>
      <c r="EW262">
        <v>-302.9128204644591</v>
      </c>
      <c r="EX262">
        <v>13174.05384615385</v>
      </c>
      <c r="EY262">
        <v>15</v>
      </c>
      <c r="EZ262">
        <v>1651859627</v>
      </c>
      <c r="FA262" t="s">
        <v>924</v>
      </c>
      <c r="FB262">
        <v>1651859512</v>
      </c>
      <c r="FC262">
        <v>1651859627</v>
      </c>
      <c r="FD262">
        <v>3</v>
      </c>
      <c r="FE262">
        <v>0.044</v>
      </c>
      <c r="FF262">
        <v>0.014</v>
      </c>
      <c r="FG262">
        <v>-1.227</v>
      </c>
      <c r="FH262">
        <v>-0.078</v>
      </c>
      <c r="FI262">
        <v>400</v>
      </c>
      <c r="FJ262">
        <v>10</v>
      </c>
      <c r="FK262">
        <v>0.04</v>
      </c>
      <c r="FL262">
        <v>0.01</v>
      </c>
      <c r="FM262">
        <v>-14.94065609756098</v>
      </c>
      <c r="FN262">
        <v>-0.4018850174216012</v>
      </c>
      <c r="FO262">
        <v>0.06901974990865958</v>
      </c>
      <c r="FP262">
        <v>-1</v>
      </c>
      <c r="FQ262">
        <v>8.800895853658538</v>
      </c>
      <c r="FR262">
        <v>-0.093323414634132</v>
      </c>
      <c r="FS262">
        <v>0.0105250187360032</v>
      </c>
      <c r="FT262">
        <v>-1</v>
      </c>
      <c r="FU262">
        <v>0</v>
      </c>
      <c r="FV262">
        <v>0</v>
      </c>
      <c r="FW262">
        <v>0</v>
      </c>
      <c r="FX262">
        <v>-1</v>
      </c>
      <c r="FY262">
        <v>0</v>
      </c>
      <c r="FZ262">
        <v>0</v>
      </c>
      <c r="GA262" t="s">
        <v>432</v>
      </c>
      <c r="GB262">
        <v>2.98104</v>
      </c>
      <c r="GC262">
        <v>2.70617</v>
      </c>
      <c r="GD262">
        <v>0.0474197</v>
      </c>
      <c r="GE262">
        <v>0.0501719</v>
      </c>
      <c r="GF262">
        <v>0.0883796</v>
      </c>
      <c r="GG262">
        <v>0.0542509</v>
      </c>
      <c r="GH262">
        <v>30100.5</v>
      </c>
      <c r="GI262">
        <v>30077.4</v>
      </c>
      <c r="GJ262">
        <v>29378.4</v>
      </c>
      <c r="GK262">
        <v>29291.7</v>
      </c>
      <c r="GL262">
        <v>35462.2</v>
      </c>
      <c r="GM262">
        <v>36897.7</v>
      </c>
      <c r="GN262">
        <v>41352.8</v>
      </c>
      <c r="GO262">
        <v>41807.1</v>
      </c>
      <c r="GP262">
        <v>1.96388</v>
      </c>
      <c r="GQ262">
        <v>1.84473</v>
      </c>
      <c r="GR262">
        <v>-0.0110641</v>
      </c>
      <c r="GS262">
        <v>0</v>
      </c>
      <c r="GT262">
        <v>25.1698</v>
      </c>
      <c r="GU262">
        <v>999.9</v>
      </c>
      <c r="GV262">
        <v>35.9</v>
      </c>
      <c r="GW262">
        <v>34.3</v>
      </c>
      <c r="GX262">
        <v>21.6681</v>
      </c>
      <c r="GY262">
        <v>62.4079</v>
      </c>
      <c r="GZ262">
        <v>35.7292</v>
      </c>
      <c r="HA262">
        <v>1</v>
      </c>
      <c r="HB262">
        <v>0.0652388</v>
      </c>
      <c r="HC262">
        <v>1.67397</v>
      </c>
      <c r="HD262">
        <v>20.3269</v>
      </c>
      <c r="HE262">
        <v>5.22672</v>
      </c>
      <c r="HF262">
        <v>12.0099</v>
      </c>
      <c r="HG262">
        <v>4.99105</v>
      </c>
      <c r="HH262">
        <v>3.29</v>
      </c>
      <c r="HI262">
        <v>896.4</v>
      </c>
      <c r="HJ262">
        <v>8867.9</v>
      </c>
      <c r="HK262">
        <v>5139.4</v>
      </c>
      <c r="HL262">
        <v>23.5</v>
      </c>
      <c r="HM262">
        <v>1.86751</v>
      </c>
      <c r="HN262">
        <v>1.86646</v>
      </c>
      <c r="HO262">
        <v>1.866</v>
      </c>
      <c r="HP262">
        <v>1.86585</v>
      </c>
      <c r="HQ262">
        <v>1.86769</v>
      </c>
      <c r="HR262">
        <v>1.87019</v>
      </c>
      <c r="HS262">
        <v>1.8689</v>
      </c>
      <c r="HT262">
        <v>1.87026</v>
      </c>
      <c r="HU262">
        <v>0</v>
      </c>
      <c r="HV262">
        <v>0</v>
      </c>
      <c r="HW262">
        <v>0</v>
      </c>
      <c r="HX262">
        <v>0</v>
      </c>
      <c r="HY262" t="s">
        <v>421</v>
      </c>
      <c r="HZ262" t="s">
        <v>422</v>
      </c>
      <c r="IA262" t="s">
        <v>423</v>
      </c>
      <c r="IB262" t="s">
        <v>423</v>
      </c>
      <c r="IC262" t="s">
        <v>423</v>
      </c>
      <c r="ID262" t="s">
        <v>423</v>
      </c>
      <c r="IE262">
        <v>0</v>
      </c>
      <c r="IF262">
        <v>100</v>
      </c>
      <c r="IG262">
        <v>100</v>
      </c>
      <c r="IH262">
        <v>-0.827</v>
      </c>
      <c r="II262">
        <v>0.021</v>
      </c>
      <c r="IJ262">
        <v>-0.4555285053058977</v>
      </c>
      <c r="IK262">
        <v>-0.002077099775823331</v>
      </c>
      <c r="IL262">
        <v>4.593143279902166E-07</v>
      </c>
      <c r="IM262">
        <v>-1.865383991892071E-10</v>
      </c>
      <c r="IN262">
        <v>-0.0625294926435566</v>
      </c>
      <c r="IO262">
        <v>-0.01129461987421345</v>
      </c>
      <c r="IP262">
        <v>0.00116580895745559</v>
      </c>
      <c r="IQ262">
        <v>-1.679085872906199E-05</v>
      </c>
      <c r="IR262">
        <v>2</v>
      </c>
      <c r="IS262">
        <v>2290</v>
      </c>
      <c r="IT262">
        <v>0</v>
      </c>
      <c r="IU262">
        <v>32</v>
      </c>
      <c r="IV262">
        <v>3</v>
      </c>
      <c r="IW262">
        <v>1.1</v>
      </c>
      <c r="IX262">
        <v>0.583496</v>
      </c>
      <c r="IY262">
        <v>2.24976</v>
      </c>
      <c r="IZ262">
        <v>1.39648</v>
      </c>
      <c r="JA262">
        <v>2.3584</v>
      </c>
      <c r="JB262">
        <v>1.49536</v>
      </c>
      <c r="JC262">
        <v>2.27051</v>
      </c>
      <c r="JD262">
        <v>38.3056</v>
      </c>
      <c r="JE262">
        <v>24.0437</v>
      </c>
      <c r="JF262">
        <v>18</v>
      </c>
      <c r="JG262">
        <v>512.9640000000001</v>
      </c>
      <c r="JH262">
        <v>422.656</v>
      </c>
      <c r="JI262">
        <v>22.962</v>
      </c>
      <c r="JJ262">
        <v>28.1786</v>
      </c>
      <c r="JK262">
        <v>29.9999</v>
      </c>
      <c r="JL262">
        <v>28.2121</v>
      </c>
      <c r="JM262">
        <v>28.1561</v>
      </c>
      <c r="JN262">
        <v>11.6721</v>
      </c>
      <c r="JO262">
        <v>51.1656</v>
      </c>
      <c r="JP262">
        <v>0</v>
      </c>
      <c r="JQ262">
        <v>22.9683</v>
      </c>
      <c r="JR262">
        <v>200</v>
      </c>
      <c r="JS262">
        <v>9.717739999999999</v>
      </c>
      <c r="JT262">
        <v>100.423</v>
      </c>
      <c r="JU262">
        <v>100.341</v>
      </c>
    </row>
    <row r="263" spans="1:281">
      <c r="A263">
        <v>247</v>
      </c>
      <c r="B263">
        <v>1651859760</v>
      </c>
      <c r="C263">
        <v>2759.400000095367</v>
      </c>
      <c r="D263" t="s">
        <v>928</v>
      </c>
      <c r="E263" t="s">
        <v>929</v>
      </c>
      <c r="F263">
        <v>2</v>
      </c>
      <c r="G263" t="s">
        <v>915</v>
      </c>
      <c r="H263" t="s">
        <v>414</v>
      </c>
      <c r="I263">
        <v>1651859758.75</v>
      </c>
      <c r="J263">
        <f>(K263)/1000</f>
        <v>0</v>
      </c>
      <c r="K263">
        <f>IF(CZ263, AN263, AH263)</f>
        <v>0</v>
      </c>
      <c r="L263">
        <f>IF(CZ263, AI263, AG263)</f>
        <v>0</v>
      </c>
      <c r="M263">
        <f>DB263 - IF(AU263&gt;1, L263*CV263*100.0/(AW263*DP263), 0)</f>
        <v>0</v>
      </c>
      <c r="N263">
        <f>((T263-J263/2)*M263-L263)/(T263+J263/2)</f>
        <v>0</v>
      </c>
      <c r="O263">
        <f>N263*(DI263+DJ263)/1000.0</f>
        <v>0</v>
      </c>
      <c r="P263">
        <f>(DB263 - IF(AU263&gt;1, L263*CV263*100.0/(AW263*DP263), 0))*(DI263+DJ263)/1000.0</f>
        <v>0</v>
      </c>
      <c r="Q263">
        <f>2.0/((1/S263-1/R263)+SIGN(S263)*SQRT((1/S263-1/R263)*(1/S263-1/R263) + 4*CW263/((CW263+1)*(CW263+1))*(2*1/S263*1/R263-1/R263*1/R263)))</f>
        <v>0</v>
      </c>
      <c r="R263">
        <f>IF(LEFT(CX263,1)&lt;&gt;"0",IF(LEFT(CX263,1)="1",3.0,CY263),$D$5+$E$5*(DP263*DI263/($K$5*1000))+$F$5*(DP263*DI263/($K$5*1000))*MAX(MIN(CV263,$J$5),$I$5)*MAX(MIN(CV263,$J$5),$I$5)+$G$5*MAX(MIN(CV263,$J$5),$I$5)*(DP263*DI263/($K$5*1000))+$H$5*(DP263*DI263/($K$5*1000))*(DP263*DI263/($K$5*1000)))</f>
        <v>0</v>
      </c>
      <c r="S263">
        <f>J263*(1000-(1000*0.61365*exp(17.502*W263/(240.97+W263))/(DI263+DJ263)+DD263)/2)/(1000*0.61365*exp(17.502*W263/(240.97+W263))/(DI263+DJ263)-DD263)</f>
        <v>0</v>
      </c>
      <c r="T263">
        <f>1/((CW263+1)/(Q263/1.6)+1/(R263/1.37)) + CW263/((CW263+1)/(Q263/1.6) + CW263/(R263/1.37))</f>
        <v>0</v>
      </c>
      <c r="U263">
        <f>(CR263*CU263)</f>
        <v>0</v>
      </c>
      <c r="V263">
        <f>(DK263+(U263+2*0.95*5.67E-8*(((DK263+$B$7)+273)^4-(DK263+273)^4)-44100*J263)/(1.84*29.3*R263+8*0.95*5.67E-8*(DK263+273)^3))</f>
        <v>0</v>
      </c>
      <c r="W263">
        <f>($C$7*DL263+$D$7*DM263+$E$7*V263)</f>
        <v>0</v>
      </c>
      <c r="X263">
        <f>0.61365*exp(17.502*W263/(240.97+W263))</f>
        <v>0</v>
      </c>
      <c r="Y263">
        <f>(Z263/AA263*100)</f>
        <v>0</v>
      </c>
      <c r="Z263">
        <f>DD263*(DI263+DJ263)/1000</f>
        <v>0</v>
      </c>
      <c r="AA263">
        <f>0.61365*exp(17.502*DK263/(240.97+DK263))</f>
        <v>0</v>
      </c>
      <c r="AB263">
        <f>(X263-DD263*(DI263+DJ263)/1000)</f>
        <v>0</v>
      </c>
      <c r="AC263">
        <f>(-J263*44100)</f>
        <v>0</v>
      </c>
      <c r="AD263">
        <f>2*29.3*R263*0.92*(DK263-W263)</f>
        <v>0</v>
      </c>
      <c r="AE263">
        <f>2*0.95*5.67E-8*(((DK263+$B$7)+273)^4-(W263+273)^4)</f>
        <v>0</v>
      </c>
      <c r="AF263">
        <f>U263+AE263+AC263+AD263</f>
        <v>0</v>
      </c>
      <c r="AG263">
        <f>DH263*AU263*(DC263-DB263*(1000-AU263*DE263)/(1000-AU263*DD263))/(100*CV263)</f>
        <v>0</v>
      </c>
      <c r="AH263">
        <f>1000*DH263*AU263*(DD263-DE263)/(100*CV263*(1000-AU263*DD263))</f>
        <v>0</v>
      </c>
      <c r="AI263">
        <f>(AJ263 - AK263 - DI263*1E3/(8.314*(DK263+273.15)) * AM263/DH263 * AL263) * DH263/(100*CV263) * (1000 - DE263)/1000</f>
        <v>0</v>
      </c>
      <c r="AJ263">
        <v>100.9620990680952</v>
      </c>
      <c r="AK263">
        <v>96.39307151515152</v>
      </c>
      <c r="AL263">
        <v>0.001736462709423801</v>
      </c>
      <c r="AM263">
        <v>66.38463811552596</v>
      </c>
      <c r="AN263">
        <f>(AP263 - AO263 + DI263*1E3/(8.314*(DK263+273.15)) * AR263/DH263 * AQ263) * DH263/(100*CV263) * 1000/(1000 - AP263)</f>
        <v>0</v>
      </c>
      <c r="AO263">
        <v>9.52081175332772</v>
      </c>
      <c r="AP263">
        <v>18.43859794117649</v>
      </c>
      <c r="AQ263">
        <v>0.0001108080021633461</v>
      </c>
      <c r="AR263">
        <v>80.44061424259318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MAX(0,($B$13+$C$13*DP263)/(1+$D$13*DP263)*DI263/(DK263+273)*$E$13)</f>
        <v>0</v>
      </c>
      <c r="AX263" t="s">
        <v>417</v>
      </c>
      <c r="AY263" t="s">
        <v>417</v>
      </c>
      <c r="AZ263">
        <v>0</v>
      </c>
      <c r="BA263">
        <v>0</v>
      </c>
      <c r="BB263">
        <f>1-AZ263/BA263</f>
        <v>0</v>
      </c>
      <c r="BC263">
        <v>0</v>
      </c>
      <c r="BD263" t="s">
        <v>417</v>
      </c>
      <c r="BE263" t="s">
        <v>417</v>
      </c>
      <c r="BF263">
        <v>0</v>
      </c>
      <c r="BG263">
        <v>0</v>
      </c>
      <c r="BH263">
        <f>1-BF263/BG263</f>
        <v>0</v>
      </c>
      <c r="BI263">
        <v>0.5</v>
      </c>
      <c r="BJ263">
        <f>CS263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417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1242</v>
      </c>
      <c r="CA263">
        <v>300</v>
      </c>
      <c r="CB263">
        <v>300</v>
      </c>
      <c r="CC263">
        <v>300</v>
      </c>
      <c r="CD263">
        <v>10443.1</v>
      </c>
      <c r="CE263">
        <v>1093.35</v>
      </c>
      <c r="CF263">
        <v>-0.00735292</v>
      </c>
      <c r="CG263">
        <v>-0.25</v>
      </c>
      <c r="CH263" t="s">
        <v>417</v>
      </c>
      <c r="CI263" t="s">
        <v>417</v>
      </c>
      <c r="CJ263" t="s">
        <v>417</v>
      </c>
      <c r="CK263" t="s">
        <v>417</v>
      </c>
      <c r="CL263" t="s">
        <v>417</v>
      </c>
      <c r="CM263" t="s">
        <v>417</v>
      </c>
      <c r="CN263" t="s">
        <v>417</v>
      </c>
      <c r="CO263" t="s">
        <v>417</v>
      </c>
      <c r="CP263" t="s">
        <v>417</v>
      </c>
      <c r="CQ263" t="s">
        <v>417</v>
      </c>
      <c r="CR263">
        <f>$B$11*DQ263+$C$11*DR263+$F$11*EC263*(1-EF263)</f>
        <v>0</v>
      </c>
      <c r="CS263">
        <f>CR263*CT263</f>
        <v>0</v>
      </c>
      <c r="CT263">
        <f>($B$11*$D$9+$C$11*$D$9+$F$11*((EP263+EH263)/MAX(EP263+EH263+EQ263, 0.1)*$I$9+EQ263/MAX(EP263+EH263+EQ263, 0.1)*$J$9))/($B$11+$C$11+$F$11)</f>
        <v>0</v>
      </c>
      <c r="CU263">
        <f>($B$11*$K$9+$C$11*$K$9+$F$11*((EP263+EH263)/MAX(EP263+EH263+EQ263, 0.1)*$P$9+EQ263/MAX(EP263+EH263+EQ263, 0.1)*$Q$9))/($B$11+$C$11+$F$11)</f>
        <v>0</v>
      </c>
      <c r="CV263">
        <v>6</v>
      </c>
      <c r="CW263">
        <v>0.5</v>
      </c>
      <c r="CX263" t="s">
        <v>418</v>
      </c>
      <c r="CY263">
        <v>2</v>
      </c>
      <c r="CZ263" t="b">
        <v>1</v>
      </c>
      <c r="DA263">
        <v>1651859758.75</v>
      </c>
      <c r="DB263">
        <v>94.58947500000001</v>
      </c>
      <c r="DC263">
        <v>99.997525</v>
      </c>
      <c r="DD263">
        <v>18.437975</v>
      </c>
      <c r="DE263">
        <v>9.519435</v>
      </c>
      <c r="DF263">
        <v>95.24747500000001</v>
      </c>
      <c r="DG263">
        <v>18.417975</v>
      </c>
      <c r="DH263">
        <v>500.041</v>
      </c>
      <c r="DI263">
        <v>90.03115000000001</v>
      </c>
      <c r="DJ263">
        <v>0.100124</v>
      </c>
      <c r="DK263">
        <v>25.747025</v>
      </c>
      <c r="DL263">
        <v>24.9876</v>
      </c>
      <c r="DM263">
        <v>999.9</v>
      </c>
      <c r="DN263">
        <v>0</v>
      </c>
      <c r="DO263">
        <v>0</v>
      </c>
      <c r="DP263">
        <v>10003.125</v>
      </c>
      <c r="DQ263">
        <v>0</v>
      </c>
      <c r="DR263">
        <v>3.20383</v>
      </c>
      <c r="DS263">
        <v>-5.399215</v>
      </c>
      <c r="DT263">
        <v>96.375075</v>
      </c>
      <c r="DU263">
        <v>100.9585</v>
      </c>
      <c r="DV263">
        <v>8.918545</v>
      </c>
      <c r="DW263">
        <v>99.997525</v>
      </c>
      <c r="DX263">
        <v>9.519435</v>
      </c>
      <c r="DY263">
        <v>1.659995</v>
      </c>
      <c r="DZ263">
        <v>0.8570460000000001</v>
      </c>
      <c r="EA263">
        <v>14.52725</v>
      </c>
      <c r="EB263">
        <v>4.688975</v>
      </c>
      <c r="EC263">
        <v>1500.0025</v>
      </c>
      <c r="ED263">
        <v>0.9729975</v>
      </c>
      <c r="EE263">
        <v>0.027002475</v>
      </c>
      <c r="EF263">
        <v>0</v>
      </c>
      <c r="EG263">
        <v>845.928</v>
      </c>
      <c r="EH263">
        <v>5.00097</v>
      </c>
      <c r="EI263">
        <v>12541.725</v>
      </c>
      <c r="EJ263">
        <v>12491.675</v>
      </c>
      <c r="EK263">
        <v>36.812</v>
      </c>
      <c r="EL263">
        <v>38.156</v>
      </c>
      <c r="EM263">
        <v>37.125</v>
      </c>
      <c r="EN263">
        <v>37.875</v>
      </c>
      <c r="EO263">
        <v>37.75</v>
      </c>
      <c r="EP263">
        <v>1454.63</v>
      </c>
      <c r="EQ263">
        <v>40.37</v>
      </c>
      <c r="ER263">
        <v>0</v>
      </c>
      <c r="ES263">
        <v>66.20000004768372</v>
      </c>
      <c r="ET263">
        <v>0</v>
      </c>
      <c r="EU263">
        <v>847.6721538461538</v>
      </c>
      <c r="EV263">
        <v>-16.11418805564137</v>
      </c>
      <c r="EW263">
        <v>-228.1401711517302</v>
      </c>
      <c r="EX263">
        <v>12565.61923076923</v>
      </c>
      <c r="EY263">
        <v>15</v>
      </c>
      <c r="EZ263">
        <v>1651859779</v>
      </c>
      <c r="FA263" t="s">
        <v>930</v>
      </c>
      <c r="FB263">
        <v>1651859779</v>
      </c>
      <c r="FC263">
        <v>1651859627</v>
      </c>
      <c r="FD263">
        <v>4</v>
      </c>
      <c r="FE263">
        <v>0.002</v>
      </c>
      <c r="FF263">
        <v>0.014</v>
      </c>
      <c r="FG263">
        <v>-0.658</v>
      </c>
      <c r="FH263">
        <v>-0.078</v>
      </c>
      <c r="FI263">
        <v>100</v>
      </c>
      <c r="FJ263">
        <v>10</v>
      </c>
      <c r="FK263">
        <v>0.28</v>
      </c>
      <c r="FL263">
        <v>0.01</v>
      </c>
      <c r="FM263">
        <v>-5.44312</v>
      </c>
      <c r="FN263">
        <v>-0.09024731707316749</v>
      </c>
      <c r="FO263">
        <v>0.03587188932719372</v>
      </c>
      <c r="FP263">
        <v>-1</v>
      </c>
      <c r="FQ263">
        <v>8.90893268292683</v>
      </c>
      <c r="FR263">
        <v>0.03899853658537072</v>
      </c>
      <c r="FS263">
        <v>0.004537048048789609</v>
      </c>
      <c r="FT263">
        <v>-1</v>
      </c>
      <c r="FU263">
        <v>0</v>
      </c>
      <c r="FV263">
        <v>0</v>
      </c>
      <c r="FW263">
        <v>0</v>
      </c>
      <c r="FX263">
        <v>-1</v>
      </c>
      <c r="FY263">
        <v>0</v>
      </c>
      <c r="FZ263">
        <v>0</v>
      </c>
      <c r="GA263" t="s">
        <v>432</v>
      </c>
      <c r="GB263">
        <v>2.98131</v>
      </c>
      <c r="GC263">
        <v>2.70634</v>
      </c>
      <c r="GD263">
        <v>0.0252322</v>
      </c>
      <c r="GE263">
        <v>0.0262067</v>
      </c>
      <c r="GF263">
        <v>0.0881512</v>
      </c>
      <c r="GG263">
        <v>0.0534052</v>
      </c>
      <c r="GH263">
        <v>30803.9</v>
      </c>
      <c r="GI263">
        <v>30837.5</v>
      </c>
      <c r="GJ263">
        <v>29380.3</v>
      </c>
      <c r="GK263">
        <v>29292.7</v>
      </c>
      <c r="GL263">
        <v>35473.6</v>
      </c>
      <c r="GM263">
        <v>36931.3</v>
      </c>
      <c r="GN263">
        <v>41356.1</v>
      </c>
      <c r="GO263">
        <v>41808.1</v>
      </c>
      <c r="GP263">
        <v>1.96415</v>
      </c>
      <c r="GQ263">
        <v>1.84475</v>
      </c>
      <c r="GR263">
        <v>-0.00893325</v>
      </c>
      <c r="GS263">
        <v>0</v>
      </c>
      <c r="GT263">
        <v>25.1344</v>
      </c>
      <c r="GU263">
        <v>999.9</v>
      </c>
      <c r="GV263">
        <v>35.8</v>
      </c>
      <c r="GW263">
        <v>34.3</v>
      </c>
      <c r="GX263">
        <v>21.6029</v>
      </c>
      <c r="GY263">
        <v>62.3379</v>
      </c>
      <c r="GZ263">
        <v>35.4728</v>
      </c>
      <c r="HA263">
        <v>1</v>
      </c>
      <c r="HB263">
        <v>0.0624466</v>
      </c>
      <c r="HC263">
        <v>1.60403</v>
      </c>
      <c r="HD263">
        <v>20.3275</v>
      </c>
      <c r="HE263">
        <v>5.22642</v>
      </c>
      <c r="HF263">
        <v>12.0099</v>
      </c>
      <c r="HG263">
        <v>4.9913</v>
      </c>
      <c r="HH263">
        <v>3.29</v>
      </c>
      <c r="HI263">
        <v>897.7</v>
      </c>
      <c r="HJ263">
        <v>8879.700000000001</v>
      </c>
      <c r="HK263">
        <v>5139.4</v>
      </c>
      <c r="HL263">
        <v>23.5</v>
      </c>
      <c r="HM263">
        <v>1.86747</v>
      </c>
      <c r="HN263">
        <v>1.86646</v>
      </c>
      <c r="HO263">
        <v>1.866</v>
      </c>
      <c r="HP263">
        <v>1.86586</v>
      </c>
      <c r="HQ263">
        <v>1.86769</v>
      </c>
      <c r="HR263">
        <v>1.87024</v>
      </c>
      <c r="HS263">
        <v>1.8689</v>
      </c>
      <c r="HT263">
        <v>1.87027</v>
      </c>
      <c r="HU263">
        <v>0</v>
      </c>
      <c r="HV263">
        <v>0</v>
      </c>
      <c r="HW263">
        <v>0</v>
      </c>
      <c r="HX263">
        <v>0</v>
      </c>
      <c r="HY263" t="s">
        <v>421</v>
      </c>
      <c r="HZ263" t="s">
        <v>422</v>
      </c>
      <c r="IA263" t="s">
        <v>423</v>
      </c>
      <c r="IB263" t="s">
        <v>423</v>
      </c>
      <c r="IC263" t="s">
        <v>423</v>
      </c>
      <c r="ID263" t="s">
        <v>423</v>
      </c>
      <c r="IE263">
        <v>0</v>
      </c>
      <c r="IF263">
        <v>100</v>
      </c>
      <c r="IG263">
        <v>100</v>
      </c>
      <c r="IH263">
        <v>-0.658</v>
      </c>
      <c r="II263">
        <v>0.02</v>
      </c>
      <c r="IJ263">
        <v>-0.4555285053058977</v>
      </c>
      <c r="IK263">
        <v>-0.002077099775823331</v>
      </c>
      <c r="IL263">
        <v>4.593143279902166E-07</v>
      </c>
      <c r="IM263">
        <v>-1.865383991892071E-10</v>
      </c>
      <c r="IN263">
        <v>-0.0625294926435566</v>
      </c>
      <c r="IO263">
        <v>-0.01129461987421345</v>
      </c>
      <c r="IP263">
        <v>0.00116580895745559</v>
      </c>
      <c r="IQ263">
        <v>-1.679085872906199E-05</v>
      </c>
      <c r="IR263">
        <v>2</v>
      </c>
      <c r="IS263">
        <v>2290</v>
      </c>
      <c r="IT263">
        <v>0</v>
      </c>
      <c r="IU263">
        <v>32</v>
      </c>
      <c r="IV263">
        <v>4.1</v>
      </c>
      <c r="IW263">
        <v>2.2</v>
      </c>
      <c r="IX263">
        <v>0.362549</v>
      </c>
      <c r="IY263">
        <v>2.27417</v>
      </c>
      <c r="IZ263">
        <v>1.39648</v>
      </c>
      <c r="JA263">
        <v>2.35718</v>
      </c>
      <c r="JB263">
        <v>1.49536</v>
      </c>
      <c r="JC263">
        <v>2.35474</v>
      </c>
      <c r="JD263">
        <v>38.2812</v>
      </c>
      <c r="JE263">
        <v>24.0437</v>
      </c>
      <c r="JF263">
        <v>18</v>
      </c>
      <c r="JG263">
        <v>512.8049999999999</v>
      </c>
      <c r="JH263">
        <v>422.393</v>
      </c>
      <c r="JI263">
        <v>22.9817</v>
      </c>
      <c r="JJ263">
        <v>28.1438</v>
      </c>
      <c r="JK263">
        <v>29.9998</v>
      </c>
      <c r="JL263">
        <v>28.1727</v>
      </c>
      <c r="JM263">
        <v>28.1175</v>
      </c>
      <c r="JN263">
        <v>7.25437</v>
      </c>
      <c r="JO263">
        <v>51.7769</v>
      </c>
      <c r="JP263">
        <v>0</v>
      </c>
      <c r="JQ263">
        <v>22.9942</v>
      </c>
      <c r="JR263">
        <v>100</v>
      </c>
      <c r="JS263">
        <v>9.585380000000001</v>
      </c>
      <c r="JT263">
        <v>100.431</v>
      </c>
      <c r="JU263">
        <v>100.344</v>
      </c>
    </row>
    <row r="264" spans="1:281">
      <c r="A264">
        <v>248</v>
      </c>
      <c r="B264">
        <v>1651859845</v>
      </c>
      <c r="C264">
        <v>2844.400000095367</v>
      </c>
      <c r="D264" t="s">
        <v>931</v>
      </c>
      <c r="E264" t="s">
        <v>932</v>
      </c>
      <c r="F264">
        <v>2</v>
      </c>
      <c r="G264" t="s">
        <v>915</v>
      </c>
      <c r="H264" t="s">
        <v>414</v>
      </c>
      <c r="I264">
        <v>1651859843.5</v>
      </c>
      <c r="J264">
        <f>(K264)/1000</f>
        <v>0</v>
      </c>
      <c r="K264">
        <f>IF(CZ264, AN264, AH264)</f>
        <v>0</v>
      </c>
      <c r="L264">
        <f>IF(CZ264, AI264, AG264)</f>
        <v>0</v>
      </c>
      <c r="M264">
        <f>DB264 - IF(AU264&gt;1, L264*CV264*100.0/(AW264*DP264), 0)</f>
        <v>0</v>
      </c>
      <c r="N264">
        <f>((T264-J264/2)*M264-L264)/(T264+J264/2)</f>
        <v>0</v>
      </c>
      <c r="O264">
        <f>N264*(DI264+DJ264)/1000.0</f>
        <v>0</v>
      </c>
      <c r="P264">
        <f>(DB264 - IF(AU264&gt;1, L264*CV264*100.0/(AW264*DP264), 0))*(DI264+DJ264)/1000.0</f>
        <v>0</v>
      </c>
      <c r="Q264">
        <f>2.0/((1/S264-1/R264)+SIGN(S264)*SQRT((1/S264-1/R264)*(1/S264-1/R264) + 4*CW264/((CW264+1)*(CW264+1))*(2*1/S264*1/R264-1/R264*1/R264)))</f>
        <v>0</v>
      </c>
      <c r="R264">
        <f>IF(LEFT(CX264,1)&lt;&gt;"0",IF(LEFT(CX264,1)="1",3.0,CY264),$D$5+$E$5*(DP264*DI264/($K$5*1000))+$F$5*(DP264*DI264/($K$5*1000))*MAX(MIN(CV264,$J$5),$I$5)*MAX(MIN(CV264,$J$5),$I$5)+$G$5*MAX(MIN(CV264,$J$5),$I$5)*(DP264*DI264/($K$5*1000))+$H$5*(DP264*DI264/($K$5*1000))*(DP264*DI264/($K$5*1000)))</f>
        <v>0</v>
      </c>
      <c r="S264">
        <f>J264*(1000-(1000*0.61365*exp(17.502*W264/(240.97+W264))/(DI264+DJ264)+DD264)/2)/(1000*0.61365*exp(17.502*W264/(240.97+W264))/(DI264+DJ264)-DD264)</f>
        <v>0</v>
      </c>
      <c r="T264">
        <f>1/((CW264+1)/(Q264/1.6)+1/(R264/1.37)) + CW264/((CW264+1)/(Q264/1.6) + CW264/(R264/1.37))</f>
        <v>0</v>
      </c>
      <c r="U264">
        <f>(CR264*CU264)</f>
        <v>0</v>
      </c>
      <c r="V264">
        <f>(DK264+(U264+2*0.95*5.67E-8*(((DK264+$B$7)+273)^4-(DK264+273)^4)-44100*J264)/(1.84*29.3*R264+8*0.95*5.67E-8*(DK264+273)^3))</f>
        <v>0</v>
      </c>
      <c r="W264">
        <f>($C$7*DL264+$D$7*DM264+$E$7*V264)</f>
        <v>0</v>
      </c>
      <c r="X264">
        <f>0.61365*exp(17.502*W264/(240.97+W264))</f>
        <v>0</v>
      </c>
      <c r="Y264">
        <f>(Z264/AA264*100)</f>
        <v>0</v>
      </c>
      <c r="Z264">
        <f>DD264*(DI264+DJ264)/1000</f>
        <v>0</v>
      </c>
      <c r="AA264">
        <f>0.61365*exp(17.502*DK264/(240.97+DK264))</f>
        <v>0</v>
      </c>
      <c r="AB264">
        <f>(X264-DD264*(DI264+DJ264)/1000)</f>
        <v>0</v>
      </c>
      <c r="AC264">
        <f>(-J264*44100)</f>
        <v>0</v>
      </c>
      <c r="AD264">
        <f>2*29.3*R264*0.92*(DK264-W264)</f>
        <v>0</v>
      </c>
      <c r="AE264">
        <f>2*0.95*5.67E-8*(((DK264+$B$7)+273)^4-(W264+273)^4)</f>
        <v>0</v>
      </c>
      <c r="AF264">
        <f>U264+AE264+AC264+AD264</f>
        <v>0</v>
      </c>
      <c r="AG264">
        <f>DH264*AU264*(DC264-DB264*(1000-AU264*DE264)/(1000-AU264*DD264))/(100*CV264)</f>
        <v>0</v>
      </c>
      <c r="AH264">
        <f>1000*DH264*AU264*(DD264-DE264)/(100*CV264*(1000-AU264*DD264))</f>
        <v>0</v>
      </c>
      <c r="AI264">
        <f>(AJ264 - AK264 - DI264*1E3/(8.314*(DK264+273.15)) * AM264/DH264 * AL264) * DH264/(100*CV264) * (1000 - DE264)/1000</f>
        <v>0</v>
      </c>
      <c r="AJ264">
        <v>50.4886354773398</v>
      </c>
      <c r="AK264">
        <v>50.67987818181817</v>
      </c>
      <c r="AL264">
        <v>0.0004056822256085754</v>
      </c>
      <c r="AM264">
        <v>66.38439322760335</v>
      </c>
      <c r="AN264">
        <f>(AP264 - AO264 + DI264*1E3/(8.314*(DK264+273.15)) * AR264/DH264 * AQ264) * DH264/(100*CV264) * 1000/(1000 - AP264)</f>
        <v>0</v>
      </c>
      <c r="AO264">
        <v>9.485084711866643</v>
      </c>
      <c r="AP264">
        <v>18.54446676470589</v>
      </c>
      <c r="AQ264">
        <v>2.905541053975614E-05</v>
      </c>
      <c r="AR264">
        <v>80.44301100172632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MAX(0,($B$13+$C$13*DP264)/(1+$D$13*DP264)*DI264/(DK264+273)*$E$13)</f>
        <v>0</v>
      </c>
      <c r="AX264" t="s">
        <v>415</v>
      </c>
      <c r="AY264">
        <v>10510</v>
      </c>
      <c r="AZ264">
        <v>590.42</v>
      </c>
      <c r="BA264">
        <v>2650.6</v>
      </c>
      <c r="BB264">
        <f>1-AZ264/BA264</f>
        <v>0</v>
      </c>
      <c r="BC264">
        <v>-1.816883183993991</v>
      </c>
      <c r="BD264" t="s">
        <v>933</v>
      </c>
      <c r="BE264">
        <v>10442.7</v>
      </c>
      <c r="BF264">
        <v>842.2551538461538</v>
      </c>
      <c r="BG264">
        <v>992.691</v>
      </c>
      <c r="BH264">
        <f>1-BF264/BG264</f>
        <v>0</v>
      </c>
      <c r="BI264">
        <v>0.5</v>
      </c>
      <c r="BJ264">
        <f>CS264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417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1243</v>
      </c>
      <c r="CA264">
        <v>300</v>
      </c>
      <c r="CB264">
        <v>300</v>
      </c>
      <c r="CC264">
        <v>300</v>
      </c>
      <c r="CD264">
        <v>10442.7</v>
      </c>
      <c r="CE264">
        <v>963.63</v>
      </c>
      <c r="CF264">
        <v>-0.00735259</v>
      </c>
      <c r="CG264">
        <v>-0.9</v>
      </c>
      <c r="CH264" t="s">
        <v>417</v>
      </c>
      <c r="CI264" t="s">
        <v>417</v>
      </c>
      <c r="CJ264" t="s">
        <v>417</v>
      </c>
      <c r="CK264" t="s">
        <v>417</v>
      </c>
      <c r="CL264" t="s">
        <v>417</v>
      </c>
      <c r="CM264" t="s">
        <v>417</v>
      </c>
      <c r="CN264" t="s">
        <v>417</v>
      </c>
      <c r="CO264" t="s">
        <v>417</v>
      </c>
      <c r="CP264" t="s">
        <v>417</v>
      </c>
      <c r="CQ264" t="s">
        <v>417</v>
      </c>
      <c r="CR264">
        <f>$B$11*DQ264+$C$11*DR264+$F$11*EC264*(1-EF264)</f>
        <v>0</v>
      </c>
      <c r="CS264">
        <f>CR264*CT264</f>
        <v>0</v>
      </c>
      <c r="CT264">
        <f>($B$11*$D$9+$C$11*$D$9+$F$11*((EP264+EH264)/MAX(EP264+EH264+EQ264, 0.1)*$I$9+EQ264/MAX(EP264+EH264+EQ264, 0.1)*$J$9))/($B$11+$C$11+$F$11)</f>
        <v>0</v>
      </c>
      <c r="CU264">
        <f>($B$11*$K$9+$C$11*$K$9+$F$11*((EP264+EH264)/MAX(EP264+EH264+EQ264, 0.1)*$P$9+EQ264/MAX(EP264+EH264+EQ264, 0.1)*$Q$9))/($B$11+$C$11+$F$11)</f>
        <v>0</v>
      </c>
      <c r="CV264">
        <v>6</v>
      </c>
      <c r="CW264">
        <v>0.5</v>
      </c>
      <c r="CX264" t="s">
        <v>418</v>
      </c>
      <c r="CY264">
        <v>2</v>
      </c>
      <c r="CZ264" t="b">
        <v>1</v>
      </c>
      <c r="DA264">
        <v>1651859843.5</v>
      </c>
      <c r="DB264">
        <v>49.60672</v>
      </c>
      <c r="DC264">
        <v>49.99774000000001</v>
      </c>
      <c r="DD264">
        <v>18.55452</v>
      </c>
      <c r="DE264">
        <v>9.431214000000001</v>
      </c>
      <c r="DF264">
        <v>50.28772</v>
      </c>
      <c r="DG264">
        <v>18.53284</v>
      </c>
      <c r="DH264">
        <v>500.0314</v>
      </c>
      <c r="DI264">
        <v>90.00425999999999</v>
      </c>
      <c r="DJ264">
        <v>0.1000282</v>
      </c>
      <c r="DK264">
        <v>25.7598</v>
      </c>
      <c r="DL264">
        <v>24.97984</v>
      </c>
      <c r="DM264">
        <v>999.9</v>
      </c>
      <c r="DN264">
        <v>0</v>
      </c>
      <c r="DO264">
        <v>0</v>
      </c>
      <c r="DP264">
        <v>10015.5</v>
      </c>
      <c r="DQ264">
        <v>0</v>
      </c>
      <c r="DR264">
        <v>3.20383</v>
      </c>
      <c r="DS264">
        <v>-0.2664574000000001</v>
      </c>
      <c r="DT264">
        <v>50.67148</v>
      </c>
      <c r="DU264">
        <v>50.4738</v>
      </c>
      <c r="DV264">
        <v>9.123314000000001</v>
      </c>
      <c r="DW264">
        <v>49.99774000000001</v>
      </c>
      <c r="DX264">
        <v>9.431214000000001</v>
      </c>
      <c r="DY264">
        <v>1.669986</v>
      </c>
      <c r="DZ264">
        <v>0.8488494000000001</v>
      </c>
      <c r="EA264">
        <v>14.62022</v>
      </c>
      <c r="EB264">
        <v>4.551544</v>
      </c>
      <c r="EC264">
        <v>1499.942</v>
      </c>
      <c r="ED264">
        <v>0.972996</v>
      </c>
      <c r="EE264">
        <v>0.0270038</v>
      </c>
      <c r="EF264">
        <v>0</v>
      </c>
      <c r="EG264">
        <v>842.2526</v>
      </c>
      <c r="EH264">
        <v>5.00097</v>
      </c>
      <c r="EI264">
        <v>12482.36</v>
      </c>
      <c r="EJ264">
        <v>12491.1</v>
      </c>
      <c r="EK264">
        <v>36.687</v>
      </c>
      <c r="EL264">
        <v>38.125</v>
      </c>
      <c r="EM264">
        <v>37.062</v>
      </c>
      <c r="EN264">
        <v>37.8498</v>
      </c>
      <c r="EO264">
        <v>37.625</v>
      </c>
      <c r="EP264">
        <v>1454.572</v>
      </c>
      <c r="EQ264">
        <v>40.37</v>
      </c>
      <c r="ER264">
        <v>0</v>
      </c>
      <c r="ES264">
        <v>151.4000000953674</v>
      </c>
      <c r="ET264">
        <v>0</v>
      </c>
      <c r="EU264">
        <v>842.2551538461538</v>
      </c>
      <c r="EV264">
        <v>-0.9278632250436424</v>
      </c>
      <c r="EW264">
        <v>-10.67008542964599</v>
      </c>
      <c r="EX264">
        <v>12483.56538461539</v>
      </c>
      <c r="EY264">
        <v>15</v>
      </c>
      <c r="EZ264">
        <v>1651859867</v>
      </c>
      <c r="FA264" t="s">
        <v>934</v>
      </c>
      <c r="FB264">
        <v>1651859867</v>
      </c>
      <c r="FC264">
        <v>1651859627</v>
      </c>
      <c r="FD264">
        <v>5</v>
      </c>
      <c r="FE264">
        <v>-0.124</v>
      </c>
      <c r="FF264">
        <v>0.014</v>
      </c>
      <c r="FG264">
        <v>-0.681</v>
      </c>
      <c r="FH264">
        <v>-0.078</v>
      </c>
      <c r="FI264">
        <v>50</v>
      </c>
      <c r="FJ264">
        <v>10</v>
      </c>
      <c r="FK264">
        <v>0.14</v>
      </c>
      <c r="FL264">
        <v>0.01</v>
      </c>
      <c r="FM264">
        <v>-0.276007825</v>
      </c>
      <c r="FN264">
        <v>-0.2406833583489676</v>
      </c>
      <c r="FO264">
        <v>0.03846596185193313</v>
      </c>
      <c r="FP264">
        <v>-1</v>
      </c>
      <c r="FQ264">
        <v>9.02978725</v>
      </c>
      <c r="FR264">
        <v>0.4516569230768918</v>
      </c>
      <c r="FS264">
        <v>0.04636624553419766</v>
      </c>
      <c r="FT264">
        <v>-1</v>
      </c>
      <c r="FU264">
        <v>0</v>
      </c>
      <c r="FV264">
        <v>0</v>
      </c>
      <c r="FW264">
        <v>0</v>
      </c>
      <c r="FX264">
        <v>-1</v>
      </c>
      <c r="FY264">
        <v>0</v>
      </c>
      <c r="FZ264">
        <v>0</v>
      </c>
      <c r="GA264" t="s">
        <v>432</v>
      </c>
      <c r="GB264">
        <v>2.98124</v>
      </c>
      <c r="GC264">
        <v>2.70631</v>
      </c>
      <c r="GD264">
        <v>0.0134189</v>
      </c>
      <c r="GE264">
        <v>0.0132155</v>
      </c>
      <c r="GF264">
        <v>0.08849129999999999</v>
      </c>
      <c r="GG264">
        <v>0.0529905</v>
      </c>
      <c r="GH264">
        <v>31179.3</v>
      </c>
      <c r="GI264">
        <v>31249.4</v>
      </c>
      <c r="GJ264">
        <v>29382.1</v>
      </c>
      <c r="GK264">
        <v>29293</v>
      </c>
      <c r="GL264">
        <v>35462</v>
      </c>
      <c r="GM264">
        <v>36947.9</v>
      </c>
      <c r="GN264">
        <v>41358.5</v>
      </c>
      <c r="GO264">
        <v>41808.7</v>
      </c>
      <c r="GP264">
        <v>1.96475</v>
      </c>
      <c r="GQ264">
        <v>1.84492</v>
      </c>
      <c r="GR264">
        <v>-0.00466779</v>
      </c>
      <c r="GS264">
        <v>0</v>
      </c>
      <c r="GT264">
        <v>25.0571</v>
      </c>
      <c r="GU264">
        <v>999.9</v>
      </c>
      <c r="GV264">
        <v>35.7</v>
      </c>
      <c r="GW264">
        <v>34.3</v>
      </c>
      <c r="GX264">
        <v>21.5496</v>
      </c>
      <c r="GY264">
        <v>62.5679</v>
      </c>
      <c r="GZ264">
        <v>35.5929</v>
      </c>
      <c r="HA264">
        <v>1</v>
      </c>
      <c r="HB264">
        <v>0.0590396</v>
      </c>
      <c r="HC264">
        <v>1.45957</v>
      </c>
      <c r="HD264">
        <v>20.329</v>
      </c>
      <c r="HE264">
        <v>5.22642</v>
      </c>
      <c r="HF264">
        <v>12.0099</v>
      </c>
      <c r="HG264">
        <v>4.99145</v>
      </c>
      <c r="HH264">
        <v>3.29</v>
      </c>
      <c r="HI264">
        <v>899.3</v>
      </c>
      <c r="HJ264">
        <v>8894.200000000001</v>
      </c>
      <c r="HK264">
        <v>5139.4</v>
      </c>
      <c r="HL264">
        <v>23.5</v>
      </c>
      <c r="HM264">
        <v>1.86747</v>
      </c>
      <c r="HN264">
        <v>1.86646</v>
      </c>
      <c r="HO264">
        <v>1.866</v>
      </c>
      <c r="HP264">
        <v>1.86585</v>
      </c>
      <c r="HQ264">
        <v>1.86768</v>
      </c>
      <c r="HR264">
        <v>1.87018</v>
      </c>
      <c r="HS264">
        <v>1.86889</v>
      </c>
      <c r="HT264">
        <v>1.87027</v>
      </c>
      <c r="HU264">
        <v>0</v>
      </c>
      <c r="HV264">
        <v>0</v>
      </c>
      <c r="HW264">
        <v>0</v>
      </c>
      <c r="HX264">
        <v>0</v>
      </c>
      <c r="HY264" t="s">
        <v>421</v>
      </c>
      <c r="HZ264" t="s">
        <v>422</v>
      </c>
      <c r="IA264" t="s">
        <v>423</v>
      </c>
      <c r="IB264" t="s">
        <v>423</v>
      </c>
      <c r="IC264" t="s">
        <v>423</v>
      </c>
      <c r="ID264" t="s">
        <v>423</v>
      </c>
      <c r="IE264">
        <v>0</v>
      </c>
      <c r="IF264">
        <v>100</v>
      </c>
      <c r="IG264">
        <v>100</v>
      </c>
      <c r="IH264">
        <v>-0.681</v>
      </c>
      <c r="II264">
        <v>0.0215</v>
      </c>
      <c r="IJ264">
        <v>-0.453125477564583</v>
      </c>
      <c r="IK264">
        <v>-0.002077099775823331</v>
      </c>
      <c r="IL264">
        <v>4.593143279902166E-07</v>
      </c>
      <c r="IM264">
        <v>-1.865383991892071E-10</v>
      </c>
      <c r="IN264">
        <v>-0.0625294926435566</v>
      </c>
      <c r="IO264">
        <v>-0.01129461987421345</v>
      </c>
      <c r="IP264">
        <v>0.00116580895745559</v>
      </c>
      <c r="IQ264">
        <v>-1.679085872906199E-05</v>
      </c>
      <c r="IR264">
        <v>2</v>
      </c>
      <c r="IS264">
        <v>2290</v>
      </c>
      <c r="IT264">
        <v>0</v>
      </c>
      <c r="IU264">
        <v>32</v>
      </c>
      <c r="IV264">
        <v>1.1</v>
      </c>
      <c r="IW264">
        <v>3.6</v>
      </c>
      <c r="IX264">
        <v>0.252686</v>
      </c>
      <c r="IY264">
        <v>2.30225</v>
      </c>
      <c r="IZ264">
        <v>1.39648</v>
      </c>
      <c r="JA264">
        <v>2.35718</v>
      </c>
      <c r="JB264">
        <v>1.49536</v>
      </c>
      <c r="JC264">
        <v>2.34497</v>
      </c>
      <c r="JD264">
        <v>38.2568</v>
      </c>
      <c r="JE264">
        <v>24.0437</v>
      </c>
      <c r="JF264">
        <v>18</v>
      </c>
      <c r="JG264">
        <v>512.783</v>
      </c>
      <c r="JH264">
        <v>422.133</v>
      </c>
      <c r="JI264">
        <v>23.1919</v>
      </c>
      <c r="JJ264">
        <v>28.0965</v>
      </c>
      <c r="JK264">
        <v>29.9998</v>
      </c>
      <c r="JL264">
        <v>28.1243</v>
      </c>
      <c r="JM264">
        <v>28.0671</v>
      </c>
      <c r="JN264">
        <v>5.0722</v>
      </c>
      <c r="JO264">
        <v>51.9174</v>
      </c>
      <c r="JP264">
        <v>0</v>
      </c>
      <c r="JQ264">
        <v>23.2043</v>
      </c>
      <c r="JR264">
        <v>50</v>
      </c>
      <c r="JS264">
        <v>9.426159999999999</v>
      </c>
      <c r="JT264">
        <v>100.437</v>
      </c>
      <c r="JU264">
        <v>100.345</v>
      </c>
    </row>
    <row r="265" spans="1:281">
      <c r="A265">
        <v>249</v>
      </c>
      <c r="B265">
        <v>1651859933</v>
      </c>
      <c r="C265">
        <v>2932.400000095367</v>
      </c>
      <c r="D265" t="s">
        <v>935</v>
      </c>
      <c r="E265" t="s">
        <v>936</v>
      </c>
      <c r="F265">
        <v>2</v>
      </c>
      <c r="G265" t="s">
        <v>915</v>
      </c>
      <c r="H265" t="s">
        <v>414</v>
      </c>
      <c r="I265">
        <v>1651859931.5</v>
      </c>
      <c r="J265">
        <f>(K265)/1000</f>
        <v>0</v>
      </c>
      <c r="K265">
        <f>IF(CZ265, AN265, AH265)</f>
        <v>0</v>
      </c>
      <c r="L265">
        <f>IF(CZ265, AI265, AG265)</f>
        <v>0</v>
      </c>
      <c r="M265">
        <f>DB265 - IF(AU265&gt;1, L265*CV265*100.0/(AW265*DP265), 0)</f>
        <v>0</v>
      </c>
      <c r="N265">
        <f>((T265-J265/2)*M265-L265)/(T265+J265/2)</f>
        <v>0</v>
      </c>
      <c r="O265">
        <f>N265*(DI265+DJ265)/1000.0</f>
        <v>0</v>
      </c>
      <c r="P265">
        <f>(DB265 - IF(AU265&gt;1, L265*CV265*100.0/(AW265*DP265), 0))*(DI265+DJ265)/1000.0</f>
        <v>0</v>
      </c>
      <c r="Q265">
        <f>2.0/((1/S265-1/R265)+SIGN(S265)*SQRT((1/S265-1/R265)*(1/S265-1/R265) + 4*CW265/((CW265+1)*(CW265+1))*(2*1/S265*1/R265-1/R265*1/R265)))</f>
        <v>0</v>
      </c>
      <c r="R265">
        <f>IF(LEFT(CX265,1)&lt;&gt;"0",IF(LEFT(CX265,1)="1",3.0,CY265),$D$5+$E$5*(DP265*DI265/($K$5*1000))+$F$5*(DP265*DI265/($K$5*1000))*MAX(MIN(CV265,$J$5),$I$5)*MAX(MIN(CV265,$J$5),$I$5)+$G$5*MAX(MIN(CV265,$J$5),$I$5)*(DP265*DI265/($K$5*1000))+$H$5*(DP265*DI265/($K$5*1000))*(DP265*DI265/($K$5*1000)))</f>
        <v>0</v>
      </c>
      <c r="S265">
        <f>J265*(1000-(1000*0.61365*exp(17.502*W265/(240.97+W265))/(DI265+DJ265)+DD265)/2)/(1000*0.61365*exp(17.502*W265/(240.97+W265))/(DI265+DJ265)-DD265)</f>
        <v>0</v>
      </c>
      <c r="T265">
        <f>1/((CW265+1)/(Q265/1.6)+1/(R265/1.37)) + CW265/((CW265+1)/(Q265/1.6) + CW265/(R265/1.37))</f>
        <v>0</v>
      </c>
      <c r="U265">
        <f>(CR265*CU265)</f>
        <v>0</v>
      </c>
      <c r="V265">
        <f>(DK265+(U265+2*0.95*5.67E-8*(((DK265+$B$7)+273)^4-(DK265+273)^4)-44100*J265)/(1.84*29.3*R265+8*0.95*5.67E-8*(DK265+273)^3))</f>
        <v>0</v>
      </c>
      <c r="W265">
        <f>($C$7*DL265+$D$7*DM265+$E$7*V265)</f>
        <v>0</v>
      </c>
      <c r="X265">
        <f>0.61365*exp(17.502*W265/(240.97+W265))</f>
        <v>0</v>
      </c>
      <c r="Y265">
        <f>(Z265/AA265*100)</f>
        <v>0</v>
      </c>
      <c r="Z265">
        <f>DD265*(DI265+DJ265)/1000</f>
        <v>0</v>
      </c>
      <c r="AA265">
        <f>0.61365*exp(17.502*DK265/(240.97+DK265))</f>
        <v>0</v>
      </c>
      <c r="AB265">
        <f>(X265-DD265*(DI265+DJ265)/1000)</f>
        <v>0</v>
      </c>
      <c r="AC265">
        <f>(-J265*44100)</f>
        <v>0</v>
      </c>
      <c r="AD265">
        <f>2*29.3*R265*0.92*(DK265-W265)</f>
        <v>0</v>
      </c>
      <c r="AE265">
        <f>2*0.95*5.67E-8*(((DK265+$B$7)+273)^4-(W265+273)^4)</f>
        <v>0</v>
      </c>
      <c r="AF265">
        <f>U265+AE265+AC265+AD265</f>
        <v>0</v>
      </c>
      <c r="AG265">
        <f>DH265*AU265*(DC265-DB265*(1000-AU265*DE265)/(1000-AU265*DD265))/(100*CV265)</f>
        <v>0</v>
      </c>
      <c r="AH265">
        <f>1000*DH265*AU265*(DD265-DE265)/(100*CV265*(1000-AU265*DD265))</f>
        <v>0</v>
      </c>
      <c r="AI265">
        <f>(AJ265 - AK265 - DI265*1E3/(8.314*(DK265+273.15)) * AM265/DH265 * AL265) * DH265/(100*CV265) * (1000 - DE265)/1000</f>
        <v>0</v>
      </c>
      <c r="AJ265">
        <v>2.7482871082047</v>
      </c>
      <c r="AK265">
        <v>7.414594727272733</v>
      </c>
      <c r="AL265">
        <v>-0.0004609937338936858</v>
      </c>
      <c r="AM265">
        <v>66.38548380224724</v>
      </c>
      <c r="AN265">
        <f>(AP265 - AO265 + DI265*1E3/(8.314*(DK265+273.15)) * AR265/DH265 * AQ265) * DH265/(100*CV265) * 1000/(1000 - AP265)</f>
        <v>0</v>
      </c>
      <c r="AO265">
        <v>9.28364117887627</v>
      </c>
      <c r="AP265">
        <v>18.62260294117646</v>
      </c>
      <c r="AQ265">
        <v>-0.0002876207255853392</v>
      </c>
      <c r="AR265">
        <v>80.43266559927264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MAX(0,($B$13+$C$13*DP265)/(1+$D$13*DP265)*DI265/(DK265+273)*$E$13)</f>
        <v>0</v>
      </c>
      <c r="AX265" t="s">
        <v>417</v>
      </c>
      <c r="AY265" t="s">
        <v>417</v>
      </c>
      <c r="AZ265">
        <v>0</v>
      </c>
      <c r="BA265">
        <v>0</v>
      </c>
      <c r="BB265">
        <f>1-AZ265/BA265</f>
        <v>0</v>
      </c>
      <c r="BC265">
        <v>0</v>
      </c>
      <c r="BD265" t="s">
        <v>417</v>
      </c>
      <c r="BE265" t="s">
        <v>417</v>
      </c>
      <c r="BF265">
        <v>0</v>
      </c>
      <c r="BG265">
        <v>0</v>
      </c>
      <c r="BH265">
        <f>1-BF265/BG265</f>
        <v>0</v>
      </c>
      <c r="BI265">
        <v>0.5</v>
      </c>
      <c r="BJ265">
        <f>CS265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417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1243</v>
      </c>
      <c r="CA265">
        <v>300</v>
      </c>
      <c r="CB265">
        <v>300</v>
      </c>
      <c r="CC265">
        <v>300</v>
      </c>
      <c r="CD265">
        <v>10442.7</v>
      </c>
      <c r="CE265">
        <v>963.63</v>
      </c>
      <c r="CF265">
        <v>-0.00735259</v>
      </c>
      <c r="CG265">
        <v>-0.9</v>
      </c>
      <c r="CH265" t="s">
        <v>417</v>
      </c>
      <c r="CI265" t="s">
        <v>417</v>
      </c>
      <c r="CJ265" t="s">
        <v>417</v>
      </c>
      <c r="CK265" t="s">
        <v>417</v>
      </c>
      <c r="CL265" t="s">
        <v>417</v>
      </c>
      <c r="CM265" t="s">
        <v>417</v>
      </c>
      <c r="CN265" t="s">
        <v>417</v>
      </c>
      <c r="CO265" t="s">
        <v>417</v>
      </c>
      <c r="CP265" t="s">
        <v>417</v>
      </c>
      <c r="CQ265" t="s">
        <v>417</v>
      </c>
      <c r="CR265">
        <f>$B$11*DQ265+$C$11*DR265+$F$11*EC265*(1-EF265)</f>
        <v>0</v>
      </c>
      <c r="CS265">
        <f>CR265*CT265</f>
        <v>0</v>
      </c>
      <c r="CT265">
        <f>($B$11*$D$9+$C$11*$D$9+$F$11*((EP265+EH265)/MAX(EP265+EH265+EQ265, 0.1)*$I$9+EQ265/MAX(EP265+EH265+EQ265, 0.1)*$J$9))/($B$11+$C$11+$F$11)</f>
        <v>0</v>
      </c>
      <c r="CU265">
        <f>($B$11*$K$9+$C$11*$K$9+$F$11*((EP265+EH265)/MAX(EP265+EH265+EQ265, 0.1)*$P$9+EQ265/MAX(EP265+EH265+EQ265, 0.1)*$Q$9))/($B$11+$C$11+$F$11)</f>
        <v>0</v>
      </c>
      <c r="CV265">
        <v>6</v>
      </c>
      <c r="CW265">
        <v>0.5</v>
      </c>
      <c r="CX265" t="s">
        <v>418</v>
      </c>
      <c r="CY265">
        <v>2</v>
      </c>
      <c r="CZ265" t="b">
        <v>1</v>
      </c>
      <c r="DA265">
        <v>1651859931.5</v>
      </c>
      <c r="DB265">
        <v>7.221366</v>
      </c>
      <c r="DC265">
        <v>2.72496</v>
      </c>
      <c r="DD265">
        <v>18.62434</v>
      </c>
      <c r="DE265">
        <v>9.244909999999999</v>
      </c>
      <c r="DF265">
        <v>7.882365999999999</v>
      </c>
      <c r="DG265">
        <v>18.60166</v>
      </c>
      <c r="DH265">
        <v>500.023</v>
      </c>
      <c r="DI265">
        <v>90.00942000000001</v>
      </c>
      <c r="DJ265">
        <v>0.10004872</v>
      </c>
      <c r="DK265">
        <v>25.79462</v>
      </c>
      <c r="DL265">
        <v>25.00602</v>
      </c>
      <c r="DM265">
        <v>999.9</v>
      </c>
      <c r="DN265">
        <v>0</v>
      </c>
      <c r="DO265">
        <v>0</v>
      </c>
      <c r="DP265">
        <v>10009.616</v>
      </c>
      <c r="DQ265">
        <v>0</v>
      </c>
      <c r="DR265">
        <v>3.20383</v>
      </c>
      <c r="DS265">
        <v>4.563656</v>
      </c>
      <c r="DT265">
        <v>7.426936</v>
      </c>
      <c r="DU265">
        <v>2.75039</v>
      </c>
      <c r="DV265">
        <v>9.379434</v>
      </c>
      <c r="DW265">
        <v>2.72496</v>
      </c>
      <c r="DX265">
        <v>9.244909999999999</v>
      </c>
      <c r="DY265">
        <v>1.676364</v>
      </c>
      <c r="DZ265">
        <v>0.8321289999999999</v>
      </c>
      <c r="EA265">
        <v>14.6793</v>
      </c>
      <c r="EB265">
        <v>4.267504</v>
      </c>
      <c r="EC265">
        <v>1499.986</v>
      </c>
      <c r="ED265">
        <v>0.972996</v>
      </c>
      <c r="EE265">
        <v>0.0270038</v>
      </c>
      <c r="EF265">
        <v>0</v>
      </c>
      <c r="EG265">
        <v>855.076</v>
      </c>
      <c r="EH265">
        <v>5.00097</v>
      </c>
      <c r="EI265">
        <v>12663.62</v>
      </c>
      <c r="EJ265">
        <v>12491.46</v>
      </c>
      <c r="EK265">
        <v>36.687</v>
      </c>
      <c r="EL265">
        <v>38.125</v>
      </c>
      <c r="EM265">
        <v>37.062</v>
      </c>
      <c r="EN265">
        <v>37.812</v>
      </c>
      <c r="EO265">
        <v>37.625</v>
      </c>
      <c r="EP265">
        <v>1454.616</v>
      </c>
      <c r="EQ265">
        <v>40.37</v>
      </c>
      <c r="ER265">
        <v>0</v>
      </c>
      <c r="ES265">
        <v>87.60000014305115</v>
      </c>
      <c r="ET265">
        <v>0</v>
      </c>
      <c r="EU265">
        <v>854.3687999999999</v>
      </c>
      <c r="EV265">
        <v>7.518000002212355</v>
      </c>
      <c r="EW265">
        <v>107.8230768839367</v>
      </c>
      <c r="EX265">
        <v>12653.54</v>
      </c>
      <c r="EY265">
        <v>15</v>
      </c>
      <c r="EZ265">
        <v>1651859956</v>
      </c>
      <c r="FA265" t="s">
        <v>937</v>
      </c>
      <c r="FB265">
        <v>1651859956</v>
      </c>
      <c r="FC265">
        <v>1651859627</v>
      </c>
      <c r="FD265">
        <v>6</v>
      </c>
      <c r="FE265">
        <v>-0.077</v>
      </c>
      <c r="FF265">
        <v>0.014</v>
      </c>
      <c r="FG265">
        <v>-0.661</v>
      </c>
      <c r="FH265">
        <v>-0.078</v>
      </c>
      <c r="FI265">
        <v>3</v>
      </c>
      <c r="FJ265">
        <v>10</v>
      </c>
      <c r="FK265">
        <v>0.39</v>
      </c>
      <c r="FL265">
        <v>0.01</v>
      </c>
      <c r="FM265">
        <v>4.58390425</v>
      </c>
      <c r="FN265">
        <v>-0.2854163977486018</v>
      </c>
      <c r="FO265">
        <v>0.03273860961368855</v>
      </c>
      <c r="FP265">
        <v>-1</v>
      </c>
      <c r="FQ265">
        <v>9.325474249999999</v>
      </c>
      <c r="FR265">
        <v>0.2884841651031781</v>
      </c>
      <c r="FS265">
        <v>0.02952692456788374</v>
      </c>
      <c r="FT265">
        <v>-1</v>
      </c>
      <c r="FU265">
        <v>0</v>
      </c>
      <c r="FV265">
        <v>0</v>
      </c>
      <c r="FW265">
        <v>0</v>
      </c>
      <c r="FX265">
        <v>-1</v>
      </c>
      <c r="FY265">
        <v>0</v>
      </c>
      <c r="FZ265">
        <v>0</v>
      </c>
      <c r="GA265" t="s">
        <v>432</v>
      </c>
      <c r="GB265">
        <v>2.98144</v>
      </c>
      <c r="GC265">
        <v>2.70635</v>
      </c>
      <c r="GD265">
        <v>0.00209147</v>
      </c>
      <c r="GE265">
        <v>0.000719914</v>
      </c>
      <c r="GF265">
        <v>0.08876149999999999</v>
      </c>
      <c r="GG265">
        <v>0.0520659</v>
      </c>
      <c r="GH265">
        <v>31538.1</v>
      </c>
      <c r="GI265">
        <v>31647.5</v>
      </c>
      <c r="GJ265">
        <v>29382.6</v>
      </c>
      <c r="GK265">
        <v>29295.1</v>
      </c>
      <c r="GL265">
        <v>35452</v>
      </c>
      <c r="GM265">
        <v>36986.7</v>
      </c>
      <c r="GN265">
        <v>41359.6</v>
      </c>
      <c r="GO265">
        <v>41811.8</v>
      </c>
      <c r="GP265">
        <v>1.9656</v>
      </c>
      <c r="GQ265">
        <v>1.8446</v>
      </c>
      <c r="GR265">
        <v>-0.00485405</v>
      </c>
      <c r="GS265">
        <v>0</v>
      </c>
      <c r="GT265">
        <v>25.0816</v>
      </c>
      <c r="GU265">
        <v>999.9</v>
      </c>
      <c r="GV265">
        <v>35.6</v>
      </c>
      <c r="GW265">
        <v>34.3</v>
      </c>
      <c r="GX265">
        <v>21.4901</v>
      </c>
      <c r="GY265">
        <v>62.4979</v>
      </c>
      <c r="GZ265">
        <v>35.4006</v>
      </c>
      <c r="HA265">
        <v>1</v>
      </c>
      <c r="HB265">
        <v>0.0561484</v>
      </c>
      <c r="HC265">
        <v>1.60156</v>
      </c>
      <c r="HD265">
        <v>20.3276</v>
      </c>
      <c r="HE265">
        <v>5.22702</v>
      </c>
      <c r="HF265">
        <v>12.0099</v>
      </c>
      <c r="HG265">
        <v>4.99155</v>
      </c>
      <c r="HH265">
        <v>3.29</v>
      </c>
      <c r="HI265">
        <v>900.8</v>
      </c>
      <c r="HJ265">
        <v>8908.299999999999</v>
      </c>
      <c r="HK265">
        <v>5139.4</v>
      </c>
      <c r="HL265">
        <v>23.5</v>
      </c>
      <c r="HM265">
        <v>1.86752</v>
      </c>
      <c r="HN265">
        <v>1.86646</v>
      </c>
      <c r="HO265">
        <v>1.866</v>
      </c>
      <c r="HP265">
        <v>1.86588</v>
      </c>
      <c r="HQ265">
        <v>1.86769</v>
      </c>
      <c r="HR265">
        <v>1.87026</v>
      </c>
      <c r="HS265">
        <v>1.8689</v>
      </c>
      <c r="HT265">
        <v>1.87027</v>
      </c>
      <c r="HU265">
        <v>0</v>
      </c>
      <c r="HV265">
        <v>0</v>
      </c>
      <c r="HW265">
        <v>0</v>
      </c>
      <c r="HX265">
        <v>0</v>
      </c>
      <c r="HY265" t="s">
        <v>421</v>
      </c>
      <c r="HZ265" t="s">
        <v>422</v>
      </c>
      <c r="IA265" t="s">
        <v>423</v>
      </c>
      <c r="IB265" t="s">
        <v>423</v>
      </c>
      <c r="IC265" t="s">
        <v>423</v>
      </c>
      <c r="ID265" t="s">
        <v>423</v>
      </c>
      <c r="IE265">
        <v>0</v>
      </c>
      <c r="IF265">
        <v>100</v>
      </c>
      <c r="IG265">
        <v>100</v>
      </c>
      <c r="IH265">
        <v>-0.661</v>
      </c>
      <c r="II265">
        <v>0.0226</v>
      </c>
      <c r="IJ265">
        <v>-0.5774062664557502</v>
      </c>
      <c r="IK265">
        <v>-0.002077099775823331</v>
      </c>
      <c r="IL265">
        <v>4.593143279902166E-07</v>
      </c>
      <c r="IM265">
        <v>-1.865383991892071E-10</v>
      </c>
      <c r="IN265">
        <v>-0.0625294926435566</v>
      </c>
      <c r="IO265">
        <v>-0.01129461987421345</v>
      </c>
      <c r="IP265">
        <v>0.00116580895745559</v>
      </c>
      <c r="IQ265">
        <v>-1.679085872906199E-05</v>
      </c>
      <c r="IR265">
        <v>2</v>
      </c>
      <c r="IS265">
        <v>2290</v>
      </c>
      <c r="IT265">
        <v>0</v>
      </c>
      <c r="IU265">
        <v>32</v>
      </c>
      <c r="IV265">
        <v>1.1</v>
      </c>
      <c r="IW265">
        <v>5.1</v>
      </c>
      <c r="IX265">
        <v>0.0317383</v>
      </c>
      <c r="IY265">
        <v>4.99878</v>
      </c>
      <c r="IZ265">
        <v>1.39648</v>
      </c>
      <c r="JA265">
        <v>2.35596</v>
      </c>
      <c r="JB265">
        <v>1.49536</v>
      </c>
      <c r="JC265">
        <v>2.36206</v>
      </c>
      <c r="JD265">
        <v>38.2568</v>
      </c>
      <c r="JE265">
        <v>24.0437</v>
      </c>
      <c r="JF265">
        <v>18</v>
      </c>
      <c r="JG265">
        <v>512.9450000000001</v>
      </c>
      <c r="JH265">
        <v>421.609</v>
      </c>
      <c r="JI265">
        <v>23.1328</v>
      </c>
      <c r="JJ265">
        <v>28.0505</v>
      </c>
      <c r="JK265">
        <v>30</v>
      </c>
      <c r="JL265">
        <v>28.0785</v>
      </c>
      <c r="JM265">
        <v>28.021</v>
      </c>
      <c r="JN265">
        <v>0</v>
      </c>
      <c r="JO265">
        <v>52.7469</v>
      </c>
      <c r="JP265">
        <v>0</v>
      </c>
      <c r="JQ265">
        <v>23.1233</v>
      </c>
      <c r="JR265">
        <v>0</v>
      </c>
      <c r="JS265">
        <v>9.17164</v>
      </c>
      <c r="JT265">
        <v>100.439</v>
      </c>
      <c r="JU265">
        <v>100.353</v>
      </c>
    </row>
    <row r="266" spans="1:281">
      <c r="A266">
        <v>250</v>
      </c>
      <c r="B266">
        <v>1651860022</v>
      </c>
      <c r="C266">
        <v>3021.400000095367</v>
      </c>
      <c r="D266" t="s">
        <v>938</v>
      </c>
      <c r="E266" t="s">
        <v>939</v>
      </c>
      <c r="F266">
        <v>2</v>
      </c>
      <c r="G266" t="s">
        <v>915</v>
      </c>
      <c r="H266" t="s">
        <v>414</v>
      </c>
      <c r="I266">
        <v>1651860020.5</v>
      </c>
      <c r="J266">
        <f>(K266)/1000</f>
        <v>0</v>
      </c>
      <c r="K266">
        <f>IF(CZ266, AN266, AH266)</f>
        <v>0</v>
      </c>
      <c r="L266">
        <f>IF(CZ266, AI266, AG266)</f>
        <v>0</v>
      </c>
      <c r="M266">
        <f>DB266 - IF(AU266&gt;1, L266*CV266*100.0/(AW266*DP266), 0)</f>
        <v>0</v>
      </c>
      <c r="N266">
        <f>((T266-J266/2)*M266-L266)/(T266+J266/2)</f>
        <v>0</v>
      </c>
      <c r="O266">
        <f>N266*(DI266+DJ266)/1000.0</f>
        <v>0</v>
      </c>
      <c r="P266">
        <f>(DB266 - IF(AU266&gt;1, L266*CV266*100.0/(AW266*DP266), 0))*(DI266+DJ266)/1000.0</f>
        <v>0</v>
      </c>
      <c r="Q266">
        <f>2.0/((1/S266-1/R266)+SIGN(S266)*SQRT((1/S266-1/R266)*(1/S266-1/R266) + 4*CW266/((CW266+1)*(CW266+1))*(2*1/S266*1/R266-1/R266*1/R266)))</f>
        <v>0</v>
      </c>
      <c r="R266">
        <f>IF(LEFT(CX266,1)&lt;&gt;"0",IF(LEFT(CX266,1)="1",3.0,CY266),$D$5+$E$5*(DP266*DI266/($K$5*1000))+$F$5*(DP266*DI266/($K$5*1000))*MAX(MIN(CV266,$J$5),$I$5)*MAX(MIN(CV266,$J$5),$I$5)+$G$5*MAX(MIN(CV266,$J$5),$I$5)*(DP266*DI266/($K$5*1000))+$H$5*(DP266*DI266/($K$5*1000))*(DP266*DI266/($K$5*1000)))</f>
        <v>0</v>
      </c>
      <c r="S266">
        <f>J266*(1000-(1000*0.61365*exp(17.502*W266/(240.97+W266))/(DI266+DJ266)+DD266)/2)/(1000*0.61365*exp(17.502*W266/(240.97+W266))/(DI266+DJ266)-DD266)</f>
        <v>0</v>
      </c>
      <c r="T266">
        <f>1/((CW266+1)/(Q266/1.6)+1/(R266/1.37)) + CW266/((CW266+1)/(Q266/1.6) + CW266/(R266/1.37))</f>
        <v>0</v>
      </c>
      <c r="U266">
        <f>(CR266*CU266)</f>
        <v>0</v>
      </c>
      <c r="V266">
        <f>(DK266+(U266+2*0.95*5.67E-8*(((DK266+$B$7)+273)^4-(DK266+273)^4)-44100*J266)/(1.84*29.3*R266+8*0.95*5.67E-8*(DK266+273)^3))</f>
        <v>0</v>
      </c>
      <c r="W266">
        <f>($C$7*DL266+$D$7*DM266+$E$7*V266)</f>
        <v>0</v>
      </c>
      <c r="X266">
        <f>0.61365*exp(17.502*W266/(240.97+W266))</f>
        <v>0</v>
      </c>
      <c r="Y266">
        <f>(Z266/AA266*100)</f>
        <v>0</v>
      </c>
      <c r="Z266">
        <f>DD266*(DI266+DJ266)/1000</f>
        <v>0</v>
      </c>
      <c r="AA266">
        <f>0.61365*exp(17.502*DK266/(240.97+DK266))</f>
        <v>0</v>
      </c>
      <c r="AB266">
        <f>(X266-DD266*(DI266+DJ266)/1000)</f>
        <v>0</v>
      </c>
      <c r="AC266">
        <f>(-J266*44100)</f>
        <v>0</v>
      </c>
      <c r="AD266">
        <f>2*29.3*R266*0.92*(DK266-W266)</f>
        <v>0</v>
      </c>
      <c r="AE266">
        <f>2*0.95*5.67E-8*(((DK266+$B$7)+273)^4-(W266+273)^4)</f>
        <v>0</v>
      </c>
      <c r="AF266">
        <f>U266+AE266+AC266+AD266</f>
        <v>0</v>
      </c>
      <c r="AG266">
        <f>DH266*AU266*(DC266-DB266*(1000-AU266*DE266)/(1000-AU266*DD266))/(100*CV266)</f>
        <v>0</v>
      </c>
      <c r="AH266">
        <f>1000*DH266*AU266*(DD266-DE266)/(100*CV266*(1000-AU266*DD266))</f>
        <v>0</v>
      </c>
      <c r="AI266">
        <f>(AJ266 - AK266 - DI266*1E3/(8.314*(DK266+273.15)) * AM266/DH266 * AL266) * DH266/(100*CV266) * (1000 - DE266)/1000</f>
        <v>0</v>
      </c>
      <c r="AJ266">
        <v>403.8042795920647</v>
      </c>
      <c r="AK266">
        <v>377.1833999999999</v>
      </c>
      <c r="AL266">
        <v>-0.225458284832249</v>
      </c>
      <c r="AM266">
        <v>66.38454608033999</v>
      </c>
      <c r="AN266">
        <f>(AP266 - AO266 + DI266*1E3/(8.314*(DK266+273.15)) * AR266/DH266 * AQ266) * DH266/(100*CV266) * 1000/(1000 - AP266)</f>
        <v>0</v>
      </c>
      <c r="AO266">
        <v>8.999228468259327</v>
      </c>
      <c r="AP266">
        <v>18.60172029411764</v>
      </c>
      <c r="AQ266">
        <v>-0.007315777808042167</v>
      </c>
      <c r="AR266">
        <v>80.44147654147203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MAX(0,($B$13+$C$13*DP266)/(1+$D$13*DP266)*DI266/(DK266+273)*$E$13)</f>
        <v>0</v>
      </c>
      <c r="AX266" t="s">
        <v>415</v>
      </c>
      <c r="AY266">
        <v>10510</v>
      </c>
      <c r="AZ266">
        <v>590.42</v>
      </c>
      <c r="BA266">
        <v>2650.6</v>
      </c>
      <c r="BB266">
        <f>1-AZ266/BA266</f>
        <v>0</v>
      </c>
      <c r="BC266">
        <v>-1.816883183993991</v>
      </c>
      <c r="BD266" t="s">
        <v>940</v>
      </c>
      <c r="BE266">
        <v>10443.9</v>
      </c>
      <c r="BF266">
        <v>848.49288</v>
      </c>
      <c r="BG266">
        <v>1113.6</v>
      </c>
      <c r="BH266">
        <f>1-BF266/BG266</f>
        <v>0</v>
      </c>
      <c r="BI266">
        <v>0.5</v>
      </c>
      <c r="BJ266">
        <f>CS266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417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1244</v>
      </c>
      <c r="CA266">
        <v>300</v>
      </c>
      <c r="CB266">
        <v>300</v>
      </c>
      <c r="CC266">
        <v>300</v>
      </c>
      <c r="CD266">
        <v>10443.9</v>
      </c>
      <c r="CE266">
        <v>1068.5</v>
      </c>
      <c r="CF266">
        <v>-0.00735367</v>
      </c>
      <c r="CG266">
        <v>1.16</v>
      </c>
      <c r="CH266" t="s">
        <v>417</v>
      </c>
      <c r="CI266" t="s">
        <v>417</v>
      </c>
      <c r="CJ266" t="s">
        <v>417</v>
      </c>
      <c r="CK266" t="s">
        <v>417</v>
      </c>
      <c r="CL266" t="s">
        <v>417</v>
      </c>
      <c r="CM266" t="s">
        <v>417</v>
      </c>
      <c r="CN266" t="s">
        <v>417</v>
      </c>
      <c r="CO266" t="s">
        <v>417</v>
      </c>
      <c r="CP266" t="s">
        <v>417</v>
      </c>
      <c r="CQ266" t="s">
        <v>417</v>
      </c>
      <c r="CR266">
        <f>$B$11*DQ266+$C$11*DR266+$F$11*EC266*(1-EF266)</f>
        <v>0</v>
      </c>
      <c r="CS266">
        <f>CR266*CT266</f>
        <v>0</v>
      </c>
      <c r="CT266">
        <f>($B$11*$D$9+$C$11*$D$9+$F$11*((EP266+EH266)/MAX(EP266+EH266+EQ266, 0.1)*$I$9+EQ266/MAX(EP266+EH266+EQ266, 0.1)*$J$9))/($B$11+$C$11+$F$11)</f>
        <v>0</v>
      </c>
      <c r="CU266">
        <f>($B$11*$K$9+$C$11*$K$9+$F$11*((EP266+EH266)/MAX(EP266+EH266+EQ266, 0.1)*$P$9+EQ266/MAX(EP266+EH266+EQ266, 0.1)*$Q$9))/($B$11+$C$11+$F$11)</f>
        <v>0</v>
      </c>
      <c r="CV266">
        <v>6</v>
      </c>
      <c r="CW266">
        <v>0.5</v>
      </c>
      <c r="CX266" t="s">
        <v>418</v>
      </c>
      <c r="CY266">
        <v>2</v>
      </c>
      <c r="CZ266" t="b">
        <v>1</v>
      </c>
      <c r="DA266">
        <v>1651860020.5</v>
      </c>
      <c r="DB266">
        <v>370.3756</v>
      </c>
      <c r="DC266">
        <v>400.1604</v>
      </c>
      <c r="DD266">
        <v>18.60336</v>
      </c>
      <c r="DE266">
        <v>8.994326000000001</v>
      </c>
      <c r="DF266">
        <v>371.748</v>
      </c>
      <c r="DG266">
        <v>18.581</v>
      </c>
      <c r="DH266">
        <v>500.0332</v>
      </c>
      <c r="DI266">
        <v>90.00748000000002</v>
      </c>
      <c r="DJ266">
        <v>0.09978408000000001</v>
      </c>
      <c r="DK266">
        <v>25.78374</v>
      </c>
      <c r="DL266">
        <v>24.9916</v>
      </c>
      <c r="DM266">
        <v>999.9</v>
      </c>
      <c r="DN266">
        <v>0</v>
      </c>
      <c r="DO266">
        <v>0</v>
      </c>
      <c r="DP266">
        <v>10001.62</v>
      </c>
      <c r="DQ266">
        <v>0</v>
      </c>
      <c r="DR266">
        <v>3.20383</v>
      </c>
      <c r="DS266">
        <v>-29.7846</v>
      </c>
      <c r="DT266">
        <v>377.3968</v>
      </c>
      <c r="DU266">
        <v>403.7922</v>
      </c>
      <c r="DV266">
        <v>9.609052</v>
      </c>
      <c r="DW266">
        <v>400.1604</v>
      </c>
      <c r="DX266">
        <v>8.994326000000001</v>
      </c>
      <c r="DY266">
        <v>1.674442</v>
      </c>
      <c r="DZ266">
        <v>0.8095566000000002</v>
      </c>
      <c r="EA266">
        <v>14.6615</v>
      </c>
      <c r="EB266">
        <v>3.875984</v>
      </c>
      <c r="EC266">
        <v>1500.012</v>
      </c>
      <c r="ED266">
        <v>0.972996</v>
      </c>
      <c r="EE266">
        <v>0.0270038</v>
      </c>
      <c r="EF266">
        <v>0</v>
      </c>
      <c r="EG266">
        <v>856.2315999999998</v>
      </c>
      <c r="EH266">
        <v>5.00097</v>
      </c>
      <c r="EI266">
        <v>12700.98</v>
      </c>
      <c r="EJ266">
        <v>12491.64</v>
      </c>
      <c r="EK266">
        <v>36.625</v>
      </c>
      <c r="EL266">
        <v>38.062</v>
      </c>
      <c r="EM266">
        <v>37</v>
      </c>
      <c r="EN266">
        <v>37.7872</v>
      </c>
      <c r="EO266">
        <v>37.625</v>
      </c>
      <c r="EP266">
        <v>1454.642</v>
      </c>
      <c r="EQ266">
        <v>40.37</v>
      </c>
      <c r="ER266">
        <v>0</v>
      </c>
      <c r="ES266">
        <v>176.4000000953674</v>
      </c>
      <c r="ET266">
        <v>0</v>
      </c>
      <c r="EU266">
        <v>848.49288</v>
      </c>
      <c r="EV266">
        <v>76.71492296166888</v>
      </c>
      <c r="EW266">
        <v>1138.861536673787</v>
      </c>
      <c r="EX266">
        <v>12587.924</v>
      </c>
      <c r="EY266">
        <v>15</v>
      </c>
      <c r="EZ266">
        <v>1651859956</v>
      </c>
      <c r="FA266" t="s">
        <v>937</v>
      </c>
      <c r="FB266">
        <v>1651859956</v>
      </c>
      <c r="FC266">
        <v>1651859627</v>
      </c>
      <c r="FD266">
        <v>6</v>
      </c>
      <c r="FE266">
        <v>-0.077</v>
      </c>
      <c r="FF266">
        <v>0.014</v>
      </c>
      <c r="FG266">
        <v>-0.661</v>
      </c>
      <c r="FH266">
        <v>-0.078</v>
      </c>
      <c r="FI266">
        <v>3</v>
      </c>
      <c r="FJ266">
        <v>10</v>
      </c>
      <c r="FK266">
        <v>0.39</v>
      </c>
      <c r="FL266">
        <v>0.01</v>
      </c>
      <c r="FM266">
        <v>-26.8639875</v>
      </c>
      <c r="FN266">
        <v>-24.95234183864907</v>
      </c>
      <c r="FO266">
        <v>2.462450639828898</v>
      </c>
      <c r="FP266">
        <v>-1</v>
      </c>
      <c r="FQ266">
        <v>9.564577750000002</v>
      </c>
      <c r="FR266">
        <v>0.4416478424014822</v>
      </c>
      <c r="FS266">
        <v>0.04452695169711811</v>
      </c>
      <c r="FT266">
        <v>-1</v>
      </c>
      <c r="FU266">
        <v>0</v>
      </c>
      <c r="FV266">
        <v>0</v>
      </c>
      <c r="FW266">
        <v>0</v>
      </c>
      <c r="FX266">
        <v>-1</v>
      </c>
      <c r="FY266">
        <v>0</v>
      </c>
      <c r="FZ266">
        <v>0</v>
      </c>
      <c r="GA266" t="s">
        <v>432</v>
      </c>
      <c r="GB266">
        <v>2.98118</v>
      </c>
      <c r="GC266">
        <v>2.706</v>
      </c>
      <c r="GD266">
        <v>0.0851432</v>
      </c>
      <c r="GE266">
        <v>0.0892751</v>
      </c>
      <c r="GF266">
        <v>0.0887112</v>
      </c>
      <c r="GG266">
        <v>0.0511256</v>
      </c>
      <c r="GH266">
        <v>28916.2</v>
      </c>
      <c r="GI266">
        <v>28844.8</v>
      </c>
      <c r="GJ266">
        <v>29385.2</v>
      </c>
      <c r="GK266">
        <v>29296.7</v>
      </c>
      <c r="GL266">
        <v>35458.3</v>
      </c>
      <c r="GM266">
        <v>37028</v>
      </c>
      <c r="GN266">
        <v>41363</v>
      </c>
      <c r="GO266">
        <v>41815</v>
      </c>
      <c r="GP266">
        <v>1.96583</v>
      </c>
      <c r="GQ266">
        <v>1.84617</v>
      </c>
      <c r="GR266">
        <v>-0.00765547</v>
      </c>
      <c r="GS266">
        <v>0</v>
      </c>
      <c r="GT266">
        <v>25.1122</v>
      </c>
      <c r="GU266">
        <v>999.9</v>
      </c>
      <c r="GV266">
        <v>35.5</v>
      </c>
      <c r="GW266">
        <v>34.3</v>
      </c>
      <c r="GX266">
        <v>21.4298</v>
      </c>
      <c r="GY266">
        <v>62.5979</v>
      </c>
      <c r="GZ266">
        <v>35.8614</v>
      </c>
      <c r="HA266">
        <v>1</v>
      </c>
      <c r="HB266">
        <v>0.0531047</v>
      </c>
      <c r="HC266">
        <v>1.47622</v>
      </c>
      <c r="HD266">
        <v>20.3287</v>
      </c>
      <c r="HE266">
        <v>5.22672</v>
      </c>
      <c r="HF266">
        <v>12.0099</v>
      </c>
      <c r="HG266">
        <v>4.9916</v>
      </c>
      <c r="HH266">
        <v>3.29</v>
      </c>
      <c r="HI266">
        <v>902.6</v>
      </c>
      <c r="HJ266">
        <v>8925</v>
      </c>
      <c r="HK266">
        <v>5139.4</v>
      </c>
      <c r="HL266">
        <v>23.6</v>
      </c>
      <c r="HM266">
        <v>1.86746</v>
      </c>
      <c r="HN266">
        <v>1.86645</v>
      </c>
      <c r="HO266">
        <v>1.866</v>
      </c>
      <c r="HP266">
        <v>1.86584</v>
      </c>
      <c r="HQ266">
        <v>1.86768</v>
      </c>
      <c r="HR266">
        <v>1.87023</v>
      </c>
      <c r="HS266">
        <v>1.8689</v>
      </c>
      <c r="HT266">
        <v>1.87027</v>
      </c>
      <c r="HU266">
        <v>0</v>
      </c>
      <c r="HV266">
        <v>0</v>
      </c>
      <c r="HW266">
        <v>0</v>
      </c>
      <c r="HX266">
        <v>0</v>
      </c>
      <c r="HY266" t="s">
        <v>421</v>
      </c>
      <c r="HZ266" t="s">
        <v>422</v>
      </c>
      <c r="IA266" t="s">
        <v>423</v>
      </c>
      <c r="IB266" t="s">
        <v>423</v>
      </c>
      <c r="IC266" t="s">
        <v>423</v>
      </c>
      <c r="ID266" t="s">
        <v>423</v>
      </c>
      <c r="IE266">
        <v>0</v>
      </c>
      <c r="IF266">
        <v>100</v>
      </c>
      <c r="IG266">
        <v>100</v>
      </c>
      <c r="IH266">
        <v>-1.372</v>
      </c>
      <c r="II266">
        <v>0.0224</v>
      </c>
      <c r="IJ266">
        <v>-0.6540367517687078</v>
      </c>
      <c r="IK266">
        <v>-0.002077099775823331</v>
      </c>
      <c r="IL266">
        <v>4.593143279902166E-07</v>
      </c>
      <c r="IM266">
        <v>-1.865383991892071E-10</v>
      </c>
      <c r="IN266">
        <v>-0.0625294926435566</v>
      </c>
      <c r="IO266">
        <v>-0.01129461987421345</v>
      </c>
      <c r="IP266">
        <v>0.00116580895745559</v>
      </c>
      <c r="IQ266">
        <v>-1.679085872906199E-05</v>
      </c>
      <c r="IR266">
        <v>2</v>
      </c>
      <c r="IS266">
        <v>2290</v>
      </c>
      <c r="IT266">
        <v>0</v>
      </c>
      <c r="IU266">
        <v>32</v>
      </c>
      <c r="IV266">
        <v>1.1</v>
      </c>
      <c r="IW266">
        <v>6.6</v>
      </c>
      <c r="IX266">
        <v>1.00342</v>
      </c>
      <c r="IY266">
        <v>2.24854</v>
      </c>
      <c r="IZ266">
        <v>1.39648</v>
      </c>
      <c r="JA266">
        <v>2.3584</v>
      </c>
      <c r="JB266">
        <v>1.49536</v>
      </c>
      <c r="JC266">
        <v>2.28882</v>
      </c>
      <c r="JD266">
        <v>38.2812</v>
      </c>
      <c r="JE266">
        <v>24.0437</v>
      </c>
      <c r="JF266">
        <v>18</v>
      </c>
      <c r="JG266">
        <v>512.755</v>
      </c>
      <c r="JH266">
        <v>422.258</v>
      </c>
      <c r="JI266">
        <v>23.1641</v>
      </c>
      <c r="JJ266">
        <v>28.0141</v>
      </c>
      <c r="JK266">
        <v>30</v>
      </c>
      <c r="JL266">
        <v>28.0393</v>
      </c>
      <c r="JM266">
        <v>27.9821</v>
      </c>
      <c r="JN266">
        <v>20.1009</v>
      </c>
      <c r="JO266">
        <v>53.2637</v>
      </c>
      <c r="JP266">
        <v>0</v>
      </c>
      <c r="JQ266">
        <v>23.1712</v>
      </c>
      <c r="JR266">
        <v>400</v>
      </c>
      <c r="JS266">
        <v>8.9498</v>
      </c>
      <c r="JT266">
        <v>100.448</v>
      </c>
      <c r="JU266">
        <v>100.359</v>
      </c>
    </row>
    <row r="267" spans="1:281">
      <c r="A267">
        <v>251</v>
      </c>
      <c r="B267">
        <v>1651860089</v>
      </c>
      <c r="C267">
        <v>3088.400000095367</v>
      </c>
      <c r="D267" t="s">
        <v>941</v>
      </c>
      <c r="E267" t="s">
        <v>942</v>
      </c>
      <c r="F267">
        <v>2</v>
      </c>
      <c r="G267" t="s">
        <v>915</v>
      </c>
      <c r="H267" t="s">
        <v>414</v>
      </c>
      <c r="I267">
        <v>1651860087.75</v>
      </c>
      <c r="J267">
        <f>(K267)/1000</f>
        <v>0</v>
      </c>
      <c r="K267">
        <f>IF(CZ267, AN267, AH267)</f>
        <v>0</v>
      </c>
      <c r="L267">
        <f>IF(CZ267, AI267, AG267)</f>
        <v>0</v>
      </c>
      <c r="M267">
        <f>DB267 - IF(AU267&gt;1, L267*CV267*100.0/(AW267*DP267), 0)</f>
        <v>0</v>
      </c>
      <c r="N267">
        <f>((T267-J267/2)*M267-L267)/(T267+J267/2)</f>
        <v>0</v>
      </c>
      <c r="O267">
        <f>N267*(DI267+DJ267)/1000.0</f>
        <v>0</v>
      </c>
      <c r="P267">
        <f>(DB267 - IF(AU267&gt;1, L267*CV267*100.0/(AW267*DP267), 0))*(DI267+DJ267)/1000.0</f>
        <v>0</v>
      </c>
      <c r="Q267">
        <f>2.0/((1/S267-1/R267)+SIGN(S267)*SQRT((1/S267-1/R267)*(1/S267-1/R267) + 4*CW267/((CW267+1)*(CW267+1))*(2*1/S267*1/R267-1/R267*1/R267)))</f>
        <v>0</v>
      </c>
      <c r="R267">
        <f>IF(LEFT(CX267,1)&lt;&gt;"0",IF(LEFT(CX267,1)="1",3.0,CY267),$D$5+$E$5*(DP267*DI267/($K$5*1000))+$F$5*(DP267*DI267/($K$5*1000))*MAX(MIN(CV267,$J$5),$I$5)*MAX(MIN(CV267,$J$5),$I$5)+$G$5*MAX(MIN(CV267,$J$5),$I$5)*(DP267*DI267/($K$5*1000))+$H$5*(DP267*DI267/($K$5*1000))*(DP267*DI267/($K$5*1000)))</f>
        <v>0</v>
      </c>
      <c r="S267">
        <f>J267*(1000-(1000*0.61365*exp(17.502*W267/(240.97+W267))/(DI267+DJ267)+DD267)/2)/(1000*0.61365*exp(17.502*W267/(240.97+W267))/(DI267+DJ267)-DD267)</f>
        <v>0</v>
      </c>
      <c r="T267">
        <f>1/((CW267+1)/(Q267/1.6)+1/(R267/1.37)) + CW267/((CW267+1)/(Q267/1.6) + CW267/(R267/1.37))</f>
        <v>0</v>
      </c>
      <c r="U267">
        <f>(CR267*CU267)</f>
        <v>0</v>
      </c>
      <c r="V267">
        <f>(DK267+(U267+2*0.95*5.67E-8*(((DK267+$B$7)+273)^4-(DK267+273)^4)-44100*J267)/(1.84*29.3*R267+8*0.95*5.67E-8*(DK267+273)^3))</f>
        <v>0</v>
      </c>
      <c r="W267">
        <f>($C$7*DL267+$D$7*DM267+$E$7*V267)</f>
        <v>0</v>
      </c>
      <c r="X267">
        <f>0.61365*exp(17.502*W267/(240.97+W267))</f>
        <v>0</v>
      </c>
      <c r="Y267">
        <f>(Z267/AA267*100)</f>
        <v>0</v>
      </c>
      <c r="Z267">
        <f>DD267*(DI267+DJ267)/1000</f>
        <v>0</v>
      </c>
      <c r="AA267">
        <f>0.61365*exp(17.502*DK267/(240.97+DK267))</f>
        <v>0</v>
      </c>
      <c r="AB267">
        <f>(X267-DD267*(DI267+DJ267)/1000)</f>
        <v>0</v>
      </c>
      <c r="AC267">
        <f>(-J267*44100)</f>
        <v>0</v>
      </c>
      <c r="AD267">
        <f>2*29.3*R267*0.92*(DK267-W267)</f>
        <v>0</v>
      </c>
      <c r="AE267">
        <f>2*0.95*5.67E-8*(((DK267+$B$7)+273)^4-(W267+273)^4)</f>
        <v>0</v>
      </c>
      <c r="AF267">
        <f>U267+AE267+AC267+AD267</f>
        <v>0</v>
      </c>
      <c r="AG267">
        <f>DH267*AU267*(DC267-DB267*(1000-AU267*DE267)/(1000-AU267*DD267))/(100*CV267)</f>
        <v>0</v>
      </c>
      <c r="AH267">
        <f>1000*DH267*AU267*(DD267-DE267)/(100*CV267*(1000-AU267*DD267))</f>
        <v>0</v>
      </c>
      <c r="AI267">
        <f>(AJ267 - AK267 - DI267*1E3/(8.314*(DK267+273.15)) * AM267/DH267 * AL267) * DH267/(100*CV267) * (1000 - DE267)/1000</f>
        <v>0</v>
      </c>
      <c r="AJ267">
        <v>403.6043534957589</v>
      </c>
      <c r="AK267">
        <v>377.2504787878788</v>
      </c>
      <c r="AL267">
        <v>0.03436795037073453</v>
      </c>
      <c r="AM267">
        <v>66.38454608033999</v>
      </c>
      <c r="AN267">
        <f>(AP267 - AO267 + DI267*1E3/(8.314*(DK267+273.15)) * AR267/DH267 * AQ267) * DH267/(100*CV267) * 1000/(1000 - AP267)</f>
        <v>0</v>
      </c>
      <c r="AO267">
        <v>8.699823934155543</v>
      </c>
      <c r="AP267">
        <v>18.52798588235294</v>
      </c>
      <c r="AQ267">
        <v>0.0001689212792624655</v>
      </c>
      <c r="AR267">
        <v>80.44147654147203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MAX(0,($B$13+$C$13*DP267)/(1+$D$13*DP267)*DI267/(DK267+273)*$E$13)</f>
        <v>0</v>
      </c>
      <c r="AX267" t="s">
        <v>417</v>
      </c>
      <c r="AY267" t="s">
        <v>417</v>
      </c>
      <c r="AZ267">
        <v>0</v>
      </c>
      <c r="BA267">
        <v>0</v>
      </c>
      <c r="BB267">
        <f>1-AZ267/BA267</f>
        <v>0</v>
      </c>
      <c r="BC267">
        <v>0</v>
      </c>
      <c r="BD267" t="s">
        <v>417</v>
      </c>
      <c r="BE267" t="s">
        <v>417</v>
      </c>
      <c r="BF267">
        <v>0</v>
      </c>
      <c r="BG267">
        <v>0</v>
      </c>
      <c r="BH267">
        <f>1-BF267/BG267</f>
        <v>0</v>
      </c>
      <c r="BI267">
        <v>0.5</v>
      </c>
      <c r="BJ267">
        <f>CS267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417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1244</v>
      </c>
      <c r="CA267">
        <v>300</v>
      </c>
      <c r="CB267">
        <v>300</v>
      </c>
      <c r="CC267">
        <v>300</v>
      </c>
      <c r="CD267">
        <v>10443.9</v>
      </c>
      <c r="CE267">
        <v>1068.5</v>
      </c>
      <c r="CF267">
        <v>-0.00735367</v>
      </c>
      <c r="CG267">
        <v>1.16</v>
      </c>
      <c r="CH267" t="s">
        <v>417</v>
      </c>
      <c r="CI267" t="s">
        <v>417</v>
      </c>
      <c r="CJ267" t="s">
        <v>417</v>
      </c>
      <c r="CK267" t="s">
        <v>417</v>
      </c>
      <c r="CL267" t="s">
        <v>417</v>
      </c>
      <c r="CM267" t="s">
        <v>417</v>
      </c>
      <c r="CN267" t="s">
        <v>417</v>
      </c>
      <c r="CO267" t="s">
        <v>417</v>
      </c>
      <c r="CP267" t="s">
        <v>417</v>
      </c>
      <c r="CQ267" t="s">
        <v>417</v>
      </c>
      <c r="CR267">
        <f>$B$11*DQ267+$C$11*DR267+$F$11*EC267*(1-EF267)</f>
        <v>0</v>
      </c>
      <c r="CS267">
        <f>CR267*CT267</f>
        <v>0</v>
      </c>
      <c r="CT267">
        <f>($B$11*$D$9+$C$11*$D$9+$F$11*((EP267+EH267)/MAX(EP267+EH267+EQ267, 0.1)*$I$9+EQ267/MAX(EP267+EH267+EQ267, 0.1)*$J$9))/($B$11+$C$11+$F$11)</f>
        <v>0</v>
      </c>
      <c r="CU267">
        <f>($B$11*$K$9+$C$11*$K$9+$F$11*((EP267+EH267)/MAX(EP267+EH267+EQ267, 0.1)*$P$9+EQ267/MAX(EP267+EH267+EQ267, 0.1)*$Q$9))/($B$11+$C$11+$F$11)</f>
        <v>0</v>
      </c>
      <c r="CV267">
        <v>6</v>
      </c>
      <c r="CW267">
        <v>0.5</v>
      </c>
      <c r="CX267" t="s">
        <v>418</v>
      </c>
      <c r="CY267">
        <v>2</v>
      </c>
      <c r="CZ267" t="b">
        <v>1</v>
      </c>
      <c r="DA267">
        <v>1651860087.75</v>
      </c>
      <c r="DB267">
        <v>370.2295</v>
      </c>
      <c r="DC267">
        <v>400.093</v>
      </c>
      <c r="DD267">
        <v>18.529</v>
      </c>
      <c r="DE267">
        <v>8.697917499999999</v>
      </c>
      <c r="DF267">
        <v>371.6015</v>
      </c>
      <c r="DG267">
        <v>18.507675</v>
      </c>
      <c r="DH267">
        <v>500.02975</v>
      </c>
      <c r="DI267">
        <v>90.008025</v>
      </c>
      <c r="DJ267">
        <v>0.099881</v>
      </c>
      <c r="DK267">
        <v>25.7974</v>
      </c>
      <c r="DL267">
        <v>24.98995</v>
      </c>
      <c r="DM267">
        <v>999.9</v>
      </c>
      <c r="DN267">
        <v>0</v>
      </c>
      <c r="DO267">
        <v>0</v>
      </c>
      <c r="DP267">
        <v>10005.925</v>
      </c>
      <c r="DQ267">
        <v>0</v>
      </c>
      <c r="DR267">
        <v>3.20383</v>
      </c>
      <c r="DS267">
        <v>-29.863125</v>
      </c>
      <c r="DT267">
        <v>377.21925</v>
      </c>
      <c r="DU267">
        <v>403.60325</v>
      </c>
      <c r="DV267">
        <v>9.831104999999999</v>
      </c>
      <c r="DW267">
        <v>400.093</v>
      </c>
      <c r="DX267">
        <v>8.697917499999999</v>
      </c>
      <c r="DY267">
        <v>1.66776</v>
      </c>
      <c r="DZ267">
        <v>0.7828825</v>
      </c>
      <c r="EA267">
        <v>14.599575</v>
      </c>
      <c r="EB267">
        <v>3.4006575</v>
      </c>
      <c r="EC267">
        <v>1499.985</v>
      </c>
      <c r="ED267">
        <v>0.972996</v>
      </c>
      <c r="EE267">
        <v>0.0270038</v>
      </c>
      <c r="EF267">
        <v>0</v>
      </c>
      <c r="EG267">
        <v>876.846</v>
      </c>
      <c r="EH267">
        <v>5.00097</v>
      </c>
      <c r="EI267">
        <v>13004.9</v>
      </c>
      <c r="EJ267">
        <v>12491.45</v>
      </c>
      <c r="EK267">
        <v>36.687</v>
      </c>
      <c r="EL267">
        <v>38.062</v>
      </c>
      <c r="EM267">
        <v>37</v>
      </c>
      <c r="EN267">
        <v>37.812</v>
      </c>
      <c r="EO267">
        <v>37.625</v>
      </c>
      <c r="EP267">
        <v>1454.615</v>
      </c>
      <c r="EQ267">
        <v>40.37</v>
      </c>
      <c r="ER267">
        <v>0</v>
      </c>
      <c r="ES267">
        <v>66.60000014305115</v>
      </c>
      <c r="ET267">
        <v>0</v>
      </c>
      <c r="EU267">
        <v>876.4598076923078</v>
      </c>
      <c r="EV267">
        <v>4.923931620379345</v>
      </c>
      <c r="EW267">
        <v>46.58119656518468</v>
      </c>
      <c r="EX267">
        <v>13000.79615384615</v>
      </c>
      <c r="EY267">
        <v>15</v>
      </c>
      <c r="EZ267">
        <v>1651859956</v>
      </c>
      <c r="FA267" t="s">
        <v>937</v>
      </c>
      <c r="FB267">
        <v>1651859956</v>
      </c>
      <c r="FC267">
        <v>1651859627</v>
      </c>
      <c r="FD267">
        <v>6</v>
      </c>
      <c r="FE267">
        <v>-0.077</v>
      </c>
      <c r="FF267">
        <v>0.014</v>
      </c>
      <c r="FG267">
        <v>-0.661</v>
      </c>
      <c r="FH267">
        <v>-0.078</v>
      </c>
      <c r="FI267">
        <v>3</v>
      </c>
      <c r="FJ267">
        <v>10</v>
      </c>
      <c r="FK267">
        <v>0.39</v>
      </c>
      <c r="FL267">
        <v>0.01</v>
      </c>
      <c r="FM267">
        <v>-30.0696</v>
      </c>
      <c r="FN267">
        <v>1.203089895470348</v>
      </c>
      <c r="FO267">
        <v>0.1312584380562851</v>
      </c>
      <c r="FP267">
        <v>-1</v>
      </c>
      <c r="FQ267">
        <v>9.822518048780488</v>
      </c>
      <c r="FR267">
        <v>0.05012926829268574</v>
      </c>
      <c r="FS267">
        <v>0.005256820990337126</v>
      </c>
      <c r="FT267">
        <v>-1</v>
      </c>
      <c r="FU267">
        <v>0</v>
      </c>
      <c r="FV267">
        <v>0</v>
      </c>
      <c r="FW267">
        <v>0</v>
      </c>
      <c r="FX267">
        <v>-1</v>
      </c>
      <c r="FY267">
        <v>0</v>
      </c>
      <c r="FZ267">
        <v>0</v>
      </c>
      <c r="GA267" t="s">
        <v>432</v>
      </c>
      <c r="GB267">
        <v>2.98125</v>
      </c>
      <c r="GC267">
        <v>2.70612</v>
      </c>
      <c r="GD267">
        <v>0.0851871</v>
      </c>
      <c r="GE267">
        <v>0.0892685</v>
      </c>
      <c r="GF267">
        <v>0.0884745</v>
      </c>
      <c r="GG267">
        <v>0.0498318</v>
      </c>
      <c r="GH267">
        <v>28914.5</v>
      </c>
      <c r="GI267">
        <v>28845.6</v>
      </c>
      <c r="GJ267">
        <v>29384.8</v>
      </c>
      <c r="GK267">
        <v>29297.2</v>
      </c>
      <c r="GL267">
        <v>35467.2</v>
      </c>
      <c r="GM267">
        <v>37079.5</v>
      </c>
      <c r="GN267">
        <v>41362.6</v>
      </c>
      <c r="GO267">
        <v>41816</v>
      </c>
      <c r="GP267">
        <v>1.96635</v>
      </c>
      <c r="GQ267">
        <v>1.8462</v>
      </c>
      <c r="GR267">
        <v>-0.00779703</v>
      </c>
      <c r="GS267">
        <v>0</v>
      </c>
      <c r="GT267">
        <v>25.1217</v>
      </c>
      <c r="GU267">
        <v>999.9</v>
      </c>
      <c r="GV267">
        <v>35.4</v>
      </c>
      <c r="GW267">
        <v>34.3</v>
      </c>
      <c r="GX267">
        <v>21.3672</v>
      </c>
      <c r="GY267">
        <v>62.4979</v>
      </c>
      <c r="GZ267">
        <v>35.3766</v>
      </c>
      <c r="HA267">
        <v>1</v>
      </c>
      <c r="HB267">
        <v>0.0514431</v>
      </c>
      <c r="HC267">
        <v>1.49094</v>
      </c>
      <c r="HD267">
        <v>20.3287</v>
      </c>
      <c r="HE267">
        <v>5.22343</v>
      </c>
      <c r="HF267">
        <v>12.0099</v>
      </c>
      <c r="HG267">
        <v>4.9915</v>
      </c>
      <c r="HH267">
        <v>3.29</v>
      </c>
      <c r="HI267">
        <v>903.9</v>
      </c>
      <c r="HJ267">
        <v>8937.200000000001</v>
      </c>
      <c r="HK267">
        <v>5139.4</v>
      </c>
      <c r="HL267">
        <v>23.6</v>
      </c>
      <c r="HM267">
        <v>1.86743</v>
      </c>
      <c r="HN267">
        <v>1.86646</v>
      </c>
      <c r="HO267">
        <v>1.86599</v>
      </c>
      <c r="HP267">
        <v>1.86584</v>
      </c>
      <c r="HQ267">
        <v>1.86768</v>
      </c>
      <c r="HR267">
        <v>1.87016</v>
      </c>
      <c r="HS267">
        <v>1.86888</v>
      </c>
      <c r="HT267">
        <v>1.87022</v>
      </c>
      <c r="HU267">
        <v>0</v>
      </c>
      <c r="HV267">
        <v>0</v>
      </c>
      <c r="HW267">
        <v>0</v>
      </c>
      <c r="HX267">
        <v>0</v>
      </c>
      <c r="HY267" t="s">
        <v>421</v>
      </c>
      <c r="HZ267" t="s">
        <v>422</v>
      </c>
      <c r="IA267" t="s">
        <v>423</v>
      </c>
      <c r="IB267" t="s">
        <v>423</v>
      </c>
      <c r="IC267" t="s">
        <v>423</v>
      </c>
      <c r="ID267" t="s">
        <v>423</v>
      </c>
      <c r="IE267">
        <v>0</v>
      </c>
      <c r="IF267">
        <v>100</v>
      </c>
      <c r="IG267">
        <v>100</v>
      </c>
      <c r="IH267">
        <v>-1.372</v>
      </c>
      <c r="II267">
        <v>0.0214</v>
      </c>
      <c r="IJ267">
        <v>-0.6540367517687078</v>
      </c>
      <c r="IK267">
        <v>-0.002077099775823331</v>
      </c>
      <c r="IL267">
        <v>4.593143279902166E-07</v>
      </c>
      <c r="IM267">
        <v>-1.865383991892071E-10</v>
      </c>
      <c r="IN267">
        <v>-0.0625294926435566</v>
      </c>
      <c r="IO267">
        <v>-0.01129461987421345</v>
      </c>
      <c r="IP267">
        <v>0.00116580895745559</v>
      </c>
      <c r="IQ267">
        <v>-1.679085872906199E-05</v>
      </c>
      <c r="IR267">
        <v>2</v>
      </c>
      <c r="IS267">
        <v>2290</v>
      </c>
      <c r="IT267">
        <v>0</v>
      </c>
      <c r="IU267">
        <v>32</v>
      </c>
      <c r="IV267">
        <v>2.2</v>
      </c>
      <c r="IW267">
        <v>7.7</v>
      </c>
      <c r="IX267">
        <v>1.00098</v>
      </c>
      <c r="IY267">
        <v>2.23633</v>
      </c>
      <c r="IZ267">
        <v>1.39648</v>
      </c>
      <c r="JA267">
        <v>2.3584</v>
      </c>
      <c r="JB267">
        <v>1.49536</v>
      </c>
      <c r="JC267">
        <v>2.36328</v>
      </c>
      <c r="JD267">
        <v>38.2568</v>
      </c>
      <c r="JE267">
        <v>24.0437</v>
      </c>
      <c r="JF267">
        <v>18</v>
      </c>
      <c r="JG267">
        <v>512.8440000000001</v>
      </c>
      <c r="JH267">
        <v>422.064</v>
      </c>
      <c r="JI267">
        <v>23.1983</v>
      </c>
      <c r="JJ267">
        <v>27.9893</v>
      </c>
      <c r="JK267">
        <v>30.0001</v>
      </c>
      <c r="JL267">
        <v>28.0097</v>
      </c>
      <c r="JM267">
        <v>27.9532</v>
      </c>
      <c r="JN267">
        <v>20.0395</v>
      </c>
      <c r="JO267">
        <v>54.3214</v>
      </c>
      <c r="JP267">
        <v>0</v>
      </c>
      <c r="JQ267">
        <v>23.2022</v>
      </c>
      <c r="JR267">
        <v>400</v>
      </c>
      <c r="JS267">
        <v>8.71791</v>
      </c>
      <c r="JT267">
        <v>100.446</v>
      </c>
      <c r="JU267">
        <v>100.362</v>
      </c>
    </row>
    <row r="268" spans="1:281">
      <c r="A268">
        <v>252</v>
      </c>
      <c r="B268">
        <v>1651860154.6</v>
      </c>
      <c r="C268">
        <v>3154</v>
      </c>
      <c r="D268" t="s">
        <v>943</v>
      </c>
      <c r="E268" t="s">
        <v>944</v>
      </c>
      <c r="F268">
        <v>2</v>
      </c>
      <c r="G268" t="s">
        <v>915</v>
      </c>
      <c r="H268" t="s">
        <v>414</v>
      </c>
      <c r="I268">
        <v>1651860153.35</v>
      </c>
      <c r="J268">
        <f>(K268)/1000</f>
        <v>0</v>
      </c>
      <c r="K268">
        <f>IF(CZ268, AN268, AH268)</f>
        <v>0</v>
      </c>
      <c r="L268">
        <f>IF(CZ268, AI268, AG268)</f>
        <v>0</v>
      </c>
      <c r="M268">
        <f>DB268 - IF(AU268&gt;1, L268*CV268*100.0/(AW268*DP268), 0)</f>
        <v>0</v>
      </c>
      <c r="N268">
        <f>((T268-J268/2)*M268-L268)/(T268+J268/2)</f>
        <v>0</v>
      </c>
      <c r="O268">
        <f>N268*(DI268+DJ268)/1000.0</f>
        <v>0</v>
      </c>
      <c r="P268">
        <f>(DB268 - IF(AU268&gt;1, L268*CV268*100.0/(AW268*DP268), 0))*(DI268+DJ268)/1000.0</f>
        <v>0</v>
      </c>
      <c r="Q268">
        <f>2.0/((1/S268-1/R268)+SIGN(S268)*SQRT((1/S268-1/R268)*(1/S268-1/R268) + 4*CW268/((CW268+1)*(CW268+1))*(2*1/S268*1/R268-1/R268*1/R268)))</f>
        <v>0</v>
      </c>
      <c r="R268">
        <f>IF(LEFT(CX268,1)&lt;&gt;"0",IF(LEFT(CX268,1)="1",3.0,CY268),$D$5+$E$5*(DP268*DI268/($K$5*1000))+$F$5*(DP268*DI268/($K$5*1000))*MAX(MIN(CV268,$J$5),$I$5)*MAX(MIN(CV268,$J$5),$I$5)+$G$5*MAX(MIN(CV268,$J$5),$I$5)*(DP268*DI268/($K$5*1000))+$H$5*(DP268*DI268/($K$5*1000))*(DP268*DI268/($K$5*1000)))</f>
        <v>0</v>
      </c>
      <c r="S268">
        <f>J268*(1000-(1000*0.61365*exp(17.502*W268/(240.97+W268))/(DI268+DJ268)+DD268)/2)/(1000*0.61365*exp(17.502*W268/(240.97+W268))/(DI268+DJ268)-DD268)</f>
        <v>0</v>
      </c>
      <c r="T268">
        <f>1/((CW268+1)/(Q268/1.6)+1/(R268/1.37)) + CW268/((CW268+1)/(Q268/1.6) + CW268/(R268/1.37))</f>
        <v>0</v>
      </c>
      <c r="U268">
        <f>(CR268*CU268)</f>
        <v>0</v>
      </c>
      <c r="V268">
        <f>(DK268+(U268+2*0.95*5.67E-8*(((DK268+$B$7)+273)^4-(DK268+273)^4)-44100*J268)/(1.84*29.3*R268+8*0.95*5.67E-8*(DK268+273)^3))</f>
        <v>0</v>
      </c>
      <c r="W268">
        <f>($C$7*DL268+$D$7*DM268+$E$7*V268)</f>
        <v>0</v>
      </c>
      <c r="X268">
        <f>0.61365*exp(17.502*W268/(240.97+W268))</f>
        <v>0</v>
      </c>
      <c r="Y268">
        <f>(Z268/AA268*100)</f>
        <v>0</v>
      </c>
      <c r="Z268">
        <f>DD268*(DI268+DJ268)/1000</f>
        <v>0</v>
      </c>
      <c r="AA268">
        <f>0.61365*exp(17.502*DK268/(240.97+DK268))</f>
        <v>0</v>
      </c>
      <c r="AB268">
        <f>(X268-DD268*(DI268+DJ268)/1000)</f>
        <v>0</v>
      </c>
      <c r="AC268">
        <f>(-J268*44100)</f>
        <v>0</v>
      </c>
      <c r="AD268">
        <f>2*29.3*R268*0.92*(DK268-W268)</f>
        <v>0</v>
      </c>
      <c r="AE268">
        <f>2*0.95*5.67E-8*(((DK268+$B$7)+273)^4-(W268+273)^4)</f>
        <v>0</v>
      </c>
      <c r="AF268">
        <f>U268+AE268+AC268+AD268</f>
        <v>0</v>
      </c>
      <c r="AG268">
        <f>DH268*AU268*(DC268-DB268*(1000-AU268*DE268)/(1000-AU268*DD268))/(100*CV268)</f>
        <v>0</v>
      </c>
      <c r="AH268">
        <f>1000*DH268*AU268*(DD268-DE268)/(100*CV268*(1000-AU268*DD268))</f>
        <v>0</v>
      </c>
      <c r="AI268">
        <f>(AJ268 - AK268 - DI268*1E3/(8.314*(DK268+273.15)) * AM268/DH268 * AL268) * DH268/(100*CV268) * (1000 - DE268)/1000</f>
        <v>0</v>
      </c>
      <c r="AJ268">
        <v>605.324093941391</v>
      </c>
      <c r="AK268">
        <v>573.9597575757574</v>
      </c>
      <c r="AL268">
        <v>0.0704527927840865</v>
      </c>
      <c r="AM268">
        <v>66.38454608033999</v>
      </c>
      <c r="AN268">
        <f>(AP268 - AO268 + DI268*1E3/(8.314*(DK268+273.15)) * AR268/DH268 * AQ268) * DH268/(100*CV268) * 1000/(1000 - AP268)</f>
        <v>0</v>
      </c>
      <c r="AO268">
        <v>8.67692546317349</v>
      </c>
      <c r="AP268">
        <v>18.4752487895741</v>
      </c>
      <c r="AQ268">
        <v>-6.21963209659351E-05</v>
      </c>
      <c r="AR268">
        <v>80.44147654147203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MAX(0,($B$13+$C$13*DP268)/(1+$D$13*DP268)*DI268/(DK268+273)*$E$13)</f>
        <v>0</v>
      </c>
      <c r="AX268" t="s">
        <v>415</v>
      </c>
      <c r="AY268">
        <v>10510</v>
      </c>
      <c r="AZ268">
        <v>590.42</v>
      </c>
      <c r="BA268">
        <v>2650.6</v>
      </c>
      <c r="BB268">
        <f>1-AZ268/BA268</f>
        <v>0</v>
      </c>
      <c r="BC268">
        <v>-1.816883183993991</v>
      </c>
      <c r="BD268" t="s">
        <v>945</v>
      </c>
      <c r="BE268">
        <v>10444.3</v>
      </c>
      <c r="BF268">
        <v>891.21308</v>
      </c>
      <c r="BG268">
        <v>1157.4</v>
      </c>
      <c r="BH268">
        <f>1-BF268/BG268</f>
        <v>0</v>
      </c>
      <c r="BI268">
        <v>0.5</v>
      </c>
      <c r="BJ268">
        <f>CS268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417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1245</v>
      </c>
      <c r="CA268">
        <v>300</v>
      </c>
      <c r="CB268">
        <v>300</v>
      </c>
      <c r="CC268">
        <v>300</v>
      </c>
      <c r="CD268">
        <v>10444.3</v>
      </c>
      <c r="CE268">
        <v>1108.87</v>
      </c>
      <c r="CF268">
        <v>-0.00735388</v>
      </c>
      <c r="CG268">
        <v>-1.01</v>
      </c>
      <c r="CH268" t="s">
        <v>417</v>
      </c>
      <c r="CI268" t="s">
        <v>417</v>
      </c>
      <c r="CJ268" t="s">
        <v>417</v>
      </c>
      <c r="CK268" t="s">
        <v>417</v>
      </c>
      <c r="CL268" t="s">
        <v>417</v>
      </c>
      <c r="CM268" t="s">
        <v>417</v>
      </c>
      <c r="CN268" t="s">
        <v>417</v>
      </c>
      <c r="CO268" t="s">
        <v>417</v>
      </c>
      <c r="CP268" t="s">
        <v>417</v>
      </c>
      <c r="CQ268" t="s">
        <v>417</v>
      </c>
      <c r="CR268">
        <f>$B$11*DQ268+$C$11*DR268+$F$11*EC268*(1-EF268)</f>
        <v>0</v>
      </c>
      <c r="CS268">
        <f>CR268*CT268</f>
        <v>0</v>
      </c>
      <c r="CT268">
        <f>($B$11*$D$9+$C$11*$D$9+$F$11*((EP268+EH268)/MAX(EP268+EH268+EQ268, 0.1)*$I$9+EQ268/MAX(EP268+EH268+EQ268, 0.1)*$J$9))/($B$11+$C$11+$F$11)</f>
        <v>0</v>
      </c>
      <c r="CU268">
        <f>($B$11*$K$9+$C$11*$K$9+$F$11*((EP268+EH268)/MAX(EP268+EH268+EQ268, 0.1)*$P$9+EQ268/MAX(EP268+EH268+EQ268, 0.1)*$Q$9))/($B$11+$C$11+$F$11)</f>
        <v>0</v>
      </c>
      <c r="CV268">
        <v>6</v>
      </c>
      <c r="CW268">
        <v>0.5</v>
      </c>
      <c r="CX268" t="s">
        <v>418</v>
      </c>
      <c r="CY268">
        <v>2</v>
      </c>
      <c r="CZ268" t="b">
        <v>1</v>
      </c>
      <c r="DA268">
        <v>1651860153.35</v>
      </c>
      <c r="DB268">
        <v>563.3100000000001</v>
      </c>
      <c r="DC268">
        <v>600.0387500000001</v>
      </c>
      <c r="DD268">
        <v>18.475075</v>
      </c>
      <c r="DE268">
        <v>8.676655</v>
      </c>
      <c r="DF268">
        <v>565.0245</v>
      </c>
      <c r="DG268">
        <v>18.454525</v>
      </c>
      <c r="DH268">
        <v>500.03175</v>
      </c>
      <c r="DI268">
        <v>90.001075</v>
      </c>
      <c r="DJ268">
        <v>0.09996075000000001</v>
      </c>
      <c r="DK268">
        <v>25.800675</v>
      </c>
      <c r="DL268">
        <v>25.003025</v>
      </c>
      <c r="DM268">
        <v>999.9</v>
      </c>
      <c r="DN268">
        <v>0</v>
      </c>
      <c r="DO268">
        <v>0</v>
      </c>
      <c r="DP268">
        <v>10001.2625</v>
      </c>
      <c r="DQ268">
        <v>0</v>
      </c>
      <c r="DR268">
        <v>3.20383</v>
      </c>
      <c r="DS268">
        <v>-36.72885</v>
      </c>
      <c r="DT268">
        <v>573.91275</v>
      </c>
      <c r="DU268">
        <v>605.2907499999999</v>
      </c>
      <c r="DV268">
        <v>9.798410000000001</v>
      </c>
      <c r="DW268">
        <v>600.0387500000001</v>
      </c>
      <c r="DX268">
        <v>8.676655</v>
      </c>
      <c r="DY268">
        <v>1.6627775</v>
      </c>
      <c r="DZ268">
        <v>0.7809085</v>
      </c>
      <c r="EA268">
        <v>14.5532</v>
      </c>
      <c r="EB268">
        <v>3.364915</v>
      </c>
      <c r="EC268">
        <v>1499.8425</v>
      </c>
      <c r="ED268">
        <v>0.97299225</v>
      </c>
      <c r="EE268">
        <v>0.02700785</v>
      </c>
      <c r="EF268">
        <v>0</v>
      </c>
      <c r="EG268">
        <v>891.472</v>
      </c>
      <c r="EH268">
        <v>5.00097</v>
      </c>
      <c r="EI268">
        <v>13220.65</v>
      </c>
      <c r="EJ268">
        <v>12490.25</v>
      </c>
      <c r="EK268">
        <v>36.625</v>
      </c>
      <c r="EL268">
        <v>38.062</v>
      </c>
      <c r="EM268">
        <v>37</v>
      </c>
      <c r="EN268">
        <v>37.781</v>
      </c>
      <c r="EO268">
        <v>37.562</v>
      </c>
      <c r="EP268">
        <v>1454.4725</v>
      </c>
      <c r="EQ268">
        <v>40.37</v>
      </c>
      <c r="ER268">
        <v>0</v>
      </c>
      <c r="ES268">
        <v>132</v>
      </c>
      <c r="ET268">
        <v>0</v>
      </c>
      <c r="EU268">
        <v>891.21308</v>
      </c>
      <c r="EV268">
        <v>4.99092308484527</v>
      </c>
      <c r="EW268">
        <v>53.57692302857564</v>
      </c>
      <c r="EX268">
        <v>13218.056</v>
      </c>
      <c r="EY268">
        <v>15</v>
      </c>
      <c r="EZ268">
        <v>1651859956</v>
      </c>
      <c r="FA268" t="s">
        <v>937</v>
      </c>
      <c r="FB268">
        <v>1651859956</v>
      </c>
      <c r="FC268">
        <v>1651859627</v>
      </c>
      <c r="FD268">
        <v>6</v>
      </c>
      <c r="FE268">
        <v>-0.077</v>
      </c>
      <c r="FF268">
        <v>0.014</v>
      </c>
      <c r="FG268">
        <v>-0.661</v>
      </c>
      <c r="FH268">
        <v>-0.078</v>
      </c>
      <c r="FI268">
        <v>3</v>
      </c>
      <c r="FJ268">
        <v>10</v>
      </c>
      <c r="FK268">
        <v>0.39</v>
      </c>
      <c r="FL268">
        <v>0.01</v>
      </c>
      <c r="FM268">
        <v>-37.61741707317073</v>
      </c>
      <c r="FN268">
        <v>6.096317005660309</v>
      </c>
      <c r="FO268">
        <v>0.5910459409746871</v>
      </c>
      <c r="FP268">
        <v>-1</v>
      </c>
      <c r="FQ268">
        <v>9.81021</v>
      </c>
      <c r="FR268">
        <v>-0.09074018684277964</v>
      </c>
      <c r="FS268">
        <v>0.008809923451399129</v>
      </c>
      <c r="FT268">
        <v>-1</v>
      </c>
      <c r="FU268">
        <v>0</v>
      </c>
      <c r="FV268">
        <v>0</v>
      </c>
      <c r="FW268">
        <v>0</v>
      </c>
      <c r="FX268">
        <v>-1</v>
      </c>
      <c r="FY268">
        <v>0</v>
      </c>
      <c r="FZ268">
        <v>0</v>
      </c>
      <c r="GA268" t="s">
        <v>432</v>
      </c>
      <c r="GB268">
        <v>2.98142</v>
      </c>
      <c r="GC268">
        <v>2.70615</v>
      </c>
      <c r="GD268">
        <v>0.116429</v>
      </c>
      <c r="GE268">
        <v>0.120182</v>
      </c>
      <c r="GF268">
        <v>0.08828850000000001</v>
      </c>
      <c r="GG268">
        <v>0.0497316</v>
      </c>
      <c r="GH268">
        <v>27929</v>
      </c>
      <c r="GI268">
        <v>27867.7</v>
      </c>
      <c r="GJ268">
        <v>29386.7</v>
      </c>
      <c r="GK268">
        <v>29298.6</v>
      </c>
      <c r="GL268">
        <v>35477.2</v>
      </c>
      <c r="GM268">
        <v>37085.6</v>
      </c>
      <c r="GN268">
        <v>41365.1</v>
      </c>
      <c r="GO268">
        <v>41817.8</v>
      </c>
      <c r="GP268">
        <v>1.9667</v>
      </c>
      <c r="GQ268">
        <v>1.8468</v>
      </c>
      <c r="GR268">
        <v>-0.00762194</v>
      </c>
      <c r="GS268">
        <v>0</v>
      </c>
      <c r="GT268">
        <v>25.1247</v>
      </c>
      <c r="GU268">
        <v>999.9</v>
      </c>
      <c r="GV268">
        <v>35.3</v>
      </c>
      <c r="GW268">
        <v>34.3</v>
      </c>
      <c r="GX268">
        <v>21.3095</v>
      </c>
      <c r="GY268">
        <v>62.5624</v>
      </c>
      <c r="GZ268">
        <v>35.8213</v>
      </c>
      <c r="HA268">
        <v>1</v>
      </c>
      <c r="HB268">
        <v>0.0494512</v>
      </c>
      <c r="HC268">
        <v>1.49475</v>
      </c>
      <c r="HD268">
        <v>20.3284</v>
      </c>
      <c r="HE268">
        <v>5.22583</v>
      </c>
      <c r="HF268">
        <v>12.0099</v>
      </c>
      <c r="HG268">
        <v>4.9915</v>
      </c>
      <c r="HH268">
        <v>3.29</v>
      </c>
      <c r="HI268">
        <v>905.4</v>
      </c>
      <c r="HJ268">
        <v>8951.200000000001</v>
      </c>
      <c r="HK268">
        <v>5139.4</v>
      </c>
      <c r="HL268">
        <v>23.6</v>
      </c>
      <c r="HM268">
        <v>1.86744</v>
      </c>
      <c r="HN268">
        <v>1.86646</v>
      </c>
      <c r="HO268">
        <v>1.866</v>
      </c>
      <c r="HP268">
        <v>1.86584</v>
      </c>
      <c r="HQ268">
        <v>1.86768</v>
      </c>
      <c r="HR268">
        <v>1.87019</v>
      </c>
      <c r="HS268">
        <v>1.86888</v>
      </c>
      <c r="HT268">
        <v>1.87026</v>
      </c>
      <c r="HU268">
        <v>0</v>
      </c>
      <c r="HV268">
        <v>0</v>
      </c>
      <c r="HW268">
        <v>0</v>
      </c>
      <c r="HX268">
        <v>0</v>
      </c>
      <c r="HY268" t="s">
        <v>421</v>
      </c>
      <c r="HZ268" t="s">
        <v>422</v>
      </c>
      <c r="IA268" t="s">
        <v>423</v>
      </c>
      <c r="IB268" t="s">
        <v>423</v>
      </c>
      <c r="IC268" t="s">
        <v>423</v>
      </c>
      <c r="ID268" t="s">
        <v>423</v>
      </c>
      <c r="IE268">
        <v>0</v>
      </c>
      <c r="IF268">
        <v>100</v>
      </c>
      <c r="IG268">
        <v>100</v>
      </c>
      <c r="IH268">
        <v>-1.715</v>
      </c>
      <c r="II268">
        <v>0.0206</v>
      </c>
      <c r="IJ268">
        <v>-0.6540367517687078</v>
      </c>
      <c r="IK268">
        <v>-0.002077099775823331</v>
      </c>
      <c r="IL268">
        <v>4.593143279902166E-07</v>
      </c>
      <c r="IM268">
        <v>-1.865383991892071E-10</v>
      </c>
      <c r="IN268">
        <v>-0.0625294926435566</v>
      </c>
      <c r="IO268">
        <v>-0.01129461987421345</v>
      </c>
      <c r="IP268">
        <v>0.00116580895745559</v>
      </c>
      <c r="IQ268">
        <v>-1.679085872906199E-05</v>
      </c>
      <c r="IR268">
        <v>2</v>
      </c>
      <c r="IS268">
        <v>2290</v>
      </c>
      <c r="IT268">
        <v>0</v>
      </c>
      <c r="IU268">
        <v>32</v>
      </c>
      <c r="IV268">
        <v>3.3</v>
      </c>
      <c r="IW268">
        <v>8.800000000000001</v>
      </c>
      <c r="IX268">
        <v>1.37939</v>
      </c>
      <c r="IY268">
        <v>2.24609</v>
      </c>
      <c r="IZ268">
        <v>1.39648</v>
      </c>
      <c r="JA268">
        <v>2.35718</v>
      </c>
      <c r="JB268">
        <v>1.49536</v>
      </c>
      <c r="JC268">
        <v>2.33398</v>
      </c>
      <c r="JD268">
        <v>38.2568</v>
      </c>
      <c r="JE268">
        <v>24.0437</v>
      </c>
      <c r="JF268">
        <v>18</v>
      </c>
      <c r="JG268">
        <v>512.8390000000001</v>
      </c>
      <c r="JH268">
        <v>422.222</v>
      </c>
      <c r="JI268">
        <v>23.1877</v>
      </c>
      <c r="JJ268">
        <v>27.9655</v>
      </c>
      <c r="JK268">
        <v>29.9998</v>
      </c>
      <c r="JL268">
        <v>27.9826</v>
      </c>
      <c r="JM268">
        <v>27.9262</v>
      </c>
      <c r="JN268">
        <v>27.6055</v>
      </c>
      <c r="JO268">
        <v>54.3214</v>
      </c>
      <c r="JP268">
        <v>0</v>
      </c>
      <c r="JQ268">
        <v>23.1841</v>
      </c>
      <c r="JR268">
        <v>600</v>
      </c>
      <c r="JS268">
        <v>8.74919</v>
      </c>
      <c r="JT268">
        <v>100.453</v>
      </c>
      <c r="JU268">
        <v>100.366</v>
      </c>
    </row>
    <row r="269" spans="1:281">
      <c r="A269">
        <v>253</v>
      </c>
      <c r="B269">
        <v>1651860221.6</v>
      </c>
      <c r="C269">
        <v>3221</v>
      </c>
      <c r="D269" t="s">
        <v>946</v>
      </c>
      <c r="E269" t="s">
        <v>947</v>
      </c>
      <c r="F269">
        <v>2</v>
      </c>
      <c r="G269" t="s">
        <v>915</v>
      </c>
      <c r="H269" t="s">
        <v>414</v>
      </c>
      <c r="I269">
        <v>1651860220.35</v>
      </c>
      <c r="J269">
        <f>(K269)/1000</f>
        <v>0</v>
      </c>
      <c r="K269">
        <f>IF(CZ269, AN269, AH269)</f>
        <v>0</v>
      </c>
      <c r="L269">
        <f>IF(CZ269, AI269, AG269)</f>
        <v>0</v>
      </c>
      <c r="M269">
        <f>DB269 - IF(AU269&gt;1, L269*CV269*100.0/(AW269*DP269), 0)</f>
        <v>0</v>
      </c>
      <c r="N269">
        <f>((T269-J269/2)*M269-L269)/(T269+J269/2)</f>
        <v>0</v>
      </c>
      <c r="O269">
        <f>N269*(DI269+DJ269)/1000.0</f>
        <v>0</v>
      </c>
      <c r="P269">
        <f>(DB269 - IF(AU269&gt;1, L269*CV269*100.0/(AW269*DP269), 0))*(DI269+DJ269)/1000.0</f>
        <v>0</v>
      </c>
      <c r="Q269">
        <f>2.0/((1/S269-1/R269)+SIGN(S269)*SQRT((1/S269-1/R269)*(1/S269-1/R269) + 4*CW269/((CW269+1)*(CW269+1))*(2*1/S269*1/R269-1/R269*1/R269)))</f>
        <v>0</v>
      </c>
      <c r="R269">
        <f>IF(LEFT(CX269,1)&lt;&gt;"0",IF(LEFT(CX269,1)="1",3.0,CY269),$D$5+$E$5*(DP269*DI269/($K$5*1000))+$F$5*(DP269*DI269/($K$5*1000))*MAX(MIN(CV269,$J$5),$I$5)*MAX(MIN(CV269,$J$5),$I$5)+$G$5*MAX(MIN(CV269,$J$5),$I$5)*(DP269*DI269/($K$5*1000))+$H$5*(DP269*DI269/($K$5*1000))*(DP269*DI269/($K$5*1000)))</f>
        <v>0</v>
      </c>
      <c r="S269">
        <f>J269*(1000-(1000*0.61365*exp(17.502*W269/(240.97+W269))/(DI269+DJ269)+DD269)/2)/(1000*0.61365*exp(17.502*W269/(240.97+W269))/(DI269+DJ269)-DD269)</f>
        <v>0</v>
      </c>
      <c r="T269">
        <f>1/((CW269+1)/(Q269/1.6)+1/(R269/1.37)) + CW269/((CW269+1)/(Q269/1.6) + CW269/(R269/1.37))</f>
        <v>0</v>
      </c>
      <c r="U269">
        <f>(CR269*CU269)</f>
        <v>0</v>
      </c>
      <c r="V269">
        <f>(DK269+(U269+2*0.95*5.67E-8*(((DK269+$B$7)+273)^4-(DK269+273)^4)-44100*J269)/(1.84*29.3*R269+8*0.95*5.67E-8*(DK269+273)^3))</f>
        <v>0</v>
      </c>
      <c r="W269">
        <f>($C$7*DL269+$D$7*DM269+$E$7*V269)</f>
        <v>0</v>
      </c>
      <c r="X269">
        <f>0.61365*exp(17.502*W269/(240.97+W269))</f>
        <v>0</v>
      </c>
      <c r="Y269">
        <f>(Z269/AA269*100)</f>
        <v>0</v>
      </c>
      <c r="Z269">
        <f>DD269*(DI269+DJ269)/1000</f>
        <v>0</v>
      </c>
      <c r="AA269">
        <f>0.61365*exp(17.502*DK269/(240.97+DK269))</f>
        <v>0</v>
      </c>
      <c r="AB269">
        <f>(X269-DD269*(DI269+DJ269)/1000)</f>
        <v>0</v>
      </c>
      <c r="AC269">
        <f>(-J269*44100)</f>
        <v>0</v>
      </c>
      <c r="AD269">
        <f>2*29.3*R269*0.92*(DK269-W269)</f>
        <v>0</v>
      </c>
      <c r="AE269">
        <f>2*0.95*5.67E-8*(((DK269+$B$7)+273)^4-(W269+273)^4)</f>
        <v>0</v>
      </c>
      <c r="AF269">
        <f>U269+AE269+AC269+AD269</f>
        <v>0</v>
      </c>
      <c r="AG269">
        <f>DH269*AU269*(DC269-DB269*(1000-AU269*DE269)/(1000-AU269*DD269))/(100*CV269)</f>
        <v>0</v>
      </c>
      <c r="AH269">
        <f>1000*DH269*AU269*(DD269-DE269)/(100*CV269*(1000-AU269*DD269))</f>
        <v>0</v>
      </c>
      <c r="AI269">
        <f>(AJ269 - AK269 - DI269*1E3/(8.314*(DK269+273.15)) * AM269/DH269 * AL269) * DH269/(100*CV269) * (1000 - DE269)/1000</f>
        <v>0</v>
      </c>
      <c r="AJ269">
        <v>807.2408039457528</v>
      </c>
      <c r="AK269">
        <v>775.8045030303032</v>
      </c>
      <c r="AL269">
        <v>0.05196084643144292</v>
      </c>
      <c r="AM269">
        <v>66.38454608033999</v>
      </c>
      <c r="AN269">
        <f>(AP269 - AO269 + DI269*1E3/(8.314*(DK269+273.15)) * AR269/DH269 * AQ269) * DH269/(100*CV269) * 1000/(1000 - AP269)</f>
        <v>0</v>
      </c>
      <c r="AO269">
        <v>8.958534178140955</v>
      </c>
      <c r="AP269">
        <v>18.33216558823529</v>
      </c>
      <c r="AQ269">
        <v>-0.0004525284408748147</v>
      </c>
      <c r="AR269">
        <v>80.44147654147203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MAX(0,($B$13+$C$13*DP269)/(1+$D$13*DP269)*DI269/(DK269+273)*$E$13)</f>
        <v>0</v>
      </c>
      <c r="AX269" t="s">
        <v>417</v>
      </c>
      <c r="AY269" t="s">
        <v>417</v>
      </c>
      <c r="AZ269">
        <v>0</v>
      </c>
      <c r="BA269">
        <v>0</v>
      </c>
      <c r="BB269">
        <f>1-AZ269/BA269</f>
        <v>0</v>
      </c>
      <c r="BC269">
        <v>0</v>
      </c>
      <c r="BD269" t="s">
        <v>417</v>
      </c>
      <c r="BE269" t="s">
        <v>417</v>
      </c>
      <c r="BF269">
        <v>0</v>
      </c>
      <c r="BG269">
        <v>0</v>
      </c>
      <c r="BH269">
        <f>1-BF269/BG269</f>
        <v>0</v>
      </c>
      <c r="BI269">
        <v>0.5</v>
      </c>
      <c r="BJ269">
        <f>CS269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417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1245</v>
      </c>
      <c r="CA269">
        <v>300</v>
      </c>
      <c r="CB269">
        <v>300</v>
      </c>
      <c r="CC269">
        <v>300</v>
      </c>
      <c r="CD269">
        <v>10444.3</v>
      </c>
      <c r="CE269">
        <v>1108.87</v>
      </c>
      <c r="CF269">
        <v>-0.00735388</v>
      </c>
      <c r="CG269">
        <v>-1.01</v>
      </c>
      <c r="CH269" t="s">
        <v>417</v>
      </c>
      <c r="CI269" t="s">
        <v>417</v>
      </c>
      <c r="CJ269" t="s">
        <v>417</v>
      </c>
      <c r="CK269" t="s">
        <v>417</v>
      </c>
      <c r="CL269" t="s">
        <v>417</v>
      </c>
      <c r="CM269" t="s">
        <v>417</v>
      </c>
      <c r="CN269" t="s">
        <v>417</v>
      </c>
      <c r="CO269" t="s">
        <v>417</v>
      </c>
      <c r="CP269" t="s">
        <v>417</v>
      </c>
      <c r="CQ269" t="s">
        <v>417</v>
      </c>
      <c r="CR269">
        <f>$B$11*DQ269+$C$11*DR269+$F$11*EC269*(1-EF269)</f>
        <v>0</v>
      </c>
      <c r="CS269">
        <f>CR269*CT269</f>
        <v>0</v>
      </c>
      <c r="CT269">
        <f>($B$11*$D$9+$C$11*$D$9+$F$11*((EP269+EH269)/MAX(EP269+EH269+EQ269, 0.1)*$I$9+EQ269/MAX(EP269+EH269+EQ269, 0.1)*$J$9))/($B$11+$C$11+$F$11)</f>
        <v>0</v>
      </c>
      <c r="CU269">
        <f>($B$11*$K$9+$C$11*$K$9+$F$11*((EP269+EH269)/MAX(EP269+EH269+EQ269, 0.1)*$P$9+EQ269/MAX(EP269+EH269+EQ269, 0.1)*$Q$9))/($B$11+$C$11+$F$11)</f>
        <v>0</v>
      </c>
      <c r="CV269">
        <v>6</v>
      </c>
      <c r="CW269">
        <v>0.5</v>
      </c>
      <c r="CX269" t="s">
        <v>418</v>
      </c>
      <c r="CY269">
        <v>2</v>
      </c>
      <c r="CZ269" t="b">
        <v>1</v>
      </c>
      <c r="DA269">
        <v>1651860220.35</v>
      </c>
      <c r="DB269">
        <v>761.54075</v>
      </c>
      <c r="DC269">
        <v>799.99125</v>
      </c>
      <c r="DD269">
        <v>18.333925</v>
      </c>
      <c r="DE269">
        <v>9.0170075</v>
      </c>
      <c r="DF269">
        <v>763.5964999999999</v>
      </c>
      <c r="DG269">
        <v>18.315425</v>
      </c>
      <c r="DH269">
        <v>500.01</v>
      </c>
      <c r="DI269">
        <v>89.999225</v>
      </c>
      <c r="DJ269">
        <v>0.10005075</v>
      </c>
      <c r="DK269">
        <v>25.81635</v>
      </c>
      <c r="DL269">
        <v>25.0163</v>
      </c>
      <c r="DM269">
        <v>999.9</v>
      </c>
      <c r="DN269">
        <v>0</v>
      </c>
      <c r="DO269">
        <v>0</v>
      </c>
      <c r="DP269">
        <v>9996.092500000001</v>
      </c>
      <c r="DQ269">
        <v>0</v>
      </c>
      <c r="DR269">
        <v>3.26004</v>
      </c>
      <c r="DS269">
        <v>-38.450375</v>
      </c>
      <c r="DT269">
        <v>775.76375</v>
      </c>
      <c r="DU269">
        <v>807.2705</v>
      </c>
      <c r="DV269">
        <v>9.316917500000001</v>
      </c>
      <c r="DW269">
        <v>799.99125</v>
      </c>
      <c r="DX269">
        <v>9.0170075</v>
      </c>
      <c r="DY269">
        <v>1.650035</v>
      </c>
      <c r="DZ269">
        <v>0.8115235000000001</v>
      </c>
      <c r="EA269">
        <v>14.434225</v>
      </c>
      <c r="EB269">
        <v>3.91047</v>
      </c>
      <c r="EC269">
        <v>1499.8725</v>
      </c>
      <c r="ED269">
        <v>0.9729935</v>
      </c>
      <c r="EE269">
        <v>0.0270065</v>
      </c>
      <c r="EF269">
        <v>0</v>
      </c>
      <c r="EG269">
        <v>887.5990000000002</v>
      </c>
      <c r="EH269">
        <v>5.00097</v>
      </c>
      <c r="EI269">
        <v>13166.95</v>
      </c>
      <c r="EJ269">
        <v>12490.525</v>
      </c>
      <c r="EK269">
        <v>36.687</v>
      </c>
      <c r="EL269">
        <v>38.031</v>
      </c>
      <c r="EM269">
        <v>37</v>
      </c>
      <c r="EN269">
        <v>37.75</v>
      </c>
      <c r="EO269">
        <v>37.625</v>
      </c>
      <c r="EP269">
        <v>1454.5025</v>
      </c>
      <c r="EQ269">
        <v>40.37</v>
      </c>
      <c r="ER269">
        <v>0</v>
      </c>
      <c r="ES269">
        <v>66.39999985694885</v>
      </c>
      <c r="ET269">
        <v>0</v>
      </c>
      <c r="EU269">
        <v>889.0664</v>
      </c>
      <c r="EV269">
        <v>-12.72923079551267</v>
      </c>
      <c r="EW269">
        <v>-187.2538464407042</v>
      </c>
      <c r="EX269">
        <v>13188.512</v>
      </c>
      <c r="EY269">
        <v>15</v>
      </c>
      <c r="EZ269">
        <v>1651859956</v>
      </c>
      <c r="FA269" t="s">
        <v>937</v>
      </c>
      <c r="FB269">
        <v>1651859956</v>
      </c>
      <c r="FC269">
        <v>1651859627</v>
      </c>
      <c r="FD269">
        <v>6</v>
      </c>
      <c r="FE269">
        <v>-0.077</v>
      </c>
      <c r="FF269">
        <v>0.014</v>
      </c>
      <c r="FG269">
        <v>-0.661</v>
      </c>
      <c r="FH269">
        <v>-0.078</v>
      </c>
      <c r="FI269">
        <v>3</v>
      </c>
      <c r="FJ269">
        <v>10</v>
      </c>
      <c r="FK269">
        <v>0.39</v>
      </c>
      <c r="FL269">
        <v>0.01</v>
      </c>
      <c r="FM269">
        <v>-39.10066500000001</v>
      </c>
      <c r="FN269">
        <v>5.047380112570423</v>
      </c>
      <c r="FO269">
        <v>0.4908444150390228</v>
      </c>
      <c r="FP269">
        <v>-1</v>
      </c>
      <c r="FQ269">
        <v>9.4367695</v>
      </c>
      <c r="FR269">
        <v>-0.6540720450281418</v>
      </c>
      <c r="FS269">
        <v>0.06472744456372441</v>
      </c>
      <c r="FT269">
        <v>-1</v>
      </c>
      <c r="FU269">
        <v>0</v>
      </c>
      <c r="FV269">
        <v>0</v>
      </c>
      <c r="FW269">
        <v>0</v>
      </c>
      <c r="FX269">
        <v>-1</v>
      </c>
      <c r="FY269">
        <v>0</v>
      </c>
      <c r="FZ269">
        <v>0</v>
      </c>
      <c r="GA269" t="s">
        <v>432</v>
      </c>
      <c r="GB269">
        <v>2.98146</v>
      </c>
      <c r="GC269">
        <v>2.70629</v>
      </c>
      <c r="GD269">
        <v>0.143372</v>
      </c>
      <c r="GE269">
        <v>0.146334</v>
      </c>
      <c r="GF269">
        <v>0.0878085</v>
      </c>
      <c r="GG269">
        <v>0.0513651</v>
      </c>
      <c r="GH269">
        <v>27076.9</v>
      </c>
      <c r="GI269">
        <v>27039.9</v>
      </c>
      <c r="GJ269">
        <v>29386.2</v>
      </c>
      <c r="GK269">
        <v>29299.1</v>
      </c>
      <c r="GL269">
        <v>35495.7</v>
      </c>
      <c r="GM269">
        <v>37023</v>
      </c>
      <c r="GN269">
        <v>41364.1</v>
      </c>
      <c r="GO269">
        <v>41818.6</v>
      </c>
      <c r="GP269">
        <v>1.96653</v>
      </c>
      <c r="GQ269">
        <v>1.84878</v>
      </c>
      <c r="GR269">
        <v>-0.0077635</v>
      </c>
      <c r="GS269">
        <v>0</v>
      </c>
      <c r="GT269">
        <v>25.1401</v>
      </c>
      <c r="GU269">
        <v>999.9</v>
      </c>
      <c r="GV269">
        <v>35.3</v>
      </c>
      <c r="GW269">
        <v>34.3</v>
      </c>
      <c r="GX269">
        <v>21.3109</v>
      </c>
      <c r="GY269">
        <v>62.5824</v>
      </c>
      <c r="GZ269">
        <v>35.5409</v>
      </c>
      <c r="HA269">
        <v>1</v>
      </c>
      <c r="HB269">
        <v>0.0478531</v>
      </c>
      <c r="HC269">
        <v>1.55252</v>
      </c>
      <c r="HD269">
        <v>20.3281</v>
      </c>
      <c r="HE269">
        <v>5.22747</v>
      </c>
      <c r="HF269">
        <v>12.0099</v>
      </c>
      <c r="HG269">
        <v>4.99175</v>
      </c>
      <c r="HH269">
        <v>3.29</v>
      </c>
      <c r="HI269">
        <v>906.7</v>
      </c>
      <c r="HJ269">
        <v>8963.299999999999</v>
      </c>
      <c r="HK269">
        <v>5139.4</v>
      </c>
      <c r="HL269">
        <v>23.6</v>
      </c>
      <c r="HM269">
        <v>1.8675</v>
      </c>
      <c r="HN269">
        <v>1.86646</v>
      </c>
      <c r="HO269">
        <v>1.866</v>
      </c>
      <c r="HP269">
        <v>1.86584</v>
      </c>
      <c r="HQ269">
        <v>1.86768</v>
      </c>
      <c r="HR269">
        <v>1.8702</v>
      </c>
      <c r="HS269">
        <v>1.8689</v>
      </c>
      <c r="HT269">
        <v>1.87027</v>
      </c>
      <c r="HU269">
        <v>0</v>
      </c>
      <c r="HV269">
        <v>0</v>
      </c>
      <c r="HW269">
        <v>0</v>
      </c>
      <c r="HX269">
        <v>0</v>
      </c>
      <c r="HY269" t="s">
        <v>421</v>
      </c>
      <c r="HZ269" t="s">
        <v>422</v>
      </c>
      <c r="IA269" t="s">
        <v>423</v>
      </c>
      <c r="IB269" t="s">
        <v>423</v>
      </c>
      <c r="IC269" t="s">
        <v>423</v>
      </c>
      <c r="ID269" t="s">
        <v>423</v>
      </c>
      <c r="IE269">
        <v>0</v>
      </c>
      <c r="IF269">
        <v>100</v>
      </c>
      <c r="IG269">
        <v>100</v>
      </c>
      <c r="IH269">
        <v>-2.055</v>
      </c>
      <c r="II269">
        <v>0.0185</v>
      </c>
      <c r="IJ269">
        <v>-0.6540367517687078</v>
      </c>
      <c r="IK269">
        <v>-0.002077099775823331</v>
      </c>
      <c r="IL269">
        <v>4.593143279902166E-07</v>
      </c>
      <c r="IM269">
        <v>-1.865383991892071E-10</v>
      </c>
      <c r="IN269">
        <v>-0.0625294926435566</v>
      </c>
      <c r="IO269">
        <v>-0.01129461987421345</v>
      </c>
      <c r="IP269">
        <v>0.00116580895745559</v>
      </c>
      <c r="IQ269">
        <v>-1.679085872906199E-05</v>
      </c>
      <c r="IR269">
        <v>2</v>
      </c>
      <c r="IS269">
        <v>2290</v>
      </c>
      <c r="IT269">
        <v>0</v>
      </c>
      <c r="IU269">
        <v>32</v>
      </c>
      <c r="IV269">
        <v>4.4</v>
      </c>
      <c r="IW269">
        <v>9.9</v>
      </c>
      <c r="IX269">
        <v>1.73584</v>
      </c>
      <c r="IY269">
        <v>2.23633</v>
      </c>
      <c r="IZ269">
        <v>1.39648</v>
      </c>
      <c r="JA269">
        <v>2.3584</v>
      </c>
      <c r="JB269">
        <v>1.49536</v>
      </c>
      <c r="JC269">
        <v>2.34497</v>
      </c>
      <c r="JD269">
        <v>38.2324</v>
      </c>
      <c r="JE269">
        <v>24.0437</v>
      </c>
      <c r="JF269">
        <v>18</v>
      </c>
      <c r="JG269">
        <v>512.509</v>
      </c>
      <c r="JH269">
        <v>423.212</v>
      </c>
      <c r="JI269">
        <v>23.1421</v>
      </c>
      <c r="JJ269">
        <v>27.9417</v>
      </c>
      <c r="JK269">
        <v>30</v>
      </c>
      <c r="JL269">
        <v>27.9576</v>
      </c>
      <c r="JM269">
        <v>27.9017</v>
      </c>
      <c r="JN269">
        <v>34.7515</v>
      </c>
      <c r="JO269">
        <v>52.7398</v>
      </c>
      <c r="JP269">
        <v>0</v>
      </c>
      <c r="JQ269">
        <v>23.1418</v>
      </c>
      <c r="JR269">
        <v>800</v>
      </c>
      <c r="JS269">
        <v>9.134880000000001</v>
      </c>
      <c r="JT269">
        <v>100.451</v>
      </c>
      <c r="JU269">
        <v>100.368</v>
      </c>
    </row>
    <row r="270" spans="1:281">
      <c r="A270">
        <v>254</v>
      </c>
      <c r="B270">
        <v>1651860287.1</v>
      </c>
      <c r="C270">
        <v>3286.5</v>
      </c>
      <c r="D270" t="s">
        <v>948</v>
      </c>
      <c r="E270" t="s">
        <v>949</v>
      </c>
      <c r="F270">
        <v>2</v>
      </c>
      <c r="G270" t="s">
        <v>915</v>
      </c>
      <c r="H270" t="s">
        <v>414</v>
      </c>
      <c r="I270">
        <v>1651860285.85</v>
      </c>
      <c r="J270">
        <f>(K270)/1000</f>
        <v>0</v>
      </c>
      <c r="K270">
        <f>IF(CZ270, AN270, AH270)</f>
        <v>0</v>
      </c>
      <c r="L270">
        <f>IF(CZ270, AI270, AG270)</f>
        <v>0</v>
      </c>
      <c r="M270">
        <f>DB270 - IF(AU270&gt;1, L270*CV270*100.0/(AW270*DP270), 0)</f>
        <v>0</v>
      </c>
      <c r="N270">
        <f>((T270-J270/2)*M270-L270)/(T270+J270/2)</f>
        <v>0</v>
      </c>
      <c r="O270">
        <f>N270*(DI270+DJ270)/1000.0</f>
        <v>0</v>
      </c>
      <c r="P270">
        <f>(DB270 - IF(AU270&gt;1, L270*CV270*100.0/(AW270*DP270), 0))*(DI270+DJ270)/1000.0</f>
        <v>0</v>
      </c>
      <c r="Q270">
        <f>2.0/((1/S270-1/R270)+SIGN(S270)*SQRT((1/S270-1/R270)*(1/S270-1/R270) + 4*CW270/((CW270+1)*(CW270+1))*(2*1/S270*1/R270-1/R270*1/R270)))</f>
        <v>0</v>
      </c>
      <c r="R270">
        <f>IF(LEFT(CX270,1)&lt;&gt;"0",IF(LEFT(CX270,1)="1",3.0,CY270),$D$5+$E$5*(DP270*DI270/($K$5*1000))+$F$5*(DP270*DI270/($K$5*1000))*MAX(MIN(CV270,$J$5),$I$5)*MAX(MIN(CV270,$J$5),$I$5)+$G$5*MAX(MIN(CV270,$J$5),$I$5)*(DP270*DI270/($K$5*1000))+$H$5*(DP270*DI270/($K$5*1000))*(DP270*DI270/($K$5*1000)))</f>
        <v>0</v>
      </c>
      <c r="S270">
        <f>J270*(1000-(1000*0.61365*exp(17.502*W270/(240.97+W270))/(DI270+DJ270)+DD270)/2)/(1000*0.61365*exp(17.502*W270/(240.97+W270))/(DI270+DJ270)-DD270)</f>
        <v>0</v>
      </c>
      <c r="T270">
        <f>1/((CW270+1)/(Q270/1.6)+1/(R270/1.37)) + CW270/((CW270+1)/(Q270/1.6) + CW270/(R270/1.37))</f>
        <v>0</v>
      </c>
      <c r="U270">
        <f>(CR270*CU270)</f>
        <v>0</v>
      </c>
      <c r="V270">
        <f>(DK270+(U270+2*0.95*5.67E-8*(((DK270+$B$7)+273)^4-(DK270+273)^4)-44100*J270)/(1.84*29.3*R270+8*0.95*5.67E-8*(DK270+273)^3))</f>
        <v>0</v>
      </c>
      <c r="W270">
        <f>($C$7*DL270+$D$7*DM270+$E$7*V270)</f>
        <v>0</v>
      </c>
      <c r="X270">
        <f>0.61365*exp(17.502*W270/(240.97+W270))</f>
        <v>0</v>
      </c>
      <c r="Y270">
        <f>(Z270/AA270*100)</f>
        <v>0</v>
      </c>
      <c r="Z270">
        <f>DD270*(DI270+DJ270)/1000</f>
        <v>0</v>
      </c>
      <c r="AA270">
        <f>0.61365*exp(17.502*DK270/(240.97+DK270))</f>
        <v>0</v>
      </c>
      <c r="AB270">
        <f>(X270-DD270*(DI270+DJ270)/1000)</f>
        <v>0</v>
      </c>
      <c r="AC270">
        <f>(-J270*44100)</f>
        <v>0</v>
      </c>
      <c r="AD270">
        <f>2*29.3*R270*0.92*(DK270-W270)</f>
        <v>0</v>
      </c>
      <c r="AE270">
        <f>2*0.95*5.67E-8*(((DK270+$B$7)+273)^4-(W270+273)^4)</f>
        <v>0</v>
      </c>
      <c r="AF270">
        <f>U270+AE270+AC270+AD270</f>
        <v>0</v>
      </c>
      <c r="AG270">
        <f>DH270*AU270*(DC270-DB270*(1000-AU270*DE270)/(1000-AU270*DD270))/(100*CV270)</f>
        <v>0</v>
      </c>
      <c r="AH270">
        <f>1000*DH270*AU270*(DD270-DE270)/(100*CV270*(1000-AU270*DD270))</f>
        <v>0</v>
      </c>
      <c r="AI270">
        <f>(AJ270 - AK270 - DI270*1E3/(8.314*(DK270+273.15)) * AM270/DH270 * AL270) * DH270/(100*CV270) * (1000 - DE270)/1000</f>
        <v>0</v>
      </c>
      <c r="AJ270">
        <v>1010.094166885007</v>
      </c>
      <c r="AK270">
        <v>977.9893393939388</v>
      </c>
      <c r="AL270">
        <v>0.03178745687023965</v>
      </c>
      <c r="AM270">
        <v>66.38454608033999</v>
      </c>
      <c r="AN270">
        <f>(AP270 - AO270 + DI270*1E3/(8.314*(DK270+273.15)) * AR270/DH270 * AQ270) * DH270/(100*CV270) * 1000/(1000 - AP270)</f>
        <v>0</v>
      </c>
      <c r="AO270">
        <v>10.02691167173086</v>
      </c>
      <c r="AP270">
        <v>18.1743938235294</v>
      </c>
      <c r="AQ270">
        <v>-0.0002690937084224202</v>
      </c>
      <c r="AR270">
        <v>80.44147654147203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MAX(0,($B$13+$C$13*DP270)/(1+$D$13*DP270)*DI270/(DK270+273)*$E$13)</f>
        <v>0</v>
      </c>
      <c r="AX270" t="s">
        <v>415</v>
      </c>
      <c r="AY270">
        <v>10510</v>
      </c>
      <c r="AZ270">
        <v>590.42</v>
      </c>
      <c r="BA270">
        <v>2650.6</v>
      </c>
      <c r="BB270">
        <f>1-AZ270/BA270</f>
        <v>0</v>
      </c>
      <c r="BC270">
        <v>-1.816883183993991</v>
      </c>
      <c r="BD270" t="s">
        <v>950</v>
      </c>
      <c r="BE270">
        <v>10443.7</v>
      </c>
      <c r="BF270">
        <v>877.4755769230768</v>
      </c>
      <c r="BG270">
        <v>1121.55</v>
      </c>
      <c r="BH270">
        <f>1-BF270/BG270</f>
        <v>0</v>
      </c>
      <c r="BI270">
        <v>0.5</v>
      </c>
      <c r="BJ270">
        <f>CS270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417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1246</v>
      </c>
      <c r="CA270">
        <v>300</v>
      </c>
      <c r="CB270">
        <v>300</v>
      </c>
      <c r="CC270">
        <v>300</v>
      </c>
      <c r="CD270">
        <v>10443.7</v>
      </c>
      <c r="CE270">
        <v>1076.89</v>
      </c>
      <c r="CF270">
        <v>-0.00735352</v>
      </c>
      <c r="CG270">
        <v>-1.45</v>
      </c>
      <c r="CH270" t="s">
        <v>417</v>
      </c>
      <c r="CI270" t="s">
        <v>417</v>
      </c>
      <c r="CJ270" t="s">
        <v>417</v>
      </c>
      <c r="CK270" t="s">
        <v>417</v>
      </c>
      <c r="CL270" t="s">
        <v>417</v>
      </c>
      <c r="CM270" t="s">
        <v>417</v>
      </c>
      <c r="CN270" t="s">
        <v>417</v>
      </c>
      <c r="CO270" t="s">
        <v>417</v>
      </c>
      <c r="CP270" t="s">
        <v>417</v>
      </c>
      <c r="CQ270" t="s">
        <v>417</v>
      </c>
      <c r="CR270">
        <f>$B$11*DQ270+$C$11*DR270+$F$11*EC270*(1-EF270)</f>
        <v>0</v>
      </c>
      <c r="CS270">
        <f>CR270*CT270</f>
        <v>0</v>
      </c>
      <c r="CT270">
        <f>($B$11*$D$9+$C$11*$D$9+$F$11*((EP270+EH270)/MAX(EP270+EH270+EQ270, 0.1)*$I$9+EQ270/MAX(EP270+EH270+EQ270, 0.1)*$J$9))/($B$11+$C$11+$F$11)</f>
        <v>0</v>
      </c>
      <c r="CU270">
        <f>($B$11*$K$9+$C$11*$K$9+$F$11*((EP270+EH270)/MAX(EP270+EH270+EQ270, 0.1)*$P$9+EQ270/MAX(EP270+EH270+EQ270, 0.1)*$Q$9))/($B$11+$C$11+$F$11)</f>
        <v>0</v>
      </c>
      <c r="CV270">
        <v>6</v>
      </c>
      <c r="CW270">
        <v>0.5</v>
      </c>
      <c r="CX270" t="s">
        <v>418</v>
      </c>
      <c r="CY270">
        <v>2</v>
      </c>
      <c r="CZ270" t="b">
        <v>1</v>
      </c>
      <c r="DA270">
        <v>1651860285.85</v>
      </c>
      <c r="DB270">
        <v>960.184</v>
      </c>
      <c r="DC270">
        <v>999.97675</v>
      </c>
      <c r="DD270">
        <v>18.174775</v>
      </c>
      <c r="DE270">
        <v>10.119075</v>
      </c>
      <c r="DF270">
        <v>962.578</v>
      </c>
      <c r="DG270">
        <v>18.15855</v>
      </c>
      <c r="DH270">
        <v>500.0645</v>
      </c>
      <c r="DI270">
        <v>90.00252500000001</v>
      </c>
      <c r="DJ270">
        <v>0.099997925</v>
      </c>
      <c r="DK270">
        <v>25.8086</v>
      </c>
      <c r="DL270">
        <v>25.0127</v>
      </c>
      <c r="DM270">
        <v>999.9</v>
      </c>
      <c r="DN270">
        <v>0</v>
      </c>
      <c r="DO270">
        <v>0</v>
      </c>
      <c r="DP270">
        <v>9999.055</v>
      </c>
      <c r="DQ270">
        <v>0</v>
      </c>
      <c r="DR270">
        <v>3.26004</v>
      </c>
      <c r="DS270">
        <v>-39.793</v>
      </c>
      <c r="DT270">
        <v>977.9580000000001</v>
      </c>
      <c r="DU270">
        <v>1010.2</v>
      </c>
      <c r="DV270">
        <v>8.0557175</v>
      </c>
      <c r="DW270">
        <v>999.97675</v>
      </c>
      <c r="DX270">
        <v>10.119075</v>
      </c>
      <c r="DY270">
        <v>1.6357775</v>
      </c>
      <c r="DZ270">
        <v>0.9107422500000001</v>
      </c>
      <c r="EA270">
        <v>14.300025</v>
      </c>
      <c r="EB270">
        <v>5.5616025</v>
      </c>
      <c r="EC270">
        <v>1499.9925</v>
      </c>
      <c r="ED270">
        <v>0.972996</v>
      </c>
      <c r="EE270">
        <v>0.0270038</v>
      </c>
      <c r="EF270">
        <v>0</v>
      </c>
      <c r="EG270">
        <v>875.79775</v>
      </c>
      <c r="EH270">
        <v>5.00097</v>
      </c>
      <c r="EI270">
        <v>12993.85</v>
      </c>
      <c r="EJ270">
        <v>12491.525</v>
      </c>
      <c r="EK270">
        <v>36.625</v>
      </c>
      <c r="EL270">
        <v>38</v>
      </c>
      <c r="EM270">
        <v>36.937</v>
      </c>
      <c r="EN270">
        <v>37.75</v>
      </c>
      <c r="EO270">
        <v>37.562</v>
      </c>
      <c r="EP270">
        <v>1454.6225</v>
      </c>
      <c r="EQ270">
        <v>40.37</v>
      </c>
      <c r="ER270">
        <v>0</v>
      </c>
      <c r="ES270">
        <v>131.7999999523163</v>
      </c>
      <c r="ET270">
        <v>0</v>
      </c>
      <c r="EU270">
        <v>877.4755769230768</v>
      </c>
      <c r="EV270">
        <v>-14.48741879175804</v>
      </c>
      <c r="EW270">
        <v>-213.8393159419692</v>
      </c>
      <c r="EX270">
        <v>13017.59230769231</v>
      </c>
      <c r="EY270">
        <v>15</v>
      </c>
      <c r="EZ270">
        <v>1651859956</v>
      </c>
      <c r="FA270" t="s">
        <v>937</v>
      </c>
      <c r="FB270">
        <v>1651859956</v>
      </c>
      <c r="FC270">
        <v>1651859627</v>
      </c>
      <c r="FD270">
        <v>6</v>
      </c>
      <c r="FE270">
        <v>-0.077</v>
      </c>
      <c r="FF270">
        <v>0.014</v>
      </c>
      <c r="FG270">
        <v>-0.661</v>
      </c>
      <c r="FH270">
        <v>-0.078</v>
      </c>
      <c r="FI270">
        <v>3</v>
      </c>
      <c r="FJ270">
        <v>10</v>
      </c>
      <c r="FK270">
        <v>0.39</v>
      </c>
      <c r="FL270">
        <v>0.01</v>
      </c>
      <c r="FM270">
        <v>-40.16019024390244</v>
      </c>
      <c r="FN270">
        <v>3.223390243902446</v>
      </c>
      <c r="FO270">
        <v>0.3359509617270152</v>
      </c>
      <c r="FP270">
        <v>-1</v>
      </c>
      <c r="FQ270">
        <v>8.29332268292683</v>
      </c>
      <c r="FR270">
        <v>-1.446466620209059</v>
      </c>
      <c r="FS270">
        <v>0.1429251459045128</v>
      </c>
      <c r="FT270">
        <v>-1</v>
      </c>
      <c r="FU270">
        <v>0</v>
      </c>
      <c r="FV270">
        <v>0</v>
      </c>
      <c r="FW270">
        <v>0</v>
      </c>
      <c r="FX270">
        <v>-1</v>
      </c>
      <c r="FY270">
        <v>0</v>
      </c>
      <c r="FZ270">
        <v>0</v>
      </c>
      <c r="GA270" t="s">
        <v>432</v>
      </c>
      <c r="GB270">
        <v>2.98156</v>
      </c>
      <c r="GC270">
        <v>2.7062</v>
      </c>
      <c r="GD270">
        <v>0.167038</v>
      </c>
      <c r="GE270">
        <v>0.169405</v>
      </c>
      <c r="GF270">
        <v>0.0872737</v>
      </c>
      <c r="GG270">
        <v>0.0560805</v>
      </c>
      <c r="GH270">
        <v>26329.7</v>
      </c>
      <c r="GI270">
        <v>26309.5</v>
      </c>
      <c r="GJ270">
        <v>29387.2</v>
      </c>
      <c r="GK270">
        <v>29299.7</v>
      </c>
      <c r="GL270">
        <v>35518.7</v>
      </c>
      <c r="GM270">
        <v>36839.1</v>
      </c>
      <c r="GN270">
        <v>41366</v>
      </c>
      <c r="GO270">
        <v>41819.1</v>
      </c>
      <c r="GP270">
        <v>1.966</v>
      </c>
      <c r="GQ270">
        <v>1.85165</v>
      </c>
      <c r="GR270">
        <v>-0.00843406</v>
      </c>
      <c r="GS270">
        <v>0</v>
      </c>
      <c r="GT270">
        <v>25.1524</v>
      </c>
      <c r="GU270">
        <v>999.9</v>
      </c>
      <c r="GV270">
        <v>35.2</v>
      </c>
      <c r="GW270">
        <v>34.3</v>
      </c>
      <c r="GX270">
        <v>21.2508</v>
      </c>
      <c r="GY270">
        <v>62.7324</v>
      </c>
      <c r="GZ270">
        <v>35.7131</v>
      </c>
      <c r="HA270">
        <v>1</v>
      </c>
      <c r="HB270">
        <v>0.0471265</v>
      </c>
      <c r="HC270">
        <v>1.70372</v>
      </c>
      <c r="HD270">
        <v>20.3267</v>
      </c>
      <c r="HE270">
        <v>5.22373</v>
      </c>
      <c r="HF270">
        <v>12.0099</v>
      </c>
      <c r="HG270">
        <v>4.9915</v>
      </c>
      <c r="HH270">
        <v>3.29</v>
      </c>
      <c r="HI270">
        <v>908</v>
      </c>
      <c r="HJ270">
        <v>8974.6</v>
      </c>
      <c r="HK270">
        <v>5139.4</v>
      </c>
      <c r="HL270">
        <v>23.6</v>
      </c>
      <c r="HM270">
        <v>1.86747</v>
      </c>
      <c r="HN270">
        <v>1.86646</v>
      </c>
      <c r="HO270">
        <v>1.866</v>
      </c>
      <c r="HP270">
        <v>1.86584</v>
      </c>
      <c r="HQ270">
        <v>1.86768</v>
      </c>
      <c r="HR270">
        <v>1.87015</v>
      </c>
      <c r="HS270">
        <v>1.86889</v>
      </c>
      <c r="HT270">
        <v>1.87027</v>
      </c>
      <c r="HU270">
        <v>0</v>
      </c>
      <c r="HV270">
        <v>0</v>
      </c>
      <c r="HW270">
        <v>0</v>
      </c>
      <c r="HX270">
        <v>0</v>
      </c>
      <c r="HY270" t="s">
        <v>421</v>
      </c>
      <c r="HZ270" t="s">
        <v>422</v>
      </c>
      <c r="IA270" t="s">
        <v>423</v>
      </c>
      <c r="IB270" t="s">
        <v>423</v>
      </c>
      <c r="IC270" t="s">
        <v>423</v>
      </c>
      <c r="ID270" t="s">
        <v>423</v>
      </c>
      <c r="IE270">
        <v>0</v>
      </c>
      <c r="IF270">
        <v>100</v>
      </c>
      <c r="IG270">
        <v>100</v>
      </c>
      <c r="IH270">
        <v>-2.394</v>
      </c>
      <c r="II270">
        <v>0.0162</v>
      </c>
      <c r="IJ270">
        <v>-0.6540367517687078</v>
      </c>
      <c r="IK270">
        <v>-0.002077099775823331</v>
      </c>
      <c r="IL270">
        <v>4.593143279902166E-07</v>
      </c>
      <c r="IM270">
        <v>-1.865383991892071E-10</v>
      </c>
      <c r="IN270">
        <v>-0.0625294926435566</v>
      </c>
      <c r="IO270">
        <v>-0.01129461987421345</v>
      </c>
      <c r="IP270">
        <v>0.00116580895745559</v>
      </c>
      <c r="IQ270">
        <v>-1.679085872906199E-05</v>
      </c>
      <c r="IR270">
        <v>2</v>
      </c>
      <c r="IS270">
        <v>2290</v>
      </c>
      <c r="IT270">
        <v>0</v>
      </c>
      <c r="IU270">
        <v>32</v>
      </c>
      <c r="IV270">
        <v>5.5</v>
      </c>
      <c r="IW270">
        <v>11</v>
      </c>
      <c r="IX270">
        <v>2.07764</v>
      </c>
      <c r="IY270">
        <v>2.22778</v>
      </c>
      <c r="IZ270">
        <v>1.39648</v>
      </c>
      <c r="JA270">
        <v>2.35718</v>
      </c>
      <c r="JB270">
        <v>1.49536</v>
      </c>
      <c r="JC270">
        <v>2.34619</v>
      </c>
      <c r="JD270">
        <v>38.2324</v>
      </c>
      <c r="JE270">
        <v>24.0437</v>
      </c>
      <c r="JF270">
        <v>18</v>
      </c>
      <c r="JG270">
        <v>511.964</v>
      </c>
      <c r="JH270">
        <v>424.75</v>
      </c>
      <c r="JI270">
        <v>22.986</v>
      </c>
      <c r="JJ270">
        <v>27.9224</v>
      </c>
      <c r="JK270">
        <v>30</v>
      </c>
      <c r="JL270">
        <v>27.9339</v>
      </c>
      <c r="JM270">
        <v>27.8792</v>
      </c>
      <c r="JN270">
        <v>41.5987</v>
      </c>
      <c r="JO270">
        <v>48.3946</v>
      </c>
      <c r="JP270">
        <v>0</v>
      </c>
      <c r="JQ270">
        <v>22.9738</v>
      </c>
      <c r="JR270">
        <v>1000</v>
      </c>
      <c r="JS270">
        <v>10.3084</v>
      </c>
      <c r="JT270">
        <v>100.455</v>
      </c>
      <c r="JU270">
        <v>100.369</v>
      </c>
    </row>
    <row r="271" spans="1:281">
      <c r="A271">
        <v>255</v>
      </c>
      <c r="B271">
        <v>1651860354.1</v>
      </c>
      <c r="C271">
        <v>3353.5</v>
      </c>
      <c r="D271" t="s">
        <v>951</v>
      </c>
      <c r="E271" t="s">
        <v>952</v>
      </c>
      <c r="F271">
        <v>2</v>
      </c>
      <c r="G271" t="s">
        <v>915</v>
      </c>
      <c r="H271" t="s">
        <v>414</v>
      </c>
      <c r="I271">
        <v>1651860352.85</v>
      </c>
      <c r="J271">
        <f>(K271)/1000</f>
        <v>0</v>
      </c>
      <c r="K271">
        <f>IF(CZ271, AN271, AH271)</f>
        <v>0</v>
      </c>
      <c r="L271">
        <f>IF(CZ271, AI271, AG271)</f>
        <v>0</v>
      </c>
      <c r="M271">
        <f>DB271 - IF(AU271&gt;1, L271*CV271*100.0/(AW271*DP271), 0)</f>
        <v>0</v>
      </c>
      <c r="N271">
        <f>((T271-J271/2)*M271-L271)/(T271+J271/2)</f>
        <v>0</v>
      </c>
      <c r="O271">
        <f>N271*(DI271+DJ271)/1000.0</f>
        <v>0</v>
      </c>
      <c r="P271">
        <f>(DB271 - IF(AU271&gt;1, L271*CV271*100.0/(AW271*DP271), 0))*(DI271+DJ271)/1000.0</f>
        <v>0</v>
      </c>
      <c r="Q271">
        <f>2.0/((1/S271-1/R271)+SIGN(S271)*SQRT((1/S271-1/R271)*(1/S271-1/R271) + 4*CW271/((CW271+1)*(CW271+1))*(2*1/S271*1/R271-1/R271*1/R271)))</f>
        <v>0</v>
      </c>
      <c r="R271">
        <f>IF(LEFT(CX271,1)&lt;&gt;"0",IF(LEFT(CX271,1)="1",3.0,CY271),$D$5+$E$5*(DP271*DI271/($K$5*1000))+$F$5*(DP271*DI271/($K$5*1000))*MAX(MIN(CV271,$J$5),$I$5)*MAX(MIN(CV271,$J$5),$I$5)+$G$5*MAX(MIN(CV271,$J$5),$I$5)*(DP271*DI271/($K$5*1000))+$H$5*(DP271*DI271/($K$5*1000))*(DP271*DI271/($K$5*1000)))</f>
        <v>0</v>
      </c>
      <c r="S271">
        <f>J271*(1000-(1000*0.61365*exp(17.502*W271/(240.97+W271))/(DI271+DJ271)+DD271)/2)/(1000*0.61365*exp(17.502*W271/(240.97+W271))/(DI271+DJ271)-DD271)</f>
        <v>0</v>
      </c>
      <c r="T271">
        <f>1/((CW271+1)/(Q271/1.6)+1/(R271/1.37)) + CW271/((CW271+1)/(Q271/1.6) + CW271/(R271/1.37))</f>
        <v>0</v>
      </c>
      <c r="U271">
        <f>(CR271*CU271)</f>
        <v>0</v>
      </c>
      <c r="V271">
        <f>(DK271+(U271+2*0.95*5.67E-8*(((DK271+$B$7)+273)^4-(DK271+273)^4)-44100*J271)/(1.84*29.3*R271+8*0.95*5.67E-8*(DK271+273)^3))</f>
        <v>0</v>
      </c>
      <c r="W271">
        <f>($C$7*DL271+$D$7*DM271+$E$7*V271)</f>
        <v>0</v>
      </c>
      <c r="X271">
        <f>0.61365*exp(17.502*W271/(240.97+W271))</f>
        <v>0</v>
      </c>
      <c r="Y271">
        <f>(Z271/AA271*100)</f>
        <v>0</v>
      </c>
      <c r="Z271">
        <f>DD271*(DI271+DJ271)/1000</f>
        <v>0</v>
      </c>
      <c r="AA271">
        <f>0.61365*exp(17.502*DK271/(240.97+DK271))</f>
        <v>0</v>
      </c>
      <c r="AB271">
        <f>(X271-DD271*(DI271+DJ271)/1000)</f>
        <v>0</v>
      </c>
      <c r="AC271">
        <f>(-J271*44100)</f>
        <v>0</v>
      </c>
      <c r="AD271">
        <f>2*29.3*R271*0.92*(DK271-W271)</f>
        <v>0</v>
      </c>
      <c r="AE271">
        <f>2*0.95*5.67E-8*(((DK271+$B$7)+273)^4-(W271+273)^4)</f>
        <v>0</v>
      </c>
      <c r="AF271">
        <f>U271+AE271+AC271+AD271</f>
        <v>0</v>
      </c>
      <c r="AG271">
        <f>DH271*AU271*(DC271-DB271*(1000-AU271*DE271)/(1000-AU271*DD271))/(100*CV271)</f>
        <v>0</v>
      </c>
      <c r="AH271">
        <f>1000*DH271*AU271*(DD271-DE271)/(100*CV271*(1000-AU271*DD271))</f>
        <v>0</v>
      </c>
      <c r="AI271">
        <f>(AJ271 - AK271 - DI271*1E3/(8.314*(DK271+273.15)) * AM271/DH271 * AL271) * DH271/(100*CV271) * (1000 - DE271)/1000</f>
        <v>0</v>
      </c>
      <c r="AJ271">
        <v>1214.27031007089</v>
      </c>
      <c r="AK271">
        <v>1180.788909090909</v>
      </c>
      <c r="AL271">
        <v>0.06193863195426153</v>
      </c>
      <c r="AM271">
        <v>66.38454608033999</v>
      </c>
      <c r="AN271">
        <f>(AP271 - AO271 + DI271*1E3/(8.314*(DK271+273.15)) * AR271/DH271 * AQ271) * DH271/(100*CV271) * 1000/(1000 - AP271)</f>
        <v>0</v>
      </c>
      <c r="AO271">
        <v>11.7824817289369</v>
      </c>
      <c r="AP271">
        <v>18.063915</v>
      </c>
      <c r="AQ271">
        <v>2.760860916748481E-06</v>
      </c>
      <c r="AR271">
        <v>80.44147654147203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MAX(0,($B$13+$C$13*DP271)/(1+$D$13*DP271)*DI271/(DK271+273)*$E$13)</f>
        <v>0</v>
      </c>
      <c r="AX271" t="s">
        <v>417</v>
      </c>
      <c r="AY271" t="s">
        <v>417</v>
      </c>
      <c r="AZ271">
        <v>0</v>
      </c>
      <c r="BA271">
        <v>0</v>
      </c>
      <c r="BB271">
        <f>1-AZ271/BA271</f>
        <v>0</v>
      </c>
      <c r="BC271">
        <v>0</v>
      </c>
      <c r="BD271" t="s">
        <v>417</v>
      </c>
      <c r="BE271" t="s">
        <v>417</v>
      </c>
      <c r="BF271">
        <v>0</v>
      </c>
      <c r="BG271">
        <v>0</v>
      </c>
      <c r="BH271">
        <f>1-BF271/BG271</f>
        <v>0</v>
      </c>
      <c r="BI271">
        <v>0.5</v>
      </c>
      <c r="BJ271">
        <f>CS271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417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1246</v>
      </c>
      <c r="CA271">
        <v>300</v>
      </c>
      <c r="CB271">
        <v>300</v>
      </c>
      <c r="CC271">
        <v>300</v>
      </c>
      <c r="CD271">
        <v>10443.7</v>
      </c>
      <c r="CE271">
        <v>1076.89</v>
      </c>
      <c r="CF271">
        <v>-0.00735352</v>
      </c>
      <c r="CG271">
        <v>-1.45</v>
      </c>
      <c r="CH271" t="s">
        <v>417</v>
      </c>
      <c r="CI271" t="s">
        <v>417</v>
      </c>
      <c r="CJ271" t="s">
        <v>417</v>
      </c>
      <c r="CK271" t="s">
        <v>417</v>
      </c>
      <c r="CL271" t="s">
        <v>417</v>
      </c>
      <c r="CM271" t="s">
        <v>417</v>
      </c>
      <c r="CN271" t="s">
        <v>417</v>
      </c>
      <c r="CO271" t="s">
        <v>417</v>
      </c>
      <c r="CP271" t="s">
        <v>417</v>
      </c>
      <c r="CQ271" t="s">
        <v>417</v>
      </c>
      <c r="CR271">
        <f>$B$11*DQ271+$C$11*DR271+$F$11*EC271*(1-EF271)</f>
        <v>0</v>
      </c>
      <c r="CS271">
        <f>CR271*CT271</f>
        <v>0</v>
      </c>
      <c r="CT271">
        <f>($B$11*$D$9+$C$11*$D$9+$F$11*((EP271+EH271)/MAX(EP271+EH271+EQ271, 0.1)*$I$9+EQ271/MAX(EP271+EH271+EQ271, 0.1)*$J$9))/($B$11+$C$11+$F$11)</f>
        <v>0</v>
      </c>
      <c r="CU271">
        <f>($B$11*$K$9+$C$11*$K$9+$F$11*((EP271+EH271)/MAX(EP271+EH271+EQ271, 0.1)*$P$9+EQ271/MAX(EP271+EH271+EQ271, 0.1)*$Q$9))/($B$11+$C$11+$F$11)</f>
        <v>0</v>
      </c>
      <c r="CV271">
        <v>6</v>
      </c>
      <c r="CW271">
        <v>0.5</v>
      </c>
      <c r="CX271" t="s">
        <v>418</v>
      </c>
      <c r="CY271">
        <v>2</v>
      </c>
      <c r="CZ271" t="b">
        <v>1</v>
      </c>
      <c r="DA271">
        <v>1651860352.85</v>
      </c>
      <c r="DB271">
        <v>1159.415</v>
      </c>
      <c r="DC271">
        <v>1199.8225</v>
      </c>
      <c r="DD271">
        <v>18.064375</v>
      </c>
      <c r="DE271">
        <v>11.874375</v>
      </c>
      <c r="DF271">
        <v>1162.1575</v>
      </c>
      <c r="DG271">
        <v>18.049725</v>
      </c>
      <c r="DH271">
        <v>500.049</v>
      </c>
      <c r="DI271">
        <v>90.002075</v>
      </c>
      <c r="DJ271">
        <v>0.09996675000000001</v>
      </c>
      <c r="DK271">
        <v>25.781175</v>
      </c>
      <c r="DL271">
        <v>25.0222</v>
      </c>
      <c r="DM271">
        <v>999.9</v>
      </c>
      <c r="DN271">
        <v>0</v>
      </c>
      <c r="DO271">
        <v>0</v>
      </c>
      <c r="DP271">
        <v>9999.35</v>
      </c>
      <c r="DQ271">
        <v>0</v>
      </c>
      <c r="DR271">
        <v>3.26004</v>
      </c>
      <c r="DS271">
        <v>-40.4098</v>
      </c>
      <c r="DT271">
        <v>1180.745</v>
      </c>
      <c r="DU271">
        <v>1214.245</v>
      </c>
      <c r="DV271">
        <v>6.18999</v>
      </c>
      <c r="DW271">
        <v>1199.8225</v>
      </c>
      <c r="DX271">
        <v>11.874375</v>
      </c>
      <c r="DY271">
        <v>1.6258325</v>
      </c>
      <c r="DZ271">
        <v>1.06872</v>
      </c>
      <c r="EA271">
        <v>14.20585</v>
      </c>
      <c r="EB271">
        <v>7.8884975</v>
      </c>
      <c r="EC271">
        <v>1500.0475</v>
      </c>
      <c r="ED271">
        <v>0.9729990000000001</v>
      </c>
      <c r="EE271">
        <v>0.02700115</v>
      </c>
      <c r="EF271">
        <v>0</v>
      </c>
      <c r="EG271">
        <v>863.9630000000001</v>
      </c>
      <c r="EH271">
        <v>5.00097</v>
      </c>
      <c r="EI271">
        <v>12827.15</v>
      </c>
      <c r="EJ271">
        <v>12491.975</v>
      </c>
      <c r="EK271">
        <v>36.625</v>
      </c>
      <c r="EL271">
        <v>38</v>
      </c>
      <c r="EM271">
        <v>36.937</v>
      </c>
      <c r="EN271">
        <v>37.75</v>
      </c>
      <c r="EO271">
        <v>37.562</v>
      </c>
      <c r="EP271">
        <v>1454.6775</v>
      </c>
      <c r="EQ271">
        <v>40.37</v>
      </c>
      <c r="ER271">
        <v>0</v>
      </c>
      <c r="ES271">
        <v>66.39999985694885</v>
      </c>
      <c r="ET271">
        <v>0</v>
      </c>
      <c r="EU271">
        <v>865.21976</v>
      </c>
      <c r="EV271">
        <v>-11.41976923848999</v>
      </c>
      <c r="EW271">
        <v>-159.6615387123494</v>
      </c>
      <c r="EX271">
        <v>12842.972</v>
      </c>
      <c r="EY271">
        <v>15</v>
      </c>
      <c r="EZ271">
        <v>1651859956</v>
      </c>
      <c r="FA271" t="s">
        <v>937</v>
      </c>
      <c r="FB271">
        <v>1651859956</v>
      </c>
      <c r="FC271">
        <v>1651859627</v>
      </c>
      <c r="FD271">
        <v>6</v>
      </c>
      <c r="FE271">
        <v>-0.077</v>
      </c>
      <c r="FF271">
        <v>0.014</v>
      </c>
      <c r="FG271">
        <v>-0.661</v>
      </c>
      <c r="FH271">
        <v>-0.078</v>
      </c>
      <c r="FI271">
        <v>3</v>
      </c>
      <c r="FJ271">
        <v>10</v>
      </c>
      <c r="FK271">
        <v>0.39</v>
      </c>
      <c r="FL271">
        <v>0.01</v>
      </c>
      <c r="FM271">
        <v>-41.13889512195122</v>
      </c>
      <c r="FN271">
        <v>4.433460627177553</v>
      </c>
      <c r="FO271">
        <v>0.4619218817660118</v>
      </c>
      <c r="FP271">
        <v>-1</v>
      </c>
      <c r="FQ271">
        <v>6.492284146341463</v>
      </c>
      <c r="FR271">
        <v>-1.848811777003491</v>
      </c>
      <c r="FS271">
        <v>0.1825867132047275</v>
      </c>
      <c r="FT271">
        <v>-1</v>
      </c>
      <c r="FU271">
        <v>0</v>
      </c>
      <c r="FV271">
        <v>0</v>
      </c>
      <c r="FW271">
        <v>0</v>
      </c>
      <c r="FX271">
        <v>-1</v>
      </c>
      <c r="FY271">
        <v>0</v>
      </c>
      <c r="FZ271">
        <v>0</v>
      </c>
      <c r="GA271" t="s">
        <v>432</v>
      </c>
      <c r="GB271">
        <v>2.98148</v>
      </c>
      <c r="GC271">
        <v>2.70606</v>
      </c>
      <c r="GD271">
        <v>0.188393</v>
      </c>
      <c r="GE271">
        <v>0.190264</v>
      </c>
      <c r="GF271">
        <v>0.0869022</v>
      </c>
      <c r="GG271">
        <v>0.0632746</v>
      </c>
      <c r="GH271">
        <v>25655.1</v>
      </c>
      <c r="GI271">
        <v>25648.3</v>
      </c>
      <c r="GJ271">
        <v>29387.7</v>
      </c>
      <c r="GK271">
        <v>29299.1</v>
      </c>
      <c r="GL271">
        <v>35534.2</v>
      </c>
      <c r="GM271">
        <v>36557</v>
      </c>
      <c r="GN271">
        <v>41366.5</v>
      </c>
      <c r="GO271">
        <v>41818.8</v>
      </c>
      <c r="GP271">
        <v>1.9645</v>
      </c>
      <c r="GQ271">
        <v>1.85578</v>
      </c>
      <c r="GR271">
        <v>-0.00861287</v>
      </c>
      <c r="GS271">
        <v>0</v>
      </c>
      <c r="GT271">
        <v>25.1608</v>
      </c>
      <c r="GU271">
        <v>999.9</v>
      </c>
      <c r="GV271">
        <v>35.1</v>
      </c>
      <c r="GW271">
        <v>34.3</v>
      </c>
      <c r="GX271">
        <v>21.1895</v>
      </c>
      <c r="GY271">
        <v>62.3925</v>
      </c>
      <c r="GZ271">
        <v>35.5569</v>
      </c>
      <c r="HA271">
        <v>1</v>
      </c>
      <c r="HB271">
        <v>0.0466159</v>
      </c>
      <c r="HC271">
        <v>1.89678</v>
      </c>
      <c r="HD271">
        <v>20.3248</v>
      </c>
      <c r="HE271">
        <v>5.22538</v>
      </c>
      <c r="HF271">
        <v>12.0099</v>
      </c>
      <c r="HG271">
        <v>4.99105</v>
      </c>
      <c r="HH271">
        <v>3.29</v>
      </c>
      <c r="HI271">
        <v>909.5</v>
      </c>
      <c r="HJ271">
        <v>8986.299999999999</v>
      </c>
      <c r="HK271">
        <v>5139.4</v>
      </c>
      <c r="HL271">
        <v>23.7</v>
      </c>
      <c r="HM271">
        <v>1.86749</v>
      </c>
      <c r="HN271">
        <v>1.86646</v>
      </c>
      <c r="HO271">
        <v>1.86599</v>
      </c>
      <c r="HP271">
        <v>1.86584</v>
      </c>
      <c r="HQ271">
        <v>1.86768</v>
      </c>
      <c r="HR271">
        <v>1.8702</v>
      </c>
      <c r="HS271">
        <v>1.86887</v>
      </c>
      <c r="HT271">
        <v>1.87026</v>
      </c>
      <c r="HU271">
        <v>0</v>
      </c>
      <c r="HV271">
        <v>0</v>
      </c>
      <c r="HW271">
        <v>0</v>
      </c>
      <c r="HX271">
        <v>0</v>
      </c>
      <c r="HY271" t="s">
        <v>421</v>
      </c>
      <c r="HZ271" t="s">
        <v>422</v>
      </c>
      <c r="IA271" t="s">
        <v>423</v>
      </c>
      <c r="IB271" t="s">
        <v>423</v>
      </c>
      <c r="IC271" t="s">
        <v>423</v>
      </c>
      <c r="ID271" t="s">
        <v>423</v>
      </c>
      <c r="IE271">
        <v>0</v>
      </c>
      <c r="IF271">
        <v>100</v>
      </c>
      <c r="IG271">
        <v>100</v>
      </c>
      <c r="IH271">
        <v>-2.74</v>
      </c>
      <c r="II271">
        <v>0.0146</v>
      </c>
      <c r="IJ271">
        <v>-0.6540367517687078</v>
      </c>
      <c r="IK271">
        <v>-0.002077099775823331</v>
      </c>
      <c r="IL271">
        <v>4.593143279902166E-07</v>
      </c>
      <c r="IM271">
        <v>-1.865383991892071E-10</v>
      </c>
      <c r="IN271">
        <v>-0.0625294926435566</v>
      </c>
      <c r="IO271">
        <v>-0.01129461987421345</v>
      </c>
      <c r="IP271">
        <v>0.00116580895745559</v>
      </c>
      <c r="IQ271">
        <v>-1.679085872906199E-05</v>
      </c>
      <c r="IR271">
        <v>2</v>
      </c>
      <c r="IS271">
        <v>2290</v>
      </c>
      <c r="IT271">
        <v>0</v>
      </c>
      <c r="IU271">
        <v>32</v>
      </c>
      <c r="IV271">
        <v>6.6</v>
      </c>
      <c r="IW271">
        <v>12.1</v>
      </c>
      <c r="IX271">
        <v>2.40967</v>
      </c>
      <c r="IY271">
        <v>2.21802</v>
      </c>
      <c r="IZ271">
        <v>1.39648</v>
      </c>
      <c r="JA271">
        <v>2.35718</v>
      </c>
      <c r="JB271">
        <v>1.49536</v>
      </c>
      <c r="JC271">
        <v>2.34131</v>
      </c>
      <c r="JD271">
        <v>38.208</v>
      </c>
      <c r="JE271">
        <v>24.0437</v>
      </c>
      <c r="JF271">
        <v>18</v>
      </c>
      <c r="JG271">
        <v>510.824</v>
      </c>
      <c r="JH271">
        <v>427.063</v>
      </c>
      <c r="JI271">
        <v>22.6799</v>
      </c>
      <c r="JJ271">
        <v>27.906</v>
      </c>
      <c r="JK271">
        <v>30.0001</v>
      </c>
      <c r="JL271">
        <v>27.9148</v>
      </c>
      <c r="JM271">
        <v>27.8604</v>
      </c>
      <c r="JN271">
        <v>48.2241</v>
      </c>
      <c r="JO271">
        <v>41.378</v>
      </c>
      <c r="JP271">
        <v>0</v>
      </c>
      <c r="JQ271">
        <v>22.659</v>
      </c>
      <c r="JR271">
        <v>1200</v>
      </c>
      <c r="JS271">
        <v>12.1327</v>
      </c>
      <c r="JT271">
        <v>100.456</v>
      </c>
      <c r="JU271">
        <v>100.368</v>
      </c>
    </row>
    <row r="272" spans="1:281">
      <c r="A272">
        <v>256</v>
      </c>
      <c r="B272">
        <v>1651860419.6</v>
      </c>
      <c r="C272">
        <v>3419</v>
      </c>
      <c r="D272" t="s">
        <v>953</v>
      </c>
      <c r="E272" t="s">
        <v>954</v>
      </c>
      <c r="F272">
        <v>2</v>
      </c>
      <c r="G272" t="s">
        <v>915</v>
      </c>
      <c r="H272" t="s">
        <v>414</v>
      </c>
      <c r="I272">
        <v>1651860418.35</v>
      </c>
      <c r="J272">
        <f>(K272)/1000</f>
        <v>0</v>
      </c>
      <c r="K272">
        <f>IF(CZ272, AN272, AH272)</f>
        <v>0</v>
      </c>
      <c r="L272">
        <f>IF(CZ272, AI272, AG272)</f>
        <v>0</v>
      </c>
      <c r="M272">
        <f>DB272 - IF(AU272&gt;1, L272*CV272*100.0/(AW272*DP272), 0)</f>
        <v>0</v>
      </c>
      <c r="N272">
        <f>((T272-J272/2)*M272-L272)/(T272+J272/2)</f>
        <v>0</v>
      </c>
      <c r="O272">
        <f>N272*(DI272+DJ272)/1000.0</f>
        <v>0</v>
      </c>
      <c r="P272">
        <f>(DB272 - IF(AU272&gt;1, L272*CV272*100.0/(AW272*DP272), 0))*(DI272+DJ272)/1000.0</f>
        <v>0</v>
      </c>
      <c r="Q272">
        <f>2.0/((1/S272-1/R272)+SIGN(S272)*SQRT((1/S272-1/R272)*(1/S272-1/R272) + 4*CW272/((CW272+1)*(CW272+1))*(2*1/S272*1/R272-1/R272*1/R272)))</f>
        <v>0</v>
      </c>
      <c r="R272">
        <f>IF(LEFT(CX272,1)&lt;&gt;"0",IF(LEFT(CX272,1)="1",3.0,CY272),$D$5+$E$5*(DP272*DI272/($K$5*1000))+$F$5*(DP272*DI272/($K$5*1000))*MAX(MIN(CV272,$J$5),$I$5)*MAX(MIN(CV272,$J$5),$I$5)+$G$5*MAX(MIN(CV272,$J$5),$I$5)*(DP272*DI272/($K$5*1000))+$H$5*(DP272*DI272/($K$5*1000))*(DP272*DI272/($K$5*1000)))</f>
        <v>0</v>
      </c>
      <c r="S272">
        <f>J272*(1000-(1000*0.61365*exp(17.502*W272/(240.97+W272))/(DI272+DJ272)+DD272)/2)/(1000*0.61365*exp(17.502*W272/(240.97+W272))/(DI272+DJ272)-DD272)</f>
        <v>0</v>
      </c>
      <c r="T272">
        <f>1/((CW272+1)/(Q272/1.6)+1/(R272/1.37)) + CW272/((CW272+1)/(Q272/1.6) + CW272/(R272/1.37))</f>
        <v>0</v>
      </c>
      <c r="U272">
        <f>(CR272*CU272)</f>
        <v>0</v>
      </c>
      <c r="V272">
        <f>(DK272+(U272+2*0.95*5.67E-8*(((DK272+$B$7)+273)^4-(DK272+273)^4)-44100*J272)/(1.84*29.3*R272+8*0.95*5.67E-8*(DK272+273)^3))</f>
        <v>0</v>
      </c>
      <c r="W272">
        <f>($C$7*DL272+$D$7*DM272+$E$7*V272)</f>
        <v>0</v>
      </c>
      <c r="X272">
        <f>0.61365*exp(17.502*W272/(240.97+W272))</f>
        <v>0</v>
      </c>
      <c r="Y272">
        <f>(Z272/AA272*100)</f>
        <v>0</v>
      </c>
      <c r="Z272">
        <f>DD272*(DI272+DJ272)/1000</f>
        <v>0</v>
      </c>
      <c r="AA272">
        <f>0.61365*exp(17.502*DK272/(240.97+DK272))</f>
        <v>0</v>
      </c>
      <c r="AB272">
        <f>(X272-DD272*(DI272+DJ272)/1000)</f>
        <v>0</v>
      </c>
      <c r="AC272">
        <f>(-J272*44100)</f>
        <v>0</v>
      </c>
      <c r="AD272">
        <f>2*29.3*R272*0.92*(DK272-W272)</f>
        <v>0</v>
      </c>
      <c r="AE272">
        <f>2*0.95*5.67E-8*(((DK272+$B$7)+273)^4-(W272+273)^4)</f>
        <v>0</v>
      </c>
      <c r="AF272">
        <f>U272+AE272+AC272+AD272</f>
        <v>0</v>
      </c>
      <c r="AG272">
        <f>DH272*AU272*(DC272-DB272*(1000-AU272*DE272)/(1000-AU272*DD272))/(100*CV272)</f>
        <v>0</v>
      </c>
      <c r="AH272">
        <f>1000*DH272*AU272*(DD272-DE272)/(100*CV272*(1000-AU272*DD272))</f>
        <v>0</v>
      </c>
      <c r="AI272">
        <f>(AJ272 - AK272 - DI272*1E3/(8.314*(DK272+273.15)) * AM272/DH272 * AL272) * DH272/(100*CV272) * (1000 - DE272)/1000</f>
        <v>0</v>
      </c>
      <c r="AJ272">
        <v>1621.821413902388</v>
      </c>
      <c r="AK272">
        <v>1586.446666666667</v>
      </c>
      <c r="AL272">
        <v>0.03067117996213314</v>
      </c>
      <c r="AM272">
        <v>66.38454608033999</v>
      </c>
      <c r="AN272">
        <f>(AP272 - AO272 + DI272*1E3/(8.314*(DK272+273.15)) * AR272/DH272 * AQ272) * DH272/(100*CV272) * 1000/(1000 - AP272)</f>
        <v>0</v>
      </c>
      <c r="AO272">
        <v>13.48053097069914</v>
      </c>
      <c r="AP272">
        <v>18.08616088235293</v>
      </c>
      <c r="AQ272">
        <v>0.0003087705155440862</v>
      </c>
      <c r="AR272">
        <v>80.44147654147203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MAX(0,($B$13+$C$13*DP272)/(1+$D$13*DP272)*DI272/(DK272+273)*$E$13)</f>
        <v>0</v>
      </c>
      <c r="AX272" t="s">
        <v>415</v>
      </c>
      <c r="AY272">
        <v>10510</v>
      </c>
      <c r="AZ272">
        <v>590.42</v>
      </c>
      <c r="BA272">
        <v>2650.6</v>
      </c>
      <c r="BB272">
        <f>1-AZ272/BA272</f>
        <v>0</v>
      </c>
      <c r="BC272">
        <v>-1.816883183993991</v>
      </c>
      <c r="BD272" t="s">
        <v>955</v>
      </c>
      <c r="BE272">
        <v>10435.9</v>
      </c>
      <c r="BF272">
        <v>857.4101538461539</v>
      </c>
      <c r="BG272">
        <v>1105.96</v>
      </c>
      <c r="BH272">
        <f>1-BF272/BG272</f>
        <v>0</v>
      </c>
      <c r="BI272">
        <v>0.5</v>
      </c>
      <c r="BJ272">
        <f>CS272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417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1247</v>
      </c>
      <c r="CA272">
        <v>300</v>
      </c>
      <c r="CB272">
        <v>300</v>
      </c>
      <c r="CC272">
        <v>300</v>
      </c>
      <c r="CD272">
        <v>10435.9</v>
      </c>
      <c r="CE272">
        <v>1062.79</v>
      </c>
      <c r="CF272">
        <v>-0.00734839</v>
      </c>
      <c r="CG272">
        <v>0.79</v>
      </c>
      <c r="CH272" t="s">
        <v>417</v>
      </c>
      <c r="CI272" t="s">
        <v>417</v>
      </c>
      <c r="CJ272" t="s">
        <v>417</v>
      </c>
      <c r="CK272" t="s">
        <v>417</v>
      </c>
      <c r="CL272" t="s">
        <v>417</v>
      </c>
      <c r="CM272" t="s">
        <v>417</v>
      </c>
      <c r="CN272" t="s">
        <v>417</v>
      </c>
      <c r="CO272" t="s">
        <v>417</v>
      </c>
      <c r="CP272" t="s">
        <v>417</v>
      </c>
      <c r="CQ272" t="s">
        <v>417</v>
      </c>
      <c r="CR272">
        <f>$B$11*DQ272+$C$11*DR272+$F$11*EC272*(1-EF272)</f>
        <v>0</v>
      </c>
      <c r="CS272">
        <f>CR272*CT272</f>
        <v>0</v>
      </c>
      <c r="CT272">
        <f>($B$11*$D$9+$C$11*$D$9+$F$11*((EP272+EH272)/MAX(EP272+EH272+EQ272, 0.1)*$I$9+EQ272/MAX(EP272+EH272+EQ272, 0.1)*$J$9))/($B$11+$C$11+$F$11)</f>
        <v>0</v>
      </c>
      <c r="CU272">
        <f>($B$11*$K$9+$C$11*$K$9+$F$11*((EP272+EH272)/MAX(EP272+EH272+EQ272, 0.1)*$P$9+EQ272/MAX(EP272+EH272+EQ272, 0.1)*$Q$9))/($B$11+$C$11+$F$11)</f>
        <v>0</v>
      </c>
      <c r="CV272">
        <v>6</v>
      </c>
      <c r="CW272">
        <v>0.5</v>
      </c>
      <c r="CX272" t="s">
        <v>418</v>
      </c>
      <c r="CY272">
        <v>2</v>
      </c>
      <c r="CZ272" t="b">
        <v>1</v>
      </c>
      <c r="DA272">
        <v>1651860418.35</v>
      </c>
      <c r="DB272">
        <v>1557.725</v>
      </c>
      <c r="DC272">
        <v>1599.7975</v>
      </c>
      <c r="DD272">
        <v>18.085075</v>
      </c>
      <c r="DE272">
        <v>13.561275</v>
      </c>
      <c r="DF272">
        <v>1561.2125</v>
      </c>
      <c r="DG272">
        <v>18.070075</v>
      </c>
      <c r="DH272">
        <v>500.102</v>
      </c>
      <c r="DI272">
        <v>90.005375</v>
      </c>
      <c r="DJ272">
        <v>0.1000705</v>
      </c>
      <c r="DK272">
        <v>25.742875</v>
      </c>
      <c r="DL272">
        <v>25.004675</v>
      </c>
      <c r="DM272">
        <v>999.9</v>
      </c>
      <c r="DN272">
        <v>0</v>
      </c>
      <c r="DO272">
        <v>0</v>
      </c>
      <c r="DP272">
        <v>10012.95</v>
      </c>
      <c r="DQ272">
        <v>0</v>
      </c>
      <c r="DR272">
        <v>3.26004</v>
      </c>
      <c r="DS272">
        <v>-42.06959999999999</v>
      </c>
      <c r="DT272">
        <v>1586.415</v>
      </c>
      <c r="DU272">
        <v>1621.79</v>
      </c>
      <c r="DV272">
        <v>4.5237775</v>
      </c>
      <c r="DW272">
        <v>1599.7975</v>
      </c>
      <c r="DX272">
        <v>13.561275</v>
      </c>
      <c r="DY272">
        <v>1.6277525</v>
      </c>
      <c r="DZ272">
        <v>1.2205875</v>
      </c>
      <c r="EA272">
        <v>14.2241</v>
      </c>
      <c r="EB272">
        <v>9.855045</v>
      </c>
      <c r="EC272">
        <v>1499.8975</v>
      </c>
      <c r="ED272">
        <v>0.973003</v>
      </c>
      <c r="EE272">
        <v>0.0269973</v>
      </c>
      <c r="EF272">
        <v>0</v>
      </c>
      <c r="EG272">
        <v>856.18375</v>
      </c>
      <c r="EH272">
        <v>5.00097</v>
      </c>
      <c r="EI272">
        <v>12751.375</v>
      </c>
      <c r="EJ272">
        <v>12490.725</v>
      </c>
      <c r="EK272">
        <v>37.562</v>
      </c>
      <c r="EL272">
        <v>39.4685</v>
      </c>
      <c r="EM272">
        <v>37.875</v>
      </c>
      <c r="EN272">
        <v>39.375</v>
      </c>
      <c r="EO272">
        <v>38.781</v>
      </c>
      <c r="EP272">
        <v>1454.5375</v>
      </c>
      <c r="EQ272">
        <v>40.36</v>
      </c>
      <c r="ER272">
        <v>0</v>
      </c>
      <c r="ES272">
        <v>131.7999999523163</v>
      </c>
      <c r="ET272">
        <v>0</v>
      </c>
      <c r="EU272">
        <v>857.4101538461539</v>
      </c>
      <c r="EV272">
        <v>-11.37743588752429</v>
      </c>
      <c r="EW272">
        <v>-119.1384613923897</v>
      </c>
      <c r="EX272">
        <v>12765.16923076923</v>
      </c>
      <c r="EY272">
        <v>15</v>
      </c>
      <c r="EZ272">
        <v>1651859956</v>
      </c>
      <c r="FA272" t="s">
        <v>937</v>
      </c>
      <c r="FB272">
        <v>1651859956</v>
      </c>
      <c r="FC272">
        <v>1651859627</v>
      </c>
      <c r="FD272">
        <v>6</v>
      </c>
      <c r="FE272">
        <v>-0.077</v>
      </c>
      <c r="FF272">
        <v>0.014</v>
      </c>
      <c r="FG272">
        <v>-0.661</v>
      </c>
      <c r="FH272">
        <v>-0.078</v>
      </c>
      <c r="FI272">
        <v>3</v>
      </c>
      <c r="FJ272">
        <v>10</v>
      </c>
      <c r="FK272">
        <v>0.39</v>
      </c>
      <c r="FL272">
        <v>0.01</v>
      </c>
      <c r="FM272">
        <v>-42.69172</v>
      </c>
      <c r="FN272">
        <v>5.088423264540367</v>
      </c>
      <c r="FO272">
        <v>0.504260423392516</v>
      </c>
      <c r="FP272">
        <v>-1</v>
      </c>
      <c r="FQ272">
        <v>4.7274395</v>
      </c>
      <c r="FR272">
        <v>-1.429193020637911</v>
      </c>
      <c r="FS272">
        <v>0.1379042280162214</v>
      </c>
      <c r="FT272">
        <v>-1</v>
      </c>
      <c r="FU272">
        <v>0</v>
      </c>
      <c r="FV272">
        <v>0</v>
      </c>
      <c r="FW272">
        <v>0</v>
      </c>
      <c r="FX272">
        <v>-1</v>
      </c>
      <c r="FY272">
        <v>0</v>
      </c>
      <c r="FZ272">
        <v>0</v>
      </c>
      <c r="GA272" t="s">
        <v>432</v>
      </c>
      <c r="GB272">
        <v>2.98161</v>
      </c>
      <c r="GC272">
        <v>2.70635</v>
      </c>
      <c r="GD272">
        <v>0.225924</v>
      </c>
      <c r="GE272">
        <v>0.227042</v>
      </c>
      <c r="GF272">
        <v>0.0869902</v>
      </c>
      <c r="GG272">
        <v>0.0698043</v>
      </c>
      <c r="GH272">
        <v>24468.2</v>
      </c>
      <c r="GI272">
        <v>24484.1</v>
      </c>
      <c r="GJ272">
        <v>29387.4</v>
      </c>
      <c r="GK272">
        <v>29300.4</v>
      </c>
      <c r="GL272">
        <v>35531.2</v>
      </c>
      <c r="GM272">
        <v>36302.6</v>
      </c>
      <c r="GN272">
        <v>41366.3</v>
      </c>
      <c r="GO272">
        <v>41820.7</v>
      </c>
      <c r="GP272">
        <v>1.96325</v>
      </c>
      <c r="GQ272">
        <v>1.86022</v>
      </c>
      <c r="GR272">
        <v>-0.0086911</v>
      </c>
      <c r="GS272">
        <v>0</v>
      </c>
      <c r="GT272">
        <v>25.1484</v>
      </c>
      <c r="GU272">
        <v>999.9</v>
      </c>
      <c r="GV272">
        <v>35</v>
      </c>
      <c r="GW272">
        <v>34.3</v>
      </c>
      <c r="GX272">
        <v>21.128</v>
      </c>
      <c r="GY272">
        <v>62.5225</v>
      </c>
      <c r="GZ272">
        <v>35.0921</v>
      </c>
      <c r="HA272">
        <v>1</v>
      </c>
      <c r="HB272">
        <v>0.0445097</v>
      </c>
      <c r="HC272">
        <v>1.50888</v>
      </c>
      <c r="HD272">
        <v>20.3306</v>
      </c>
      <c r="HE272">
        <v>5.22672</v>
      </c>
      <c r="HF272">
        <v>12.0099</v>
      </c>
      <c r="HG272">
        <v>4.99155</v>
      </c>
      <c r="HH272">
        <v>3.29</v>
      </c>
      <c r="HI272">
        <v>910.8</v>
      </c>
      <c r="HJ272">
        <v>8994.700000000001</v>
      </c>
      <c r="HK272">
        <v>5139.4</v>
      </c>
      <c r="HL272">
        <v>23.7</v>
      </c>
      <c r="HM272">
        <v>1.86747</v>
      </c>
      <c r="HN272">
        <v>1.86646</v>
      </c>
      <c r="HO272">
        <v>1.866</v>
      </c>
      <c r="HP272">
        <v>1.86584</v>
      </c>
      <c r="HQ272">
        <v>1.86768</v>
      </c>
      <c r="HR272">
        <v>1.87019</v>
      </c>
      <c r="HS272">
        <v>1.86889</v>
      </c>
      <c r="HT272">
        <v>1.87027</v>
      </c>
      <c r="HU272">
        <v>0</v>
      </c>
      <c r="HV272">
        <v>0</v>
      </c>
      <c r="HW272">
        <v>0</v>
      </c>
      <c r="HX272">
        <v>0</v>
      </c>
      <c r="HY272" t="s">
        <v>421</v>
      </c>
      <c r="HZ272" t="s">
        <v>422</v>
      </c>
      <c r="IA272" t="s">
        <v>423</v>
      </c>
      <c r="IB272" t="s">
        <v>423</v>
      </c>
      <c r="IC272" t="s">
        <v>423</v>
      </c>
      <c r="ID272" t="s">
        <v>423</v>
      </c>
      <c r="IE272">
        <v>0</v>
      </c>
      <c r="IF272">
        <v>100</v>
      </c>
      <c r="IG272">
        <v>100</v>
      </c>
      <c r="IH272">
        <v>-3.49</v>
      </c>
      <c r="II272">
        <v>0.015</v>
      </c>
      <c r="IJ272">
        <v>-0.6540367517687078</v>
      </c>
      <c r="IK272">
        <v>-0.002077099775823331</v>
      </c>
      <c r="IL272">
        <v>4.593143279902166E-07</v>
      </c>
      <c r="IM272">
        <v>-1.865383991892071E-10</v>
      </c>
      <c r="IN272">
        <v>-0.0625294926435566</v>
      </c>
      <c r="IO272">
        <v>-0.01129461987421345</v>
      </c>
      <c r="IP272">
        <v>0.00116580895745559</v>
      </c>
      <c r="IQ272">
        <v>-1.679085872906199E-05</v>
      </c>
      <c r="IR272">
        <v>2</v>
      </c>
      <c r="IS272">
        <v>2290</v>
      </c>
      <c r="IT272">
        <v>0</v>
      </c>
      <c r="IU272">
        <v>32</v>
      </c>
      <c r="IV272">
        <v>7.7</v>
      </c>
      <c r="IW272">
        <v>13.2</v>
      </c>
      <c r="IX272">
        <v>3.03589</v>
      </c>
      <c r="IY272">
        <v>2.21191</v>
      </c>
      <c r="IZ272">
        <v>1.39648</v>
      </c>
      <c r="JA272">
        <v>2.35718</v>
      </c>
      <c r="JB272">
        <v>1.49536</v>
      </c>
      <c r="JC272">
        <v>2.27295</v>
      </c>
      <c r="JD272">
        <v>38.208</v>
      </c>
      <c r="JE272">
        <v>24.0437</v>
      </c>
      <c r="JF272">
        <v>18</v>
      </c>
      <c r="JG272">
        <v>509.871</v>
      </c>
      <c r="JH272">
        <v>429.598</v>
      </c>
      <c r="JI272">
        <v>22.7769</v>
      </c>
      <c r="JJ272">
        <v>27.8942</v>
      </c>
      <c r="JK272">
        <v>29.9998</v>
      </c>
      <c r="JL272">
        <v>27.8985</v>
      </c>
      <c r="JM272">
        <v>27.8439</v>
      </c>
      <c r="JN272">
        <v>60.7437</v>
      </c>
      <c r="JO272">
        <v>34.8633</v>
      </c>
      <c r="JP272">
        <v>0</v>
      </c>
      <c r="JQ272">
        <v>22.7665</v>
      </c>
      <c r="JR272">
        <v>1600</v>
      </c>
      <c r="JS272">
        <v>13.7539</v>
      </c>
      <c r="JT272">
        <v>100.455</v>
      </c>
      <c r="JU272">
        <v>100.373</v>
      </c>
    </row>
    <row r="273" spans="1:281">
      <c r="A273">
        <v>257</v>
      </c>
      <c r="B273">
        <v>1651860486.6</v>
      </c>
      <c r="C273">
        <v>3486</v>
      </c>
      <c r="D273" t="s">
        <v>956</v>
      </c>
      <c r="E273" t="s">
        <v>957</v>
      </c>
      <c r="F273">
        <v>2</v>
      </c>
      <c r="G273" t="s">
        <v>915</v>
      </c>
      <c r="H273" t="s">
        <v>414</v>
      </c>
      <c r="I273">
        <v>1651860485.35</v>
      </c>
      <c r="J273">
        <f>(K273)/1000</f>
        <v>0</v>
      </c>
      <c r="K273">
        <f>IF(CZ273, AN273, AH273)</f>
        <v>0</v>
      </c>
      <c r="L273">
        <f>IF(CZ273, AI273, AG273)</f>
        <v>0</v>
      </c>
      <c r="M273">
        <f>DB273 - IF(AU273&gt;1, L273*CV273*100.0/(AW273*DP273), 0)</f>
        <v>0</v>
      </c>
      <c r="N273">
        <f>((T273-J273/2)*M273-L273)/(T273+J273/2)</f>
        <v>0</v>
      </c>
      <c r="O273">
        <f>N273*(DI273+DJ273)/1000.0</f>
        <v>0</v>
      </c>
      <c r="P273">
        <f>(DB273 - IF(AU273&gt;1, L273*CV273*100.0/(AW273*DP273), 0))*(DI273+DJ273)/1000.0</f>
        <v>0</v>
      </c>
      <c r="Q273">
        <f>2.0/((1/S273-1/R273)+SIGN(S273)*SQRT((1/S273-1/R273)*(1/S273-1/R273) + 4*CW273/((CW273+1)*(CW273+1))*(2*1/S273*1/R273-1/R273*1/R273)))</f>
        <v>0</v>
      </c>
      <c r="R273">
        <f>IF(LEFT(CX273,1)&lt;&gt;"0",IF(LEFT(CX273,1)="1",3.0,CY273),$D$5+$E$5*(DP273*DI273/($K$5*1000))+$F$5*(DP273*DI273/($K$5*1000))*MAX(MIN(CV273,$J$5),$I$5)*MAX(MIN(CV273,$J$5),$I$5)+$G$5*MAX(MIN(CV273,$J$5),$I$5)*(DP273*DI273/($K$5*1000))+$H$5*(DP273*DI273/($K$5*1000))*(DP273*DI273/($K$5*1000)))</f>
        <v>0</v>
      </c>
      <c r="S273">
        <f>J273*(1000-(1000*0.61365*exp(17.502*W273/(240.97+W273))/(DI273+DJ273)+DD273)/2)/(1000*0.61365*exp(17.502*W273/(240.97+W273))/(DI273+DJ273)-DD273)</f>
        <v>0</v>
      </c>
      <c r="T273">
        <f>1/((CW273+1)/(Q273/1.6)+1/(R273/1.37)) + CW273/((CW273+1)/(Q273/1.6) + CW273/(R273/1.37))</f>
        <v>0</v>
      </c>
      <c r="U273">
        <f>(CR273*CU273)</f>
        <v>0</v>
      </c>
      <c r="V273">
        <f>(DK273+(U273+2*0.95*5.67E-8*(((DK273+$B$7)+273)^4-(DK273+273)^4)-44100*J273)/(1.84*29.3*R273+8*0.95*5.67E-8*(DK273+273)^3))</f>
        <v>0</v>
      </c>
      <c r="W273">
        <f>($C$7*DL273+$D$7*DM273+$E$7*V273)</f>
        <v>0</v>
      </c>
      <c r="X273">
        <f>0.61365*exp(17.502*W273/(240.97+W273))</f>
        <v>0</v>
      </c>
      <c r="Y273">
        <f>(Z273/AA273*100)</f>
        <v>0</v>
      </c>
      <c r="Z273">
        <f>DD273*(DI273+DJ273)/1000</f>
        <v>0</v>
      </c>
      <c r="AA273">
        <f>0.61365*exp(17.502*DK273/(240.97+DK273))</f>
        <v>0</v>
      </c>
      <c r="AB273">
        <f>(X273-DD273*(DI273+DJ273)/1000)</f>
        <v>0</v>
      </c>
      <c r="AC273">
        <f>(-J273*44100)</f>
        <v>0</v>
      </c>
      <c r="AD273">
        <f>2*29.3*R273*0.92*(DK273-W273)</f>
        <v>0</v>
      </c>
      <c r="AE273">
        <f>2*0.95*5.67E-8*(((DK273+$B$7)+273)^4-(W273+273)^4)</f>
        <v>0</v>
      </c>
      <c r="AF273">
        <f>U273+AE273+AC273+AD273</f>
        <v>0</v>
      </c>
      <c r="AG273">
        <f>DH273*AU273*(DC273-DB273*(1000-AU273*DE273)/(1000-AU273*DD273))/(100*CV273)</f>
        <v>0</v>
      </c>
      <c r="AH273">
        <f>1000*DH273*AU273*(DD273-DE273)/(100*CV273*(1000-AU273*DD273))</f>
        <v>0</v>
      </c>
      <c r="AI273">
        <f>(AJ273 - AK273 - DI273*1E3/(8.314*(DK273+273.15)) * AM273/DH273 * AL273) * DH273/(100*CV273) * (1000 - DE273)/1000</f>
        <v>0</v>
      </c>
      <c r="AJ273">
        <v>405.903157167111</v>
      </c>
      <c r="AK273">
        <v>390.7365818181818</v>
      </c>
      <c r="AL273">
        <v>-0.07468242196087467</v>
      </c>
      <c r="AM273">
        <v>66.38454608033999</v>
      </c>
      <c r="AN273">
        <f>(AP273 - AO273 + DI273*1E3/(8.314*(DK273+273.15)) * AR273/DH273 * AQ273) * DH273/(100*CV273) * 1000/(1000 - AP273)</f>
        <v>0</v>
      </c>
      <c r="AO273">
        <v>14.6725277887862</v>
      </c>
      <c r="AP273">
        <v>18.28967588235294</v>
      </c>
      <c r="AQ273">
        <v>0.0005416420213166193</v>
      </c>
      <c r="AR273">
        <v>80.44147654147203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MAX(0,($B$13+$C$13*DP273)/(1+$D$13*DP273)*DI273/(DK273+273)*$E$13)</f>
        <v>0</v>
      </c>
      <c r="AX273" t="s">
        <v>417</v>
      </c>
      <c r="AY273" t="s">
        <v>417</v>
      </c>
      <c r="AZ273">
        <v>0</v>
      </c>
      <c r="BA273">
        <v>0</v>
      </c>
      <c r="BB273">
        <f>1-AZ273/BA273</f>
        <v>0</v>
      </c>
      <c r="BC273">
        <v>0</v>
      </c>
      <c r="BD273" t="s">
        <v>417</v>
      </c>
      <c r="BE273" t="s">
        <v>417</v>
      </c>
      <c r="BF273">
        <v>0</v>
      </c>
      <c r="BG273">
        <v>0</v>
      </c>
      <c r="BH273">
        <f>1-BF273/BG273</f>
        <v>0</v>
      </c>
      <c r="BI273">
        <v>0.5</v>
      </c>
      <c r="BJ273">
        <f>CS273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417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1247</v>
      </c>
      <c r="CA273">
        <v>300</v>
      </c>
      <c r="CB273">
        <v>300</v>
      </c>
      <c r="CC273">
        <v>300</v>
      </c>
      <c r="CD273">
        <v>10435.9</v>
      </c>
      <c r="CE273">
        <v>1062.79</v>
      </c>
      <c r="CF273">
        <v>-0.00734839</v>
      </c>
      <c r="CG273">
        <v>0.79</v>
      </c>
      <c r="CH273" t="s">
        <v>417</v>
      </c>
      <c r="CI273" t="s">
        <v>417</v>
      </c>
      <c r="CJ273" t="s">
        <v>417</v>
      </c>
      <c r="CK273" t="s">
        <v>417</v>
      </c>
      <c r="CL273" t="s">
        <v>417</v>
      </c>
      <c r="CM273" t="s">
        <v>417</v>
      </c>
      <c r="CN273" t="s">
        <v>417</v>
      </c>
      <c r="CO273" t="s">
        <v>417</v>
      </c>
      <c r="CP273" t="s">
        <v>417</v>
      </c>
      <c r="CQ273" t="s">
        <v>417</v>
      </c>
      <c r="CR273">
        <f>$B$11*DQ273+$C$11*DR273+$F$11*EC273*(1-EF273)</f>
        <v>0</v>
      </c>
      <c r="CS273">
        <f>CR273*CT273</f>
        <v>0</v>
      </c>
      <c r="CT273">
        <f>($B$11*$D$9+$C$11*$D$9+$F$11*((EP273+EH273)/MAX(EP273+EH273+EQ273, 0.1)*$I$9+EQ273/MAX(EP273+EH273+EQ273, 0.1)*$J$9))/($B$11+$C$11+$F$11)</f>
        <v>0</v>
      </c>
      <c r="CU273">
        <f>($B$11*$K$9+$C$11*$K$9+$F$11*((EP273+EH273)/MAX(EP273+EH273+EQ273, 0.1)*$P$9+EQ273/MAX(EP273+EH273+EQ273, 0.1)*$Q$9))/($B$11+$C$11+$F$11)</f>
        <v>0</v>
      </c>
      <c r="CV273">
        <v>6</v>
      </c>
      <c r="CW273">
        <v>0.5</v>
      </c>
      <c r="CX273" t="s">
        <v>418</v>
      </c>
      <c r="CY273">
        <v>2</v>
      </c>
      <c r="CZ273" t="b">
        <v>1</v>
      </c>
      <c r="DA273">
        <v>1651860485.35</v>
      </c>
      <c r="DB273">
        <v>383.65075</v>
      </c>
      <c r="DC273">
        <v>399.894</v>
      </c>
      <c r="DD273">
        <v>18.287525</v>
      </c>
      <c r="DE273">
        <v>14.7285</v>
      </c>
      <c r="DF273">
        <v>385.0475</v>
      </c>
      <c r="DG273">
        <v>18.269675</v>
      </c>
      <c r="DH273">
        <v>500.0515</v>
      </c>
      <c r="DI273">
        <v>90.00259999999999</v>
      </c>
      <c r="DJ273">
        <v>0.100126175</v>
      </c>
      <c r="DK273">
        <v>25.766075</v>
      </c>
      <c r="DL273">
        <v>25.004925</v>
      </c>
      <c r="DM273">
        <v>999.9</v>
      </c>
      <c r="DN273">
        <v>0</v>
      </c>
      <c r="DO273">
        <v>0</v>
      </c>
      <c r="DP273">
        <v>9985.469999999999</v>
      </c>
      <c r="DQ273">
        <v>0</v>
      </c>
      <c r="DR273">
        <v>3.19013</v>
      </c>
      <c r="DS273">
        <v>-16.242975</v>
      </c>
      <c r="DT273">
        <v>390.79775</v>
      </c>
      <c r="DU273">
        <v>405.87175</v>
      </c>
      <c r="DV273">
        <v>3.559</v>
      </c>
      <c r="DW273">
        <v>399.894</v>
      </c>
      <c r="DX273">
        <v>14.7285</v>
      </c>
      <c r="DY273">
        <v>1.645925</v>
      </c>
      <c r="DZ273">
        <v>1.3256025</v>
      </c>
      <c r="EA273">
        <v>14.3956</v>
      </c>
      <c r="EB273">
        <v>11.09235</v>
      </c>
      <c r="EC273">
        <v>1499.98</v>
      </c>
      <c r="ED273">
        <v>0.973009</v>
      </c>
      <c r="EE273">
        <v>0.0269908</v>
      </c>
      <c r="EF273">
        <v>0</v>
      </c>
      <c r="EG273">
        <v>818.4684999999999</v>
      </c>
      <c r="EH273">
        <v>5.00097</v>
      </c>
      <c r="EI273">
        <v>12228.175</v>
      </c>
      <c r="EJ273">
        <v>12491.425</v>
      </c>
      <c r="EK273">
        <v>38.875</v>
      </c>
      <c r="EL273">
        <v>40.906</v>
      </c>
      <c r="EM273">
        <v>39.0935</v>
      </c>
      <c r="EN273">
        <v>41.312</v>
      </c>
      <c r="EO273">
        <v>40.0935</v>
      </c>
      <c r="EP273">
        <v>1454.63</v>
      </c>
      <c r="EQ273">
        <v>40.35</v>
      </c>
      <c r="ER273">
        <v>0</v>
      </c>
      <c r="ES273">
        <v>66.39999985694885</v>
      </c>
      <c r="ET273">
        <v>0</v>
      </c>
      <c r="EU273">
        <v>819.8619199999999</v>
      </c>
      <c r="EV273">
        <v>-17.73584618847918</v>
      </c>
      <c r="EW273">
        <v>-230.2461541916928</v>
      </c>
      <c r="EX273">
        <v>12247.104</v>
      </c>
      <c r="EY273">
        <v>15</v>
      </c>
      <c r="EZ273">
        <v>1651859956</v>
      </c>
      <c r="FA273" t="s">
        <v>937</v>
      </c>
      <c r="FB273">
        <v>1651859956</v>
      </c>
      <c r="FC273">
        <v>1651859627</v>
      </c>
      <c r="FD273">
        <v>6</v>
      </c>
      <c r="FE273">
        <v>-0.077</v>
      </c>
      <c r="FF273">
        <v>0.014</v>
      </c>
      <c r="FG273">
        <v>-0.661</v>
      </c>
      <c r="FH273">
        <v>-0.078</v>
      </c>
      <c r="FI273">
        <v>3</v>
      </c>
      <c r="FJ273">
        <v>10</v>
      </c>
      <c r="FK273">
        <v>0.39</v>
      </c>
      <c r="FL273">
        <v>0.01</v>
      </c>
      <c r="FM273">
        <v>-15.010195</v>
      </c>
      <c r="FN273">
        <v>-10.47381163227016</v>
      </c>
      <c r="FO273">
        <v>1.037591152369275</v>
      </c>
      <c r="FP273">
        <v>-1</v>
      </c>
      <c r="FQ273">
        <v>3.6607435</v>
      </c>
      <c r="FR273">
        <v>-0.5500635647279568</v>
      </c>
      <c r="FS273">
        <v>0.05339000391224937</v>
      </c>
      <c r="FT273">
        <v>-1</v>
      </c>
      <c r="FU273">
        <v>0</v>
      </c>
      <c r="FV273">
        <v>0</v>
      </c>
      <c r="FW273">
        <v>0</v>
      </c>
      <c r="FX273">
        <v>-1</v>
      </c>
      <c r="FY273">
        <v>0</v>
      </c>
      <c r="FZ273">
        <v>0</v>
      </c>
      <c r="GA273" t="s">
        <v>432</v>
      </c>
      <c r="GB273">
        <v>2.98153</v>
      </c>
      <c r="GC273">
        <v>2.70605</v>
      </c>
      <c r="GD273">
        <v>0.087576</v>
      </c>
      <c r="GE273">
        <v>0.0893065</v>
      </c>
      <c r="GF273">
        <v>0.08769390000000001</v>
      </c>
      <c r="GG273">
        <v>0.07405100000000001</v>
      </c>
      <c r="GH273">
        <v>28843.1</v>
      </c>
      <c r="GI273">
        <v>28847.5</v>
      </c>
      <c r="GJ273">
        <v>29388.3</v>
      </c>
      <c r="GK273">
        <v>29299.9</v>
      </c>
      <c r="GL273">
        <v>35501.8</v>
      </c>
      <c r="GM273">
        <v>36132.4</v>
      </c>
      <c r="GN273">
        <v>41367.2</v>
      </c>
      <c r="GO273">
        <v>41820</v>
      </c>
      <c r="GP273">
        <v>1.96248</v>
      </c>
      <c r="GQ273">
        <v>1.85825</v>
      </c>
      <c r="GR273">
        <v>-0.008985399999999999</v>
      </c>
      <c r="GS273">
        <v>0</v>
      </c>
      <c r="GT273">
        <v>25.1474</v>
      </c>
      <c r="GU273">
        <v>999.9</v>
      </c>
      <c r="GV273">
        <v>35</v>
      </c>
      <c r="GW273">
        <v>34.3</v>
      </c>
      <c r="GX273">
        <v>21.126</v>
      </c>
      <c r="GY273">
        <v>62.6625</v>
      </c>
      <c r="GZ273">
        <v>35.0841</v>
      </c>
      <c r="HA273">
        <v>1</v>
      </c>
      <c r="HB273">
        <v>0.0457114</v>
      </c>
      <c r="HC273">
        <v>2.05179</v>
      </c>
      <c r="HD273">
        <v>20.3249</v>
      </c>
      <c r="HE273">
        <v>5.22343</v>
      </c>
      <c r="HF273">
        <v>12.0099</v>
      </c>
      <c r="HG273">
        <v>4.99145</v>
      </c>
      <c r="HH273">
        <v>3.29</v>
      </c>
      <c r="HI273">
        <v>912</v>
      </c>
      <c r="HJ273">
        <v>9001.9</v>
      </c>
      <c r="HK273">
        <v>5139.4</v>
      </c>
      <c r="HL273">
        <v>23.7</v>
      </c>
      <c r="HM273">
        <v>1.86745</v>
      </c>
      <c r="HN273">
        <v>1.86644</v>
      </c>
      <c r="HO273">
        <v>1.866</v>
      </c>
      <c r="HP273">
        <v>1.86584</v>
      </c>
      <c r="HQ273">
        <v>1.86768</v>
      </c>
      <c r="HR273">
        <v>1.87017</v>
      </c>
      <c r="HS273">
        <v>1.86884</v>
      </c>
      <c r="HT273">
        <v>1.87027</v>
      </c>
      <c r="HU273">
        <v>0</v>
      </c>
      <c r="HV273">
        <v>0</v>
      </c>
      <c r="HW273">
        <v>0</v>
      </c>
      <c r="HX273">
        <v>0</v>
      </c>
      <c r="HY273" t="s">
        <v>421</v>
      </c>
      <c r="HZ273" t="s">
        <v>422</v>
      </c>
      <c r="IA273" t="s">
        <v>423</v>
      </c>
      <c r="IB273" t="s">
        <v>423</v>
      </c>
      <c r="IC273" t="s">
        <v>423</v>
      </c>
      <c r="ID273" t="s">
        <v>423</v>
      </c>
      <c r="IE273">
        <v>0</v>
      </c>
      <c r="IF273">
        <v>100</v>
      </c>
      <c r="IG273">
        <v>100</v>
      </c>
      <c r="IH273">
        <v>-1.396</v>
      </c>
      <c r="II273">
        <v>0.018</v>
      </c>
      <c r="IJ273">
        <v>-0.6540367517687078</v>
      </c>
      <c r="IK273">
        <v>-0.002077099775823331</v>
      </c>
      <c r="IL273">
        <v>4.593143279902166E-07</v>
      </c>
      <c r="IM273">
        <v>-1.865383991892071E-10</v>
      </c>
      <c r="IN273">
        <v>-0.0625294926435566</v>
      </c>
      <c r="IO273">
        <v>-0.01129461987421345</v>
      </c>
      <c r="IP273">
        <v>0.00116580895745559</v>
      </c>
      <c r="IQ273">
        <v>-1.679085872906199E-05</v>
      </c>
      <c r="IR273">
        <v>2</v>
      </c>
      <c r="IS273">
        <v>2290</v>
      </c>
      <c r="IT273">
        <v>0</v>
      </c>
      <c r="IU273">
        <v>32</v>
      </c>
      <c r="IV273">
        <v>8.800000000000001</v>
      </c>
      <c r="IW273">
        <v>14.3</v>
      </c>
      <c r="IX273">
        <v>1.0022</v>
      </c>
      <c r="IY273">
        <v>2.22778</v>
      </c>
      <c r="IZ273">
        <v>1.39648</v>
      </c>
      <c r="JA273">
        <v>2.35718</v>
      </c>
      <c r="JB273">
        <v>1.49536</v>
      </c>
      <c r="JC273">
        <v>2.2998</v>
      </c>
      <c r="JD273">
        <v>38.1593</v>
      </c>
      <c r="JE273">
        <v>24.035</v>
      </c>
      <c r="JF273">
        <v>18</v>
      </c>
      <c r="JG273">
        <v>509.233</v>
      </c>
      <c r="JH273">
        <v>428.297</v>
      </c>
      <c r="JI273">
        <v>22.3518</v>
      </c>
      <c r="JJ273">
        <v>27.8823</v>
      </c>
      <c r="JK273">
        <v>29.9999</v>
      </c>
      <c r="JL273">
        <v>27.8826</v>
      </c>
      <c r="JM273">
        <v>27.8275</v>
      </c>
      <c r="JN273">
        <v>20.0618</v>
      </c>
      <c r="JO273">
        <v>30.1641</v>
      </c>
      <c r="JP273">
        <v>0</v>
      </c>
      <c r="JQ273">
        <v>22.3592</v>
      </c>
      <c r="JR273">
        <v>400</v>
      </c>
      <c r="JS273">
        <v>14.8374</v>
      </c>
      <c r="JT273">
        <v>100.458</v>
      </c>
      <c r="JU273">
        <v>100.371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424</v>
      </c>
      <c r="B17" t="s">
        <v>425</v>
      </c>
    </row>
    <row r="18" spans="1:2">
      <c r="A18" t="s">
        <v>426</v>
      </c>
      <c r="B18" t="s">
        <v>427</v>
      </c>
    </row>
    <row r="19" spans="1:2">
      <c r="A19" t="s">
        <v>428</v>
      </c>
      <c r="B19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2022-05-06T18:09:20Z</dcterms:created>
  <dcterms:modified xsi:type="dcterms:W3CDTF">2022-05-06T18:09:20Z</dcterms:modified>
</cp:coreProperties>
</file>